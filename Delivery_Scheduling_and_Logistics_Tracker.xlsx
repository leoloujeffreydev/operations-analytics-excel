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Downloads\eoc monitoring for portfolio\"/>
    </mc:Choice>
  </mc:AlternateContent>
  <xr:revisionPtr revIDLastSave="0" documentId="13_ncr:1_{C626F3C5-E8FC-4FAD-B5E1-A001BCDDB61B}" xr6:coauthVersionLast="47" xr6:coauthVersionMax="47" xr10:uidLastSave="{00000000-0000-0000-0000-000000000000}"/>
  <bookViews>
    <workbookView xWindow="-108" yWindow="-108" windowWidth="23256" windowHeight="12456" xr2:uid="{5B9B7849-D3BE-4F0D-B739-9CDA2A3C71C0}"/>
  </bookViews>
  <sheets>
    <sheet name="Sheet1" sheetId="1" r:id="rId1"/>
  </sheets>
  <definedNames>
    <definedName name="_xlnm._FilterDatabase" localSheetId="0" hidden="1">Sheet1!$A$2:$J$72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F69" i="1"/>
  <c r="I72" i="1"/>
  <c r="G72" i="1"/>
  <c r="G71" i="1"/>
  <c r="I71" i="1" s="1"/>
  <c r="G53" i="1"/>
  <c r="I53" i="1" s="1"/>
  <c r="G59" i="1"/>
  <c r="I59" i="1" s="1"/>
  <c r="G54" i="1"/>
  <c r="I54" i="1" s="1"/>
  <c r="G60" i="1"/>
  <c r="I60" i="1" s="1"/>
  <c r="G65" i="1"/>
  <c r="I65" i="1" s="1"/>
  <c r="G68" i="1"/>
  <c r="I68" i="1" s="1"/>
  <c r="G55" i="1"/>
  <c r="I55" i="1" s="1"/>
  <c r="G61" i="1"/>
  <c r="I61" i="1" s="1"/>
  <c r="G66" i="1"/>
  <c r="I66" i="1" s="1"/>
  <c r="G56" i="1"/>
  <c r="I56" i="1" s="1"/>
  <c r="G62" i="1"/>
  <c r="I62" i="1" s="1"/>
  <c r="G67" i="1"/>
  <c r="I67" i="1" s="1"/>
  <c r="G69" i="1"/>
  <c r="I69" i="1" s="1"/>
  <c r="G70" i="1"/>
  <c r="I70" i="1" s="1"/>
  <c r="G57" i="1"/>
  <c r="I57" i="1" s="1"/>
  <c r="G63" i="1"/>
  <c r="I63" i="1" s="1"/>
  <c r="G58" i="1"/>
  <c r="I58" i="1" s="1"/>
  <c r="G64" i="1"/>
  <c r="I64" i="1"/>
  <c r="G49" i="1"/>
  <c r="I49" i="1" s="1"/>
  <c r="G52" i="1"/>
  <c r="I52" i="1" s="1"/>
  <c r="G51" i="1"/>
  <c r="I51" i="1" s="1"/>
  <c r="G50" i="1"/>
  <c r="I50" i="1" s="1"/>
  <c r="G48" i="1"/>
  <c r="I48" i="1" s="1"/>
  <c r="G47" i="1"/>
  <c r="I47" i="1" s="1"/>
  <c r="G40" i="1"/>
  <c r="I40" i="1" s="1"/>
  <c r="G46" i="1"/>
  <c r="I46" i="1" s="1"/>
  <c r="G41" i="1" l="1"/>
  <c r="I41" i="1" s="1"/>
  <c r="G42" i="1"/>
  <c r="I42" i="1" s="1"/>
  <c r="G35" i="1"/>
  <c r="I35" i="1" s="1"/>
  <c r="G34" i="1"/>
  <c r="I34" i="1" s="1"/>
  <c r="F25" i="1"/>
  <c r="G25" i="1" s="1"/>
  <c r="I25" i="1" s="1"/>
  <c r="G29" i="1"/>
  <c r="I29" i="1" s="1"/>
  <c r="G24" i="1"/>
  <c r="I24" i="1" s="1"/>
  <c r="G23" i="1"/>
  <c r="I23" i="1" s="1"/>
  <c r="G17" i="1"/>
  <c r="I17" i="1" s="1"/>
  <c r="G45" i="1"/>
  <c r="I45" i="1" s="1"/>
  <c r="G44" i="1"/>
  <c r="I44" i="1" s="1"/>
  <c r="G43" i="1"/>
  <c r="I43" i="1" s="1"/>
  <c r="G39" i="1"/>
  <c r="I39" i="1" s="1"/>
  <c r="G38" i="1"/>
  <c r="I38" i="1" s="1"/>
  <c r="G37" i="1"/>
  <c r="I37" i="1" s="1"/>
  <c r="G36" i="1"/>
  <c r="I36" i="1" s="1"/>
  <c r="G33" i="1"/>
  <c r="I33" i="1" s="1"/>
  <c r="G32" i="1"/>
  <c r="I32" i="1" s="1"/>
  <c r="G31" i="1"/>
  <c r="I31" i="1" s="1"/>
  <c r="G30" i="1"/>
  <c r="I30" i="1" s="1"/>
  <c r="G28" i="1"/>
  <c r="I28" i="1" s="1"/>
  <c r="G27" i="1"/>
  <c r="I27" i="1" s="1"/>
  <c r="G26" i="1"/>
  <c r="I26" i="1" s="1"/>
  <c r="G22" i="1"/>
  <c r="I22" i="1" s="1"/>
  <c r="G21" i="1"/>
  <c r="I21" i="1" s="1"/>
  <c r="G20" i="1"/>
  <c r="I20" i="1" s="1"/>
  <c r="G19" i="1"/>
  <c r="I19" i="1" s="1"/>
  <c r="G18" i="1"/>
  <c r="I18" i="1" s="1"/>
  <c r="G16" i="1" l="1"/>
  <c r="I16" i="1" s="1"/>
  <c r="G15" i="1"/>
  <c r="I15" i="1" s="1"/>
  <c r="G14" i="1"/>
  <c r="I14" i="1" s="1"/>
  <c r="G13" i="1"/>
  <c r="I13" i="1" s="1"/>
  <c r="G12" i="1"/>
  <c r="I12" i="1" s="1"/>
  <c r="G6" i="1"/>
  <c r="I6" i="1" s="1"/>
  <c r="G8" i="1"/>
  <c r="I8" i="1" s="1"/>
  <c r="G3" i="1"/>
  <c r="I3" i="1" s="1"/>
  <c r="G4" i="1"/>
  <c r="I4" i="1" s="1"/>
  <c r="G9" i="1"/>
  <c r="I9" i="1" s="1"/>
  <c r="G10" i="1"/>
  <c r="I10" i="1" s="1"/>
  <c r="G11" i="1"/>
  <c r="I11" i="1" s="1"/>
  <c r="G5" i="1"/>
  <c r="I5" i="1" s="1"/>
  <c r="G7" i="1"/>
  <c r="I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</authors>
  <commentList>
    <comment ref="J40" authorId="0" shapeId="0" xr:uid="{6FF1C975-D17A-401C-8504-783D62905F2D}">
      <text>
        <r>
          <rPr>
            <sz val="9"/>
            <color indexed="81"/>
            <rFont val="Tahoma"/>
            <family val="2"/>
          </rPr>
          <t xml:space="preserve">
LOW STOCK QUANTITY
</t>
        </r>
      </text>
    </comment>
    <comment ref="J49" authorId="0" shapeId="0" xr:uid="{DE6A280E-D37A-4549-AB83-523AFF2F77A9}">
      <text>
        <r>
          <rPr>
            <sz val="9"/>
            <color indexed="81"/>
            <rFont val="Tahoma"/>
            <family val="2"/>
          </rPr>
          <t xml:space="preserve">
LOW STOCK QUANTITY
</t>
        </r>
      </text>
    </comment>
  </commentList>
</comments>
</file>

<file path=xl/sharedStrings.xml><?xml version="1.0" encoding="utf-8"?>
<sst xmlns="http://schemas.openxmlformats.org/spreadsheetml/2006/main" count="86" uniqueCount="23">
  <si>
    <t>PO</t>
  </si>
  <si>
    <t>SCHEDULE</t>
  </si>
  <si>
    <t>DELIVERY DATE</t>
  </si>
  <si>
    <t>ITEMS</t>
  </si>
  <si>
    <t>IOB-003</t>
  </si>
  <si>
    <t>YC.002</t>
  </si>
  <si>
    <t>PENDING</t>
  </si>
  <si>
    <t>REQUIRED</t>
  </si>
  <si>
    <t>TD01</t>
  </si>
  <si>
    <t>IOB-004</t>
  </si>
  <si>
    <t>IOB-002</t>
  </si>
  <si>
    <t>REMAINING</t>
  </si>
  <si>
    <t>IOB-028</t>
  </si>
  <si>
    <t>IOB-007</t>
  </si>
  <si>
    <t>YC.001
15-10-2025 - 250 pcs</t>
  </si>
  <si>
    <t>ITEM LOW STOCK</t>
  </si>
  <si>
    <t>IOB-016</t>
  </si>
  <si>
    <t>NO.</t>
  </si>
  <si>
    <t>23/04/2026 | 09/05-2026</t>
  </si>
  <si>
    <t>REMARKS 1</t>
  </si>
  <si>
    <t>REMARKS 2</t>
  </si>
  <si>
    <t>YC.001
15/09/2025 - 100 pcs
 30/09/2025 - 150 pcs</t>
  </si>
  <si>
    <t>FAKEEH UNIVERSITY HOSPITAL DELIVERY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</si>
</sst>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 wrapText="1"/>
    </xf>
    <xf numFmtId="14" fontId="4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9C0006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9C0006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  <color rgb="FFFFCCFF"/>
      <color rgb="FFCCFFFF"/>
      <color rgb="FFCCFF66"/>
      <color rgb="FFFF99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2C414-9777-4EFA-AA25-66877392CAF7}" name="Table1" displayName="Table1" ref="A2:J72" totalsRowShown="0" headerRowDxfId="10" dataDxfId="9" tableBorderDxfId="20">
  <autoFilter ref="A2:J72" xr:uid="{EF67AC8C-A769-4502-9A47-1B3C0F0D0121}"/>
  <sortState xmlns:xlrd2="http://schemas.microsoft.com/office/spreadsheetml/2017/richdata2" ref="A3:J70">
    <sortCondition ref="C2:C51"/>
  </sortState>
  <tableColumns count="10">
    <tableColumn id="1" xr3:uid="{3A3F9306-DC56-43EF-A8A9-9CB94F77EA52}" name="PO" dataDxfId="19"/>
    <tableColumn id="2" xr3:uid="{2E15EAC0-987F-46FB-8B6C-DF0AE4365191}" name="NO." dataDxfId="18"/>
    <tableColumn id="3" xr3:uid="{B2C11587-DDAD-441D-A499-EB04FF066AA8}" name="SCHEDULE" dataDxfId="17"/>
    <tableColumn id="4" xr3:uid="{FA98BB8E-33B0-44FD-BCBF-D8D569B16CB5}" name="ITEMS" dataDxfId="16"/>
    <tableColumn id="5" xr3:uid="{4F7DF257-AB74-4586-98FB-21B00CAA63D0}" name="PENDING" dataDxfId="15"/>
    <tableColumn id="6" xr3:uid="{0C5C43B8-F24D-4E5B-8E5F-D67B04F7E0D8}" name="REQUIRED" dataDxfId="14"/>
    <tableColumn id="7" xr3:uid="{48BCAF21-2C46-4C58-A822-E85AB05A15F4}" name="REMAINING" dataDxfId="13">
      <calculatedColumnFormula>E3-F3</calculatedColumnFormula>
    </tableColumn>
    <tableColumn id="8" xr3:uid="{2D4DE0EE-0996-4064-896E-545CE64146FE}" name="DELIVERY DATE" dataDxfId="12"/>
    <tableColumn id="9" xr3:uid="{1FF62766-ACB5-4C5C-B7DE-FDFD880CB0A1}" name="REMARKS 1" dataDxfId="11">
      <calculatedColumnFormula>IF(G3=0,"PREPARED","PENDING")</calculatedColumnFormula>
    </tableColumn>
    <tableColumn id="10" xr3:uid="{EFB879F7-A72D-49B7-AC26-8DA4FA2A9316}" name="REMARKS 2" dataDxfId="8">
      <calculatedColumnFormula>IF(H3="",IF(C3&lt;TODAY(),"PAST DUE",IF(C3=TODAY(),"TODAY SCHEDULE","NOTSCHEDULEDTODAY")),"DELIVERED")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AC8C-A769-4502-9A47-1B3C0F0D0121}">
  <sheetPr>
    <pageSetUpPr fitToPage="1"/>
  </sheetPr>
  <dimension ref="A1:K72"/>
  <sheetViews>
    <sheetView tabSelected="1" workbookViewId="0">
      <pane ySplit="2" topLeftCell="A51" activePane="bottomLeft" state="frozen"/>
      <selection pane="bottomLeft" activeCell="K15" sqref="K15"/>
    </sheetView>
  </sheetViews>
  <sheetFormatPr defaultColWidth="10.88671875" defaultRowHeight="13.8" x14ac:dyDescent="0.3"/>
  <cols>
    <col min="1" max="2" width="8.5546875" style="2" bestFit="1" customWidth="1"/>
    <col min="3" max="3" width="13.5546875" style="2" bestFit="1" customWidth="1"/>
    <col min="4" max="4" width="10.33203125" style="2" bestFit="1" customWidth="1"/>
    <col min="5" max="5" width="12.77734375" style="2" bestFit="1" customWidth="1"/>
    <col min="6" max="6" width="13.77734375" style="2" bestFit="1" customWidth="1"/>
    <col min="7" max="7" width="15" style="2" bestFit="1" customWidth="1"/>
    <col min="8" max="8" width="18.88671875" style="2" bestFit="1" customWidth="1"/>
    <col min="9" max="10" width="14.6640625" style="2" bestFit="1" customWidth="1"/>
    <col min="11" max="11" width="14.5546875" style="1" bestFit="1" customWidth="1"/>
    <col min="12" max="16384" width="10.88671875" style="1"/>
  </cols>
  <sheetData>
    <row r="1" spans="1:10" ht="19.8" x14ac:dyDescent="0.3">
      <c r="A1" s="5" t="s">
        <v>22</v>
      </c>
      <c r="B1" s="6"/>
      <c r="C1" s="6"/>
      <c r="D1" s="6"/>
      <c r="E1" s="6"/>
      <c r="F1" s="6"/>
      <c r="G1" s="6"/>
      <c r="H1" s="6"/>
      <c r="I1" s="6"/>
      <c r="J1" s="7"/>
    </row>
    <row r="2" spans="1:10" s="8" customFormat="1" x14ac:dyDescent="0.3">
      <c r="A2" s="10" t="s">
        <v>0</v>
      </c>
      <c r="B2" s="9" t="s">
        <v>17</v>
      </c>
      <c r="C2" s="9" t="s">
        <v>1</v>
      </c>
      <c r="D2" s="9" t="s">
        <v>3</v>
      </c>
      <c r="E2" s="9" t="s">
        <v>6</v>
      </c>
      <c r="F2" s="9" t="s">
        <v>7</v>
      </c>
      <c r="G2" s="9" t="s">
        <v>11</v>
      </c>
      <c r="H2" s="9" t="s">
        <v>2</v>
      </c>
      <c r="I2" s="9" t="s">
        <v>19</v>
      </c>
      <c r="J2" s="11" t="s">
        <v>20</v>
      </c>
    </row>
    <row r="3" spans="1:10" x14ac:dyDescent="0.3">
      <c r="A3" s="16">
        <v>4500049091</v>
      </c>
      <c r="B3" s="15"/>
      <c r="C3" s="12">
        <v>45821</v>
      </c>
      <c r="D3" s="15" t="s">
        <v>9</v>
      </c>
      <c r="E3" s="15">
        <v>10</v>
      </c>
      <c r="F3" s="15">
        <v>10</v>
      </c>
      <c r="G3" s="15">
        <f t="shared" ref="G3:G34" si="0">E3-F3</f>
        <v>0</v>
      </c>
      <c r="H3" s="12">
        <v>45821</v>
      </c>
      <c r="I3" s="15" t="str">
        <f t="shared" ref="I3:I34" si="1">IF(G3=0,"PREPARED","PENDING")</f>
        <v>PREPARED</v>
      </c>
      <c r="J3" s="3" t="str">
        <f t="shared" ref="J3:J34" ca="1" si="2">IF(H3="",IF(C3&lt;TODAY(),"PAST DUE",IF(C3=TODAY(),"TODAY SCHEDULE","NOTSCHEDULEDTODAY")),"DELIVERED")</f>
        <v>DELIVERED</v>
      </c>
    </row>
    <row r="4" spans="1:10" x14ac:dyDescent="0.3">
      <c r="A4" s="16">
        <v>4500049091</v>
      </c>
      <c r="B4" s="15"/>
      <c r="C4" s="12">
        <v>45821</v>
      </c>
      <c r="D4" s="15" t="s">
        <v>8</v>
      </c>
      <c r="E4" s="15">
        <v>400</v>
      </c>
      <c r="F4" s="15">
        <v>400</v>
      </c>
      <c r="G4" s="15">
        <f t="shared" si="0"/>
        <v>0</v>
      </c>
      <c r="H4" s="12">
        <v>45821</v>
      </c>
      <c r="I4" s="15" t="str">
        <f t="shared" si="1"/>
        <v>PREPARED</v>
      </c>
      <c r="J4" s="3" t="str">
        <f t="shared" ca="1" si="2"/>
        <v>DELIVERED</v>
      </c>
    </row>
    <row r="5" spans="1:10" x14ac:dyDescent="0.3">
      <c r="A5" s="16">
        <v>4500048268</v>
      </c>
      <c r="B5" s="15"/>
      <c r="C5" s="12">
        <v>45824</v>
      </c>
      <c r="D5" s="15" t="s">
        <v>4</v>
      </c>
      <c r="E5" s="15">
        <v>30</v>
      </c>
      <c r="F5" s="15">
        <v>30</v>
      </c>
      <c r="G5" s="15">
        <f t="shared" si="0"/>
        <v>0</v>
      </c>
      <c r="H5" s="12">
        <v>45824</v>
      </c>
      <c r="I5" s="15" t="str">
        <f t="shared" si="1"/>
        <v>PREPARED</v>
      </c>
      <c r="J5" s="3" t="str">
        <f t="shared" ca="1" si="2"/>
        <v>DELIVERED</v>
      </c>
    </row>
    <row r="6" spans="1:10" x14ac:dyDescent="0.3">
      <c r="A6" s="16">
        <v>4500049385</v>
      </c>
      <c r="B6" s="15"/>
      <c r="C6" s="12">
        <v>45831</v>
      </c>
      <c r="D6" s="15" t="s">
        <v>12</v>
      </c>
      <c r="E6" s="15">
        <v>10</v>
      </c>
      <c r="F6" s="15">
        <v>10</v>
      </c>
      <c r="G6" s="15">
        <f t="shared" si="0"/>
        <v>0</v>
      </c>
      <c r="H6" s="12">
        <v>45831</v>
      </c>
      <c r="I6" s="15" t="str">
        <f t="shared" si="1"/>
        <v>PREPARED</v>
      </c>
      <c r="J6" s="3" t="str">
        <f t="shared" ca="1" si="2"/>
        <v>DELIVERED</v>
      </c>
    </row>
    <row r="7" spans="1:10" x14ac:dyDescent="0.3">
      <c r="A7" s="16">
        <v>4500048628</v>
      </c>
      <c r="B7" s="15"/>
      <c r="C7" s="12">
        <v>45833</v>
      </c>
      <c r="D7" s="15" t="s">
        <v>4</v>
      </c>
      <c r="E7" s="15">
        <v>30</v>
      </c>
      <c r="F7" s="15">
        <v>30</v>
      </c>
      <c r="G7" s="15">
        <f t="shared" si="0"/>
        <v>0</v>
      </c>
      <c r="H7" s="12">
        <v>45832</v>
      </c>
      <c r="I7" s="15" t="str">
        <f t="shared" si="1"/>
        <v>PREPARED</v>
      </c>
      <c r="J7" s="3" t="str">
        <f t="shared" ca="1" si="2"/>
        <v>DELIVERED</v>
      </c>
    </row>
    <row r="8" spans="1:10" x14ac:dyDescent="0.3">
      <c r="A8" s="16">
        <v>4500048628</v>
      </c>
      <c r="B8" s="15"/>
      <c r="C8" s="12">
        <v>45833</v>
      </c>
      <c r="D8" s="15" t="s">
        <v>5</v>
      </c>
      <c r="E8" s="15">
        <v>250</v>
      </c>
      <c r="F8" s="15">
        <v>250</v>
      </c>
      <c r="G8" s="15">
        <f t="shared" si="0"/>
        <v>0</v>
      </c>
      <c r="H8" s="12">
        <v>45832</v>
      </c>
      <c r="I8" s="15" t="str">
        <f t="shared" si="1"/>
        <v>PREPARED</v>
      </c>
      <c r="J8" s="3" t="str">
        <f t="shared" ca="1" si="2"/>
        <v>DELIVERED</v>
      </c>
    </row>
    <row r="9" spans="1:10" x14ac:dyDescent="0.3">
      <c r="A9" s="16">
        <v>4500049091</v>
      </c>
      <c r="B9" s="15"/>
      <c r="C9" s="12">
        <v>45845</v>
      </c>
      <c r="D9" s="15" t="s">
        <v>10</v>
      </c>
      <c r="E9" s="15">
        <v>10</v>
      </c>
      <c r="F9" s="15">
        <v>10</v>
      </c>
      <c r="G9" s="15">
        <f t="shared" si="0"/>
        <v>0</v>
      </c>
      <c r="H9" s="12">
        <v>45832</v>
      </c>
      <c r="I9" s="15" t="str">
        <f t="shared" si="1"/>
        <v>PREPARED</v>
      </c>
      <c r="J9" s="3" t="str">
        <f t="shared" ca="1" si="2"/>
        <v>DELIVERED</v>
      </c>
    </row>
    <row r="10" spans="1:10" x14ac:dyDescent="0.3">
      <c r="A10" s="16">
        <v>4500049091</v>
      </c>
      <c r="B10" s="15"/>
      <c r="C10" s="12">
        <v>45845</v>
      </c>
      <c r="D10" s="15" t="s">
        <v>4</v>
      </c>
      <c r="E10" s="15">
        <v>60</v>
      </c>
      <c r="F10" s="15">
        <v>60</v>
      </c>
      <c r="G10" s="15">
        <f t="shared" si="0"/>
        <v>0</v>
      </c>
      <c r="H10" s="12">
        <v>45845</v>
      </c>
      <c r="I10" s="15" t="str">
        <f t="shared" si="1"/>
        <v>PREPARED</v>
      </c>
      <c r="J10" s="3" t="str">
        <f t="shared" ca="1" si="2"/>
        <v>DELIVERED</v>
      </c>
    </row>
    <row r="11" spans="1:10" x14ac:dyDescent="0.3">
      <c r="A11" s="16">
        <v>4500049091</v>
      </c>
      <c r="B11" s="15"/>
      <c r="C11" s="12">
        <v>45845</v>
      </c>
      <c r="D11" s="15" t="s">
        <v>5</v>
      </c>
      <c r="E11" s="15">
        <v>250</v>
      </c>
      <c r="F11" s="15">
        <v>250</v>
      </c>
      <c r="G11" s="15">
        <f t="shared" si="0"/>
        <v>0</v>
      </c>
      <c r="H11" s="12">
        <v>45845</v>
      </c>
      <c r="I11" s="15" t="str">
        <f t="shared" si="1"/>
        <v>PREPARED</v>
      </c>
      <c r="J11" s="3" t="str">
        <f t="shared" ca="1" si="2"/>
        <v>DELIVERED</v>
      </c>
    </row>
    <row r="12" spans="1:10" x14ac:dyDescent="0.3">
      <c r="A12" s="16">
        <v>4500049385</v>
      </c>
      <c r="B12" s="15"/>
      <c r="C12" s="12">
        <v>45854</v>
      </c>
      <c r="D12" s="15" t="s">
        <v>10</v>
      </c>
      <c r="E12" s="15">
        <v>10</v>
      </c>
      <c r="F12" s="15">
        <v>10</v>
      </c>
      <c r="G12" s="15">
        <f t="shared" si="0"/>
        <v>0</v>
      </c>
      <c r="H12" s="12">
        <v>45854</v>
      </c>
      <c r="I12" s="15" t="str">
        <f t="shared" si="1"/>
        <v>PREPARED</v>
      </c>
      <c r="J12" s="3" t="str">
        <f t="shared" ca="1" si="2"/>
        <v>DELIVERED</v>
      </c>
    </row>
    <row r="13" spans="1:10" x14ac:dyDescent="0.3">
      <c r="A13" s="16">
        <v>4500049714</v>
      </c>
      <c r="B13" s="15"/>
      <c r="C13" s="12">
        <v>45869</v>
      </c>
      <c r="D13" s="15" t="s">
        <v>12</v>
      </c>
      <c r="E13" s="15">
        <v>10</v>
      </c>
      <c r="F13" s="15">
        <v>10</v>
      </c>
      <c r="G13" s="15">
        <f t="shared" si="0"/>
        <v>0</v>
      </c>
      <c r="H13" s="12">
        <v>45863</v>
      </c>
      <c r="I13" s="15" t="str">
        <f t="shared" si="1"/>
        <v>PREPARED</v>
      </c>
      <c r="J13" s="3" t="str">
        <f t="shared" ca="1" si="2"/>
        <v>DELIVERED</v>
      </c>
    </row>
    <row r="14" spans="1:10" x14ac:dyDescent="0.3">
      <c r="A14" s="16">
        <v>4500049714</v>
      </c>
      <c r="B14" s="15"/>
      <c r="C14" s="12">
        <v>45869</v>
      </c>
      <c r="D14" s="15" t="s">
        <v>9</v>
      </c>
      <c r="E14" s="15">
        <v>10</v>
      </c>
      <c r="F14" s="15">
        <v>10</v>
      </c>
      <c r="G14" s="15">
        <f t="shared" si="0"/>
        <v>0</v>
      </c>
      <c r="H14" s="12">
        <v>45869</v>
      </c>
      <c r="I14" s="15" t="str">
        <f t="shared" si="1"/>
        <v>PREPARED</v>
      </c>
      <c r="J14" s="3" t="str">
        <f t="shared" ca="1" si="2"/>
        <v>DELIVERED</v>
      </c>
    </row>
    <row r="15" spans="1:10" x14ac:dyDescent="0.3">
      <c r="A15" s="16">
        <v>4500049714</v>
      </c>
      <c r="B15" s="15"/>
      <c r="C15" s="12">
        <v>45869</v>
      </c>
      <c r="D15" s="15" t="s">
        <v>13</v>
      </c>
      <c r="E15" s="15">
        <v>10</v>
      </c>
      <c r="F15" s="15">
        <v>10</v>
      </c>
      <c r="G15" s="15">
        <f t="shared" si="0"/>
        <v>0</v>
      </c>
      <c r="H15" s="12">
        <v>45869</v>
      </c>
      <c r="I15" s="15" t="str">
        <f t="shared" si="1"/>
        <v>PREPARED</v>
      </c>
      <c r="J15" s="3" t="str">
        <f t="shared" ca="1" si="2"/>
        <v>DELIVERED</v>
      </c>
    </row>
    <row r="16" spans="1:10" x14ac:dyDescent="0.3">
      <c r="A16" s="16">
        <v>4500049714</v>
      </c>
      <c r="B16" s="15"/>
      <c r="C16" s="12">
        <v>45869</v>
      </c>
      <c r="D16" s="15" t="s">
        <v>8</v>
      </c>
      <c r="E16" s="15">
        <v>200</v>
      </c>
      <c r="F16" s="15">
        <v>200</v>
      </c>
      <c r="G16" s="15">
        <f t="shared" si="0"/>
        <v>0</v>
      </c>
      <c r="H16" s="12">
        <v>45869</v>
      </c>
      <c r="I16" s="15" t="str">
        <f t="shared" si="1"/>
        <v>PREPARED</v>
      </c>
      <c r="J16" s="3" t="str">
        <f t="shared" ca="1" si="2"/>
        <v>DELIVERED</v>
      </c>
    </row>
    <row r="17" spans="1:10" x14ac:dyDescent="0.3">
      <c r="A17" s="16">
        <v>4500051217</v>
      </c>
      <c r="B17" s="15"/>
      <c r="C17" s="12">
        <v>45887</v>
      </c>
      <c r="D17" s="15" t="s">
        <v>12</v>
      </c>
      <c r="E17" s="15">
        <v>10</v>
      </c>
      <c r="F17" s="15">
        <v>10</v>
      </c>
      <c r="G17" s="15">
        <f t="shared" si="0"/>
        <v>0</v>
      </c>
      <c r="H17" s="12">
        <v>45887</v>
      </c>
      <c r="I17" s="15" t="str">
        <f t="shared" si="1"/>
        <v>PREPARED</v>
      </c>
      <c r="J17" s="3" t="str">
        <f t="shared" ca="1" si="2"/>
        <v>DELIVERED</v>
      </c>
    </row>
    <row r="18" spans="1:10" x14ac:dyDescent="0.3">
      <c r="A18" s="16">
        <v>4500049714</v>
      </c>
      <c r="B18" s="15"/>
      <c r="C18" s="12">
        <v>45898</v>
      </c>
      <c r="D18" s="15" t="s">
        <v>13</v>
      </c>
      <c r="E18" s="15">
        <v>10</v>
      </c>
      <c r="F18" s="15">
        <v>10</v>
      </c>
      <c r="G18" s="15">
        <f t="shared" si="0"/>
        <v>0</v>
      </c>
      <c r="H18" s="12">
        <v>45880</v>
      </c>
      <c r="I18" s="15" t="str">
        <f t="shared" si="1"/>
        <v>PREPARED</v>
      </c>
      <c r="J18" s="3" t="str">
        <f t="shared" ca="1" si="2"/>
        <v>DELIVERED</v>
      </c>
    </row>
    <row r="19" spans="1:10" x14ac:dyDescent="0.3">
      <c r="A19" s="16">
        <v>4500049714</v>
      </c>
      <c r="B19" s="15"/>
      <c r="C19" s="12">
        <v>45898</v>
      </c>
      <c r="D19" s="15" t="s">
        <v>5</v>
      </c>
      <c r="E19" s="15">
        <v>250</v>
      </c>
      <c r="F19" s="15">
        <v>250</v>
      </c>
      <c r="G19" s="15">
        <f t="shared" si="0"/>
        <v>0</v>
      </c>
      <c r="H19" s="12">
        <v>45860</v>
      </c>
      <c r="I19" s="15" t="str">
        <f t="shared" si="1"/>
        <v>PREPARED</v>
      </c>
      <c r="J19" s="3" t="str">
        <f t="shared" ca="1" si="2"/>
        <v>DELIVERED</v>
      </c>
    </row>
    <row r="20" spans="1:10" x14ac:dyDescent="0.3">
      <c r="A20" s="16">
        <v>4500049714</v>
      </c>
      <c r="B20" s="15"/>
      <c r="C20" s="12">
        <v>45898</v>
      </c>
      <c r="D20" s="15" t="s">
        <v>8</v>
      </c>
      <c r="E20" s="15">
        <v>200</v>
      </c>
      <c r="F20" s="15">
        <v>200</v>
      </c>
      <c r="G20" s="15">
        <f t="shared" si="0"/>
        <v>0</v>
      </c>
      <c r="H20" s="12">
        <v>45901</v>
      </c>
      <c r="I20" s="15" t="str">
        <f t="shared" si="1"/>
        <v>PREPARED</v>
      </c>
      <c r="J20" s="3" t="str">
        <f t="shared" ca="1" si="2"/>
        <v>DELIVERED</v>
      </c>
    </row>
    <row r="21" spans="1:10" x14ac:dyDescent="0.3">
      <c r="A21" s="16">
        <v>4500049714</v>
      </c>
      <c r="B21" s="15"/>
      <c r="C21" s="12">
        <v>45898</v>
      </c>
      <c r="D21" s="15" t="s">
        <v>4</v>
      </c>
      <c r="E21" s="15">
        <v>30</v>
      </c>
      <c r="F21" s="15">
        <v>30</v>
      </c>
      <c r="G21" s="15">
        <f t="shared" si="0"/>
        <v>0</v>
      </c>
      <c r="H21" s="12">
        <v>45901</v>
      </c>
      <c r="I21" s="15" t="str">
        <f t="shared" si="1"/>
        <v>PREPARED</v>
      </c>
      <c r="J21" s="3" t="str">
        <f t="shared" ca="1" si="2"/>
        <v>DELIVERED</v>
      </c>
    </row>
    <row r="22" spans="1:10" x14ac:dyDescent="0.3">
      <c r="A22" s="16">
        <v>4500049714</v>
      </c>
      <c r="B22" s="15"/>
      <c r="C22" s="12">
        <v>45898</v>
      </c>
      <c r="D22" s="15" t="s">
        <v>10</v>
      </c>
      <c r="E22" s="15">
        <v>10</v>
      </c>
      <c r="F22" s="15">
        <v>10</v>
      </c>
      <c r="G22" s="15">
        <f t="shared" si="0"/>
        <v>0</v>
      </c>
      <c r="H22" s="12">
        <v>45880</v>
      </c>
      <c r="I22" s="15" t="str">
        <f t="shared" si="1"/>
        <v>PREPARED</v>
      </c>
      <c r="J22" s="3" t="str">
        <f t="shared" ca="1" si="2"/>
        <v>DELIVERED</v>
      </c>
    </row>
    <row r="23" spans="1:10" x14ac:dyDescent="0.3">
      <c r="A23" s="16">
        <v>4500051217</v>
      </c>
      <c r="B23" s="15"/>
      <c r="C23" s="12">
        <v>45911</v>
      </c>
      <c r="D23" s="15" t="s">
        <v>9</v>
      </c>
      <c r="E23" s="15">
        <v>10</v>
      </c>
      <c r="F23" s="15">
        <v>10</v>
      </c>
      <c r="G23" s="15">
        <f t="shared" si="0"/>
        <v>0</v>
      </c>
      <c r="H23" s="12">
        <v>45902</v>
      </c>
      <c r="I23" s="15" t="str">
        <f t="shared" si="1"/>
        <v>PREPARED</v>
      </c>
      <c r="J23" s="3" t="str">
        <f t="shared" ca="1" si="2"/>
        <v>DELIVERED</v>
      </c>
    </row>
    <row r="24" spans="1:10" x14ac:dyDescent="0.3">
      <c r="A24" s="16">
        <v>4500052338</v>
      </c>
      <c r="B24" s="15"/>
      <c r="C24" s="12">
        <v>45922</v>
      </c>
      <c r="D24" s="15" t="s">
        <v>9</v>
      </c>
      <c r="E24" s="15">
        <v>20</v>
      </c>
      <c r="F24" s="15">
        <v>20</v>
      </c>
      <c r="G24" s="15">
        <f t="shared" si="0"/>
        <v>0</v>
      </c>
      <c r="H24" s="12">
        <v>45922</v>
      </c>
      <c r="I24" s="15" t="str">
        <f t="shared" si="1"/>
        <v>PREPARED</v>
      </c>
      <c r="J24" s="3" t="str">
        <f t="shared" ca="1" si="2"/>
        <v>DELIVERED</v>
      </c>
    </row>
    <row r="25" spans="1:10" ht="31.8" x14ac:dyDescent="0.3">
      <c r="A25" s="16">
        <v>4500049714</v>
      </c>
      <c r="B25" s="15"/>
      <c r="C25" s="12">
        <v>45930</v>
      </c>
      <c r="D25" s="15" t="s">
        <v>5</v>
      </c>
      <c r="E25" s="15">
        <v>250</v>
      </c>
      <c r="F25" s="15">
        <f>100+150</f>
        <v>250</v>
      </c>
      <c r="G25" s="15">
        <f t="shared" si="0"/>
        <v>0</v>
      </c>
      <c r="H25" s="13" t="s">
        <v>21</v>
      </c>
      <c r="I25" s="15" t="str">
        <f t="shared" si="1"/>
        <v>PREPARED</v>
      </c>
      <c r="J25" s="3" t="str">
        <f t="shared" ca="1" si="2"/>
        <v>DELIVERED</v>
      </c>
    </row>
    <row r="26" spans="1:10" x14ac:dyDescent="0.3">
      <c r="A26" s="16">
        <v>4500049714</v>
      </c>
      <c r="B26" s="15"/>
      <c r="C26" s="12">
        <v>45930</v>
      </c>
      <c r="D26" s="15" t="s">
        <v>8</v>
      </c>
      <c r="E26" s="15">
        <v>200</v>
      </c>
      <c r="F26" s="15">
        <v>200</v>
      </c>
      <c r="G26" s="15">
        <f t="shared" si="0"/>
        <v>0</v>
      </c>
      <c r="H26" s="12">
        <v>45916</v>
      </c>
      <c r="I26" s="15" t="str">
        <f t="shared" si="1"/>
        <v>PREPARED</v>
      </c>
      <c r="J26" s="3" t="str">
        <f t="shared" ca="1" si="2"/>
        <v>DELIVERED</v>
      </c>
    </row>
    <row r="27" spans="1:10" x14ac:dyDescent="0.3">
      <c r="A27" s="16">
        <v>4500049714</v>
      </c>
      <c r="B27" s="15"/>
      <c r="C27" s="12">
        <v>45930</v>
      </c>
      <c r="D27" s="15" t="s">
        <v>4</v>
      </c>
      <c r="E27" s="15">
        <v>30</v>
      </c>
      <c r="F27" s="15">
        <v>30</v>
      </c>
      <c r="G27" s="15">
        <f t="shared" si="0"/>
        <v>0</v>
      </c>
      <c r="H27" s="12">
        <v>45916</v>
      </c>
      <c r="I27" s="15" t="str">
        <f t="shared" si="1"/>
        <v>PREPARED</v>
      </c>
      <c r="J27" s="3" t="str">
        <f t="shared" ca="1" si="2"/>
        <v>DELIVERED</v>
      </c>
    </row>
    <row r="28" spans="1:10" x14ac:dyDescent="0.3">
      <c r="A28" s="16">
        <v>4500049714</v>
      </c>
      <c r="B28" s="15"/>
      <c r="C28" s="12">
        <v>45930</v>
      </c>
      <c r="D28" s="15" t="s">
        <v>10</v>
      </c>
      <c r="E28" s="15">
        <v>10</v>
      </c>
      <c r="F28" s="15">
        <v>10</v>
      </c>
      <c r="G28" s="15">
        <f t="shared" si="0"/>
        <v>0</v>
      </c>
      <c r="H28" s="12">
        <v>45910</v>
      </c>
      <c r="I28" s="15" t="str">
        <f t="shared" si="1"/>
        <v>PREPARED</v>
      </c>
      <c r="J28" s="3" t="str">
        <f t="shared" ca="1" si="2"/>
        <v>DELIVERED</v>
      </c>
    </row>
    <row r="29" spans="1:10" x14ac:dyDescent="0.3">
      <c r="A29" s="16">
        <v>4500052338</v>
      </c>
      <c r="B29" s="15"/>
      <c r="C29" s="12">
        <v>45946</v>
      </c>
      <c r="D29" s="15" t="s">
        <v>13</v>
      </c>
      <c r="E29" s="15">
        <v>10</v>
      </c>
      <c r="F29" s="15">
        <v>10</v>
      </c>
      <c r="G29" s="15">
        <f t="shared" si="0"/>
        <v>0</v>
      </c>
      <c r="H29" s="12">
        <v>1</v>
      </c>
      <c r="I29" s="15" t="str">
        <f t="shared" si="1"/>
        <v>PREPARED</v>
      </c>
      <c r="J29" s="3" t="str">
        <f t="shared" ca="1" si="2"/>
        <v>DELIVERED</v>
      </c>
    </row>
    <row r="30" spans="1:10" ht="21.6" x14ac:dyDescent="0.3">
      <c r="A30" s="16">
        <v>4500049714</v>
      </c>
      <c r="B30" s="15"/>
      <c r="C30" s="12">
        <v>45961</v>
      </c>
      <c r="D30" s="15" t="s">
        <v>5</v>
      </c>
      <c r="E30" s="15">
        <v>250</v>
      </c>
      <c r="F30" s="15">
        <v>250</v>
      </c>
      <c r="G30" s="15">
        <f t="shared" si="0"/>
        <v>0</v>
      </c>
      <c r="H30" s="13" t="s">
        <v>14</v>
      </c>
      <c r="I30" s="15" t="str">
        <f t="shared" si="1"/>
        <v>PREPARED</v>
      </c>
      <c r="J30" s="3" t="str">
        <f t="shared" ca="1" si="2"/>
        <v>DELIVERED</v>
      </c>
    </row>
    <row r="31" spans="1:10" x14ac:dyDescent="0.3">
      <c r="A31" s="16">
        <v>4500049714</v>
      </c>
      <c r="B31" s="15"/>
      <c r="C31" s="12">
        <v>45961</v>
      </c>
      <c r="D31" s="15" t="s">
        <v>8</v>
      </c>
      <c r="E31" s="15">
        <v>200</v>
      </c>
      <c r="F31" s="15">
        <v>200</v>
      </c>
      <c r="G31" s="15">
        <f t="shared" si="0"/>
        <v>0</v>
      </c>
      <c r="H31" s="12">
        <v>1</v>
      </c>
      <c r="I31" s="15" t="str">
        <f t="shared" si="1"/>
        <v>PREPARED</v>
      </c>
      <c r="J31" s="3" t="str">
        <f t="shared" ca="1" si="2"/>
        <v>DELIVERED</v>
      </c>
    </row>
    <row r="32" spans="1:10" x14ac:dyDescent="0.3">
      <c r="A32" s="16">
        <v>4500049714</v>
      </c>
      <c r="B32" s="15"/>
      <c r="C32" s="12">
        <v>45961</v>
      </c>
      <c r="D32" s="15" t="s">
        <v>4</v>
      </c>
      <c r="E32" s="15">
        <v>30</v>
      </c>
      <c r="F32" s="15">
        <v>30</v>
      </c>
      <c r="G32" s="15">
        <f t="shared" si="0"/>
        <v>0</v>
      </c>
      <c r="H32" s="12">
        <v>1</v>
      </c>
      <c r="I32" s="15" t="str">
        <f t="shared" si="1"/>
        <v>PREPARED</v>
      </c>
      <c r="J32" s="3" t="str">
        <f t="shared" ca="1" si="2"/>
        <v>DELIVERED</v>
      </c>
    </row>
    <row r="33" spans="1:11" x14ac:dyDescent="0.3">
      <c r="A33" s="16">
        <v>4500049714</v>
      </c>
      <c r="B33" s="15"/>
      <c r="C33" s="12">
        <v>45961</v>
      </c>
      <c r="D33" s="15" t="s">
        <v>10</v>
      </c>
      <c r="E33" s="15">
        <v>10</v>
      </c>
      <c r="F33" s="15">
        <v>10</v>
      </c>
      <c r="G33" s="15">
        <f t="shared" si="0"/>
        <v>0</v>
      </c>
      <c r="H33" s="12">
        <v>1</v>
      </c>
      <c r="I33" s="15" t="str">
        <f t="shared" si="1"/>
        <v>PREPARED</v>
      </c>
      <c r="J33" s="3" t="str">
        <f t="shared" ca="1" si="2"/>
        <v>DELIVERED</v>
      </c>
    </row>
    <row r="34" spans="1:11" x14ac:dyDescent="0.3">
      <c r="A34" s="16">
        <v>4500054754</v>
      </c>
      <c r="B34" s="15"/>
      <c r="C34" s="12">
        <v>45980</v>
      </c>
      <c r="D34" s="15" t="s">
        <v>5</v>
      </c>
      <c r="E34" s="15">
        <v>500</v>
      </c>
      <c r="F34" s="15">
        <v>500</v>
      </c>
      <c r="G34" s="15">
        <f t="shared" si="0"/>
        <v>0</v>
      </c>
      <c r="H34" s="12">
        <v>45980</v>
      </c>
      <c r="I34" s="15" t="str">
        <f t="shared" si="1"/>
        <v>PREPARED</v>
      </c>
      <c r="J34" s="3" t="str">
        <f t="shared" ca="1" si="2"/>
        <v>DELIVERED</v>
      </c>
    </row>
    <row r="35" spans="1:11" x14ac:dyDescent="0.3">
      <c r="A35" s="16">
        <v>4500054754</v>
      </c>
      <c r="B35" s="15"/>
      <c r="C35" s="12">
        <v>45980</v>
      </c>
      <c r="D35" s="15" t="s">
        <v>4</v>
      </c>
      <c r="E35" s="15">
        <v>90</v>
      </c>
      <c r="F35" s="15">
        <v>90</v>
      </c>
      <c r="G35" s="15">
        <f t="shared" ref="G35:G66" si="3">E35-F35</f>
        <v>0</v>
      </c>
      <c r="H35" s="12">
        <v>45980</v>
      </c>
      <c r="I35" s="15" t="str">
        <f t="shared" ref="I35:I71" si="4">IF(G35=0,"PREPARED","PENDING")</f>
        <v>PREPARED</v>
      </c>
      <c r="J35" s="3" t="str">
        <f t="shared" ref="J35:J66" ca="1" si="5">IF(H35="",IF(C35&lt;TODAY(),"PAST DUE",IF(C35=TODAY(),"TODAY SCHEDULE","NOTSCHEDULEDTODAY")),"DELIVERED")</f>
        <v>DELIVERED</v>
      </c>
    </row>
    <row r="36" spans="1:11" ht="21.6" x14ac:dyDescent="0.3">
      <c r="A36" s="16">
        <v>4500049714</v>
      </c>
      <c r="B36" s="15"/>
      <c r="C36" s="12">
        <v>45989</v>
      </c>
      <c r="D36" s="15" t="s">
        <v>5</v>
      </c>
      <c r="E36" s="15">
        <v>250</v>
      </c>
      <c r="F36" s="15">
        <v>250</v>
      </c>
      <c r="G36" s="15">
        <f t="shared" si="3"/>
        <v>0</v>
      </c>
      <c r="H36" s="13" t="s">
        <v>14</v>
      </c>
      <c r="I36" s="15" t="str">
        <f t="shared" si="4"/>
        <v>PREPARED</v>
      </c>
      <c r="J36" s="3" t="str">
        <f t="shared" ca="1" si="5"/>
        <v>DELIVERED</v>
      </c>
    </row>
    <row r="37" spans="1:11" x14ac:dyDescent="0.3">
      <c r="A37" s="16">
        <v>4500049714</v>
      </c>
      <c r="B37" s="15"/>
      <c r="C37" s="12">
        <v>45989</v>
      </c>
      <c r="D37" s="15" t="s">
        <v>8</v>
      </c>
      <c r="E37" s="15">
        <v>200</v>
      </c>
      <c r="F37" s="15">
        <v>200</v>
      </c>
      <c r="G37" s="15">
        <f t="shared" si="3"/>
        <v>0</v>
      </c>
      <c r="H37" s="12">
        <v>1</v>
      </c>
      <c r="I37" s="15" t="str">
        <f t="shared" si="4"/>
        <v>PREPARED</v>
      </c>
      <c r="J37" s="3" t="str">
        <f t="shared" ca="1" si="5"/>
        <v>DELIVERED</v>
      </c>
    </row>
    <row r="38" spans="1:11" x14ac:dyDescent="0.3">
      <c r="A38" s="16">
        <v>4500049714</v>
      </c>
      <c r="B38" s="15"/>
      <c r="C38" s="12">
        <v>45989</v>
      </c>
      <c r="D38" s="15" t="s">
        <v>4</v>
      </c>
      <c r="E38" s="15">
        <v>30</v>
      </c>
      <c r="F38" s="15">
        <v>30</v>
      </c>
      <c r="G38" s="15">
        <f t="shared" si="3"/>
        <v>0</v>
      </c>
      <c r="H38" s="12">
        <v>1</v>
      </c>
      <c r="I38" s="15" t="str">
        <f t="shared" si="4"/>
        <v>PREPARED</v>
      </c>
      <c r="J38" s="3" t="str">
        <f t="shared" ca="1" si="5"/>
        <v>DELIVERED</v>
      </c>
    </row>
    <row r="39" spans="1:11" x14ac:dyDescent="0.3">
      <c r="A39" s="16">
        <v>4500049714</v>
      </c>
      <c r="B39" s="15"/>
      <c r="C39" s="12">
        <v>45989</v>
      </c>
      <c r="D39" s="15" t="s">
        <v>10</v>
      </c>
      <c r="E39" s="15">
        <v>10</v>
      </c>
      <c r="F39" s="15">
        <v>10</v>
      </c>
      <c r="G39" s="15">
        <f t="shared" si="3"/>
        <v>0</v>
      </c>
      <c r="H39" s="12">
        <v>45989</v>
      </c>
      <c r="I39" s="15" t="str">
        <f t="shared" si="4"/>
        <v>PREPARED</v>
      </c>
      <c r="J39" s="3" t="str">
        <f t="shared" ca="1" si="5"/>
        <v>DELIVERED</v>
      </c>
    </row>
    <row r="40" spans="1:11" x14ac:dyDescent="0.3">
      <c r="A40" s="16">
        <v>4500055922</v>
      </c>
      <c r="B40" s="15"/>
      <c r="C40" s="12">
        <v>46013</v>
      </c>
      <c r="D40" s="15" t="s">
        <v>13</v>
      </c>
      <c r="E40" s="15">
        <v>20</v>
      </c>
      <c r="F40" s="15">
        <v>20</v>
      </c>
      <c r="G40" s="15">
        <f t="shared" si="3"/>
        <v>0</v>
      </c>
      <c r="H40" s="12">
        <v>46030</v>
      </c>
      <c r="I40" s="15" t="str">
        <f t="shared" si="4"/>
        <v>PREPARED</v>
      </c>
      <c r="J40" s="3" t="str">
        <f t="shared" ca="1" si="5"/>
        <v>DELIVERED</v>
      </c>
      <c r="K40" s="1" t="s">
        <v>15</v>
      </c>
    </row>
    <row r="41" spans="1:11" x14ac:dyDescent="0.3">
      <c r="A41" s="16">
        <v>4500055143</v>
      </c>
      <c r="B41" s="15"/>
      <c r="C41" s="12">
        <v>46017</v>
      </c>
      <c r="D41" s="15" t="s">
        <v>5</v>
      </c>
      <c r="E41" s="15">
        <v>250</v>
      </c>
      <c r="F41" s="15">
        <v>250</v>
      </c>
      <c r="G41" s="15">
        <f t="shared" si="3"/>
        <v>0</v>
      </c>
      <c r="H41" s="12">
        <v>46017</v>
      </c>
      <c r="I41" s="15" t="str">
        <f t="shared" si="4"/>
        <v>PREPARED</v>
      </c>
      <c r="J41" s="3" t="str">
        <f t="shared" ca="1" si="5"/>
        <v>DELIVERED</v>
      </c>
    </row>
    <row r="42" spans="1:11" x14ac:dyDescent="0.3">
      <c r="A42" s="16">
        <v>4500055143</v>
      </c>
      <c r="B42" s="15"/>
      <c r="C42" s="12">
        <v>46017</v>
      </c>
      <c r="D42" s="15" t="s">
        <v>9</v>
      </c>
      <c r="E42" s="15">
        <v>10</v>
      </c>
      <c r="F42" s="15">
        <v>10</v>
      </c>
      <c r="G42" s="15">
        <f t="shared" si="3"/>
        <v>0</v>
      </c>
      <c r="H42" s="12">
        <v>46008</v>
      </c>
      <c r="I42" s="15" t="str">
        <f t="shared" si="4"/>
        <v>PREPARED</v>
      </c>
      <c r="J42" s="3" t="str">
        <f t="shared" ca="1" si="5"/>
        <v>DELIVERED</v>
      </c>
    </row>
    <row r="43" spans="1:11" x14ac:dyDescent="0.3">
      <c r="A43" s="16">
        <v>4500049714</v>
      </c>
      <c r="B43" s="15"/>
      <c r="C43" s="12">
        <v>46021</v>
      </c>
      <c r="D43" s="15" t="s">
        <v>5</v>
      </c>
      <c r="E43" s="15">
        <v>250</v>
      </c>
      <c r="F43" s="15">
        <v>250</v>
      </c>
      <c r="G43" s="15">
        <f t="shared" si="3"/>
        <v>0</v>
      </c>
      <c r="H43" s="12">
        <v>1</v>
      </c>
      <c r="I43" s="15" t="str">
        <f t="shared" si="4"/>
        <v>PREPARED</v>
      </c>
      <c r="J43" s="3" t="str">
        <f t="shared" ca="1" si="5"/>
        <v>DELIVERED</v>
      </c>
    </row>
    <row r="44" spans="1:11" x14ac:dyDescent="0.3">
      <c r="A44" s="16">
        <v>4500049714</v>
      </c>
      <c r="B44" s="15"/>
      <c r="C44" s="12">
        <v>46021</v>
      </c>
      <c r="D44" s="15" t="s">
        <v>4</v>
      </c>
      <c r="E44" s="15">
        <v>30</v>
      </c>
      <c r="F44" s="15">
        <v>30</v>
      </c>
      <c r="G44" s="15">
        <f t="shared" si="3"/>
        <v>0</v>
      </c>
      <c r="H44" s="12">
        <v>1</v>
      </c>
      <c r="I44" s="15" t="str">
        <f t="shared" si="4"/>
        <v>PREPARED</v>
      </c>
      <c r="J44" s="3" t="str">
        <f t="shared" ca="1" si="5"/>
        <v>DELIVERED</v>
      </c>
    </row>
    <row r="45" spans="1:11" x14ac:dyDescent="0.3">
      <c r="A45" s="16">
        <v>4500049714</v>
      </c>
      <c r="B45" s="15"/>
      <c r="C45" s="12">
        <v>46021</v>
      </c>
      <c r="D45" s="15" t="s">
        <v>10</v>
      </c>
      <c r="E45" s="15">
        <v>10</v>
      </c>
      <c r="F45" s="15">
        <v>10</v>
      </c>
      <c r="G45" s="15">
        <f t="shared" si="3"/>
        <v>0</v>
      </c>
      <c r="H45" s="12">
        <v>46021</v>
      </c>
      <c r="I45" s="15" t="str">
        <f t="shared" si="4"/>
        <v>PREPARED</v>
      </c>
      <c r="J45" s="3" t="str">
        <f t="shared" ca="1" si="5"/>
        <v>DELIVERED</v>
      </c>
    </row>
    <row r="46" spans="1:11" x14ac:dyDescent="0.3">
      <c r="A46" s="16">
        <v>4500055578</v>
      </c>
      <c r="B46" s="15"/>
      <c r="C46" s="12">
        <v>46030</v>
      </c>
      <c r="D46" s="15" t="s">
        <v>5</v>
      </c>
      <c r="E46" s="15">
        <v>250</v>
      </c>
      <c r="F46" s="15">
        <v>250</v>
      </c>
      <c r="G46" s="15">
        <f t="shared" si="3"/>
        <v>0</v>
      </c>
      <c r="H46" s="12">
        <v>46030</v>
      </c>
      <c r="I46" s="15" t="str">
        <f t="shared" si="4"/>
        <v>PREPARED</v>
      </c>
      <c r="J46" s="3" t="str">
        <f t="shared" ca="1" si="5"/>
        <v>DELIVERED</v>
      </c>
    </row>
    <row r="47" spans="1:11" x14ac:dyDescent="0.3">
      <c r="A47" s="16">
        <v>4500055922</v>
      </c>
      <c r="B47" s="15"/>
      <c r="C47" s="12">
        <v>46038</v>
      </c>
      <c r="D47" s="15" t="s">
        <v>4</v>
      </c>
      <c r="E47" s="15">
        <v>30</v>
      </c>
      <c r="F47" s="15">
        <v>30</v>
      </c>
      <c r="G47" s="15">
        <f t="shared" si="3"/>
        <v>0</v>
      </c>
      <c r="H47" s="12">
        <v>46037</v>
      </c>
      <c r="I47" s="15" t="str">
        <f t="shared" si="4"/>
        <v>PREPARED</v>
      </c>
      <c r="J47" s="3" t="str">
        <f t="shared" ca="1" si="5"/>
        <v>DELIVERED</v>
      </c>
    </row>
    <row r="48" spans="1:11" x14ac:dyDescent="0.3">
      <c r="A48" s="16">
        <v>4500055922</v>
      </c>
      <c r="B48" s="15"/>
      <c r="C48" s="12">
        <v>46038</v>
      </c>
      <c r="D48" s="15" t="s">
        <v>9</v>
      </c>
      <c r="E48" s="15">
        <v>10</v>
      </c>
      <c r="F48" s="15">
        <v>10</v>
      </c>
      <c r="G48" s="15">
        <f t="shared" si="3"/>
        <v>0</v>
      </c>
      <c r="H48" s="12">
        <v>46037</v>
      </c>
      <c r="I48" s="15" t="str">
        <f t="shared" si="4"/>
        <v>PREPARED</v>
      </c>
      <c r="J48" s="3" t="str">
        <f t="shared" ca="1" si="5"/>
        <v>DELIVERED</v>
      </c>
    </row>
    <row r="49" spans="1:10" x14ac:dyDescent="0.3">
      <c r="A49" s="16">
        <v>4500056773</v>
      </c>
      <c r="B49" s="15"/>
      <c r="C49" s="12">
        <v>46038</v>
      </c>
      <c r="D49" s="15" t="s">
        <v>16</v>
      </c>
      <c r="E49" s="15">
        <v>10</v>
      </c>
      <c r="F49" s="15">
        <v>10</v>
      </c>
      <c r="G49" s="15">
        <f t="shared" si="3"/>
        <v>0</v>
      </c>
      <c r="H49" s="12">
        <v>46321</v>
      </c>
      <c r="I49" s="15" t="str">
        <f t="shared" si="4"/>
        <v>PREPARED</v>
      </c>
      <c r="J49" s="3" t="str">
        <f t="shared" ca="1" si="5"/>
        <v>DELIVERED</v>
      </c>
    </row>
    <row r="50" spans="1:10" x14ac:dyDescent="0.3">
      <c r="A50" s="16">
        <v>4500056102</v>
      </c>
      <c r="B50" s="15"/>
      <c r="C50" s="12">
        <v>46043</v>
      </c>
      <c r="D50" s="15" t="s">
        <v>10</v>
      </c>
      <c r="E50" s="15">
        <v>10</v>
      </c>
      <c r="F50" s="15">
        <v>10</v>
      </c>
      <c r="G50" s="15">
        <f t="shared" si="3"/>
        <v>0</v>
      </c>
      <c r="H50" s="12">
        <v>46042</v>
      </c>
      <c r="I50" s="15" t="str">
        <f t="shared" si="4"/>
        <v>PREPARED</v>
      </c>
      <c r="J50" s="3" t="str">
        <f t="shared" ca="1" si="5"/>
        <v>DELIVERED</v>
      </c>
    </row>
    <row r="51" spans="1:10" x14ac:dyDescent="0.3">
      <c r="A51" s="16">
        <v>4500056102</v>
      </c>
      <c r="B51" s="15"/>
      <c r="C51" s="12">
        <v>46043</v>
      </c>
      <c r="D51" s="15" t="s">
        <v>4</v>
      </c>
      <c r="E51" s="15">
        <v>30</v>
      </c>
      <c r="F51" s="15">
        <v>30</v>
      </c>
      <c r="G51" s="15">
        <f t="shared" si="3"/>
        <v>0</v>
      </c>
      <c r="H51" s="12">
        <v>46042</v>
      </c>
      <c r="I51" s="15" t="str">
        <f t="shared" si="4"/>
        <v>PREPARED</v>
      </c>
      <c r="J51" s="3" t="str">
        <f t="shared" ca="1" si="5"/>
        <v>DELIVERED</v>
      </c>
    </row>
    <row r="52" spans="1:10" x14ac:dyDescent="0.3">
      <c r="A52" s="16">
        <v>4500056339</v>
      </c>
      <c r="B52" s="15"/>
      <c r="C52" s="12">
        <v>46051</v>
      </c>
      <c r="D52" s="15" t="s">
        <v>5</v>
      </c>
      <c r="E52" s="15">
        <v>250</v>
      </c>
      <c r="F52" s="15">
        <v>250</v>
      </c>
      <c r="G52" s="15">
        <f t="shared" si="3"/>
        <v>0</v>
      </c>
      <c r="H52" s="12">
        <v>46050</v>
      </c>
      <c r="I52" s="15" t="str">
        <f t="shared" si="4"/>
        <v>PREPARED</v>
      </c>
      <c r="J52" s="3" t="str">
        <f t="shared" ca="1" si="5"/>
        <v>DELIVERED</v>
      </c>
    </row>
    <row r="53" spans="1:10" x14ac:dyDescent="0.3">
      <c r="A53" s="16">
        <v>4500057055</v>
      </c>
      <c r="B53" s="15">
        <v>10</v>
      </c>
      <c r="C53" s="12">
        <v>46080</v>
      </c>
      <c r="D53" s="15" t="s">
        <v>12</v>
      </c>
      <c r="E53" s="15">
        <v>10</v>
      </c>
      <c r="F53" s="15">
        <v>10</v>
      </c>
      <c r="G53" s="15">
        <f t="shared" si="3"/>
        <v>0</v>
      </c>
      <c r="H53" s="12">
        <v>46079</v>
      </c>
      <c r="I53" s="15" t="str">
        <f t="shared" si="4"/>
        <v>PREPARED</v>
      </c>
      <c r="J53" s="3" t="str">
        <f t="shared" ca="1" si="5"/>
        <v>DELIVERED</v>
      </c>
    </row>
    <row r="54" spans="1:10" x14ac:dyDescent="0.3">
      <c r="A54" s="16">
        <v>4500057055</v>
      </c>
      <c r="B54" s="15">
        <v>30</v>
      </c>
      <c r="C54" s="12">
        <v>46080</v>
      </c>
      <c r="D54" s="15" t="s">
        <v>5</v>
      </c>
      <c r="E54" s="15">
        <v>250</v>
      </c>
      <c r="F54" s="15">
        <v>250</v>
      </c>
      <c r="G54" s="15">
        <f t="shared" si="3"/>
        <v>0</v>
      </c>
      <c r="H54" s="12">
        <v>46079</v>
      </c>
      <c r="I54" s="15" t="str">
        <f t="shared" si="4"/>
        <v>PREPARED</v>
      </c>
      <c r="J54" s="3" t="str">
        <f t="shared" ca="1" si="5"/>
        <v>DELIVERED</v>
      </c>
    </row>
    <row r="55" spans="1:10" x14ac:dyDescent="0.3">
      <c r="A55" s="16">
        <v>4500057055</v>
      </c>
      <c r="B55" s="15">
        <v>70</v>
      </c>
      <c r="C55" s="12">
        <v>46080</v>
      </c>
      <c r="D55" s="15" t="s">
        <v>9</v>
      </c>
      <c r="E55" s="15">
        <v>10</v>
      </c>
      <c r="F55" s="15">
        <v>10</v>
      </c>
      <c r="G55" s="15">
        <f t="shared" si="3"/>
        <v>0</v>
      </c>
      <c r="H55" s="12">
        <v>46079</v>
      </c>
      <c r="I55" s="15" t="str">
        <f t="shared" si="4"/>
        <v>PREPARED</v>
      </c>
      <c r="J55" s="3" t="str">
        <f t="shared" ca="1" si="5"/>
        <v>DELIVERED</v>
      </c>
    </row>
    <row r="56" spans="1:10" x14ac:dyDescent="0.3">
      <c r="A56" s="16">
        <v>4500057055</v>
      </c>
      <c r="B56" s="15">
        <v>100</v>
      </c>
      <c r="C56" s="12">
        <v>46080</v>
      </c>
      <c r="D56" s="15" t="s">
        <v>4</v>
      </c>
      <c r="E56" s="15">
        <v>30</v>
      </c>
      <c r="F56" s="15">
        <v>30</v>
      </c>
      <c r="G56" s="15">
        <f t="shared" si="3"/>
        <v>0</v>
      </c>
      <c r="H56" s="12">
        <v>46079</v>
      </c>
      <c r="I56" s="15" t="str">
        <f t="shared" si="4"/>
        <v>PREPARED</v>
      </c>
      <c r="J56" s="3" t="str">
        <f t="shared" ca="1" si="5"/>
        <v>DELIVERED</v>
      </c>
    </row>
    <row r="57" spans="1:10" x14ac:dyDescent="0.3">
      <c r="A57" s="16">
        <v>4500057055</v>
      </c>
      <c r="B57" s="15">
        <v>150</v>
      </c>
      <c r="C57" s="12">
        <v>46080</v>
      </c>
      <c r="D57" s="15" t="s">
        <v>10</v>
      </c>
      <c r="E57" s="15">
        <v>10</v>
      </c>
      <c r="F57" s="15">
        <v>10</v>
      </c>
      <c r="G57" s="15">
        <f t="shared" si="3"/>
        <v>0</v>
      </c>
      <c r="H57" s="12">
        <v>46079</v>
      </c>
      <c r="I57" s="15" t="str">
        <f t="shared" si="4"/>
        <v>PREPARED</v>
      </c>
      <c r="J57" s="3" t="str">
        <f t="shared" ca="1" si="5"/>
        <v>DELIVERED</v>
      </c>
    </row>
    <row r="58" spans="1:10" x14ac:dyDescent="0.3">
      <c r="A58" s="16">
        <v>4500057055</v>
      </c>
      <c r="B58" s="15">
        <v>170</v>
      </c>
      <c r="C58" s="12">
        <v>46080</v>
      </c>
      <c r="D58" s="15" t="s">
        <v>13</v>
      </c>
      <c r="E58" s="15">
        <v>10</v>
      </c>
      <c r="F58" s="15">
        <v>10</v>
      </c>
      <c r="G58" s="15">
        <f t="shared" si="3"/>
        <v>0</v>
      </c>
      <c r="H58" s="12">
        <v>46079</v>
      </c>
      <c r="I58" s="15" t="str">
        <f t="shared" si="4"/>
        <v>PREPARED</v>
      </c>
      <c r="J58" s="3" t="str">
        <f t="shared" ca="1" si="5"/>
        <v>DELIVERED</v>
      </c>
    </row>
    <row r="59" spans="1:10" x14ac:dyDescent="0.3">
      <c r="A59" s="16">
        <v>4500057055</v>
      </c>
      <c r="B59" s="15">
        <v>20</v>
      </c>
      <c r="C59" s="12">
        <v>46112</v>
      </c>
      <c r="D59" s="15" t="s">
        <v>12</v>
      </c>
      <c r="E59" s="15">
        <v>10</v>
      </c>
      <c r="F59" s="15">
        <v>10</v>
      </c>
      <c r="G59" s="15">
        <f t="shared" si="3"/>
        <v>0</v>
      </c>
      <c r="H59" s="12">
        <v>46112</v>
      </c>
      <c r="I59" s="15" t="str">
        <f t="shared" si="4"/>
        <v>PREPARED</v>
      </c>
      <c r="J59" s="3" t="str">
        <f t="shared" ca="1" si="5"/>
        <v>DELIVERED</v>
      </c>
    </row>
    <row r="60" spans="1:10" x14ac:dyDescent="0.3">
      <c r="A60" s="16">
        <v>4500057055</v>
      </c>
      <c r="B60" s="15">
        <v>40</v>
      </c>
      <c r="C60" s="12">
        <v>46112</v>
      </c>
      <c r="D60" s="15" t="s">
        <v>5</v>
      </c>
      <c r="E60" s="15">
        <v>250</v>
      </c>
      <c r="F60" s="15">
        <v>250</v>
      </c>
      <c r="G60" s="15">
        <f t="shared" si="3"/>
        <v>0</v>
      </c>
      <c r="H60" s="12">
        <v>46108</v>
      </c>
      <c r="I60" s="15" t="str">
        <f t="shared" si="4"/>
        <v>PREPARED</v>
      </c>
      <c r="J60" s="3" t="str">
        <f t="shared" ca="1" si="5"/>
        <v>DELIVERED</v>
      </c>
    </row>
    <row r="61" spans="1:10" x14ac:dyDescent="0.3">
      <c r="A61" s="16">
        <v>4500057055</v>
      </c>
      <c r="B61" s="15">
        <v>80</v>
      </c>
      <c r="C61" s="12">
        <v>46112</v>
      </c>
      <c r="D61" s="15" t="s">
        <v>9</v>
      </c>
      <c r="E61" s="15">
        <v>10</v>
      </c>
      <c r="F61" s="15">
        <v>10</v>
      </c>
      <c r="G61" s="15">
        <f t="shared" si="3"/>
        <v>0</v>
      </c>
      <c r="H61" s="12">
        <v>46112</v>
      </c>
      <c r="I61" s="15" t="str">
        <f t="shared" si="4"/>
        <v>PREPARED</v>
      </c>
      <c r="J61" s="3" t="str">
        <f t="shared" ca="1" si="5"/>
        <v>DELIVERED</v>
      </c>
    </row>
    <row r="62" spans="1:10" x14ac:dyDescent="0.3">
      <c r="A62" s="16">
        <v>4500057055</v>
      </c>
      <c r="B62" s="15">
        <v>110</v>
      </c>
      <c r="C62" s="12">
        <v>46112</v>
      </c>
      <c r="D62" s="15" t="s">
        <v>4</v>
      </c>
      <c r="E62" s="15">
        <v>30</v>
      </c>
      <c r="F62" s="15">
        <v>30</v>
      </c>
      <c r="G62" s="15">
        <f t="shared" si="3"/>
        <v>0</v>
      </c>
      <c r="H62" s="12">
        <v>46112</v>
      </c>
      <c r="I62" s="15" t="str">
        <f t="shared" si="4"/>
        <v>PREPARED</v>
      </c>
      <c r="J62" s="3" t="str">
        <f t="shared" ca="1" si="5"/>
        <v>DELIVERED</v>
      </c>
    </row>
    <row r="63" spans="1:10" x14ac:dyDescent="0.3">
      <c r="A63" s="16">
        <v>4500057055</v>
      </c>
      <c r="B63" s="15">
        <v>160</v>
      </c>
      <c r="C63" s="12">
        <v>46112</v>
      </c>
      <c r="D63" s="15" t="s">
        <v>10</v>
      </c>
      <c r="E63" s="15">
        <v>10</v>
      </c>
      <c r="F63" s="15">
        <v>10</v>
      </c>
      <c r="G63" s="15">
        <f t="shared" si="3"/>
        <v>0</v>
      </c>
      <c r="H63" s="12">
        <v>46112</v>
      </c>
      <c r="I63" s="15" t="str">
        <f t="shared" si="4"/>
        <v>PREPARED</v>
      </c>
      <c r="J63" s="3" t="str">
        <f t="shared" ca="1" si="5"/>
        <v>DELIVERED</v>
      </c>
    </row>
    <row r="64" spans="1:10" x14ac:dyDescent="0.3">
      <c r="A64" s="16">
        <v>4500057055</v>
      </c>
      <c r="B64" s="15">
        <v>180</v>
      </c>
      <c r="C64" s="12">
        <v>46112</v>
      </c>
      <c r="D64" s="15" t="s">
        <v>13</v>
      </c>
      <c r="E64" s="15">
        <v>10</v>
      </c>
      <c r="F64" s="15">
        <v>10</v>
      </c>
      <c r="G64" s="15">
        <f t="shared" si="3"/>
        <v>0</v>
      </c>
      <c r="H64" s="12">
        <v>46112</v>
      </c>
      <c r="I64" s="15" t="str">
        <f t="shared" si="4"/>
        <v>PREPARED</v>
      </c>
      <c r="J64" s="3" t="str">
        <f t="shared" ca="1" si="5"/>
        <v>DELIVERED</v>
      </c>
    </row>
    <row r="65" spans="1:10" x14ac:dyDescent="0.3">
      <c r="A65" s="16">
        <v>4500057055</v>
      </c>
      <c r="B65" s="15">
        <v>50</v>
      </c>
      <c r="C65" s="12">
        <v>46142</v>
      </c>
      <c r="D65" s="15" t="s">
        <v>5</v>
      </c>
      <c r="E65" s="15">
        <v>250</v>
      </c>
      <c r="F65" s="15">
        <v>250</v>
      </c>
      <c r="G65" s="15">
        <f t="shared" si="3"/>
        <v>0</v>
      </c>
      <c r="H65" s="12">
        <v>46108</v>
      </c>
      <c r="I65" s="15" t="str">
        <f t="shared" si="4"/>
        <v>PREPARED</v>
      </c>
      <c r="J65" s="3" t="str">
        <f t="shared" ca="1" si="5"/>
        <v>DELIVERED</v>
      </c>
    </row>
    <row r="66" spans="1:10" x14ac:dyDescent="0.3">
      <c r="A66" s="16">
        <v>4500057055</v>
      </c>
      <c r="B66" s="15">
        <v>90</v>
      </c>
      <c r="C66" s="12">
        <v>46142</v>
      </c>
      <c r="D66" s="15" t="s">
        <v>9</v>
      </c>
      <c r="E66" s="15">
        <v>10</v>
      </c>
      <c r="F66" s="15">
        <v>10</v>
      </c>
      <c r="G66" s="15">
        <f t="shared" si="3"/>
        <v>0</v>
      </c>
      <c r="H66" s="12">
        <v>46118</v>
      </c>
      <c r="I66" s="15" t="str">
        <f t="shared" si="4"/>
        <v>PREPARED</v>
      </c>
      <c r="J66" s="3" t="str">
        <f t="shared" ca="1" si="5"/>
        <v>DELIVERED</v>
      </c>
    </row>
    <row r="67" spans="1:10" x14ac:dyDescent="0.3">
      <c r="A67" s="16">
        <v>4500057055</v>
      </c>
      <c r="B67" s="15">
        <v>120</v>
      </c>
      <c r="C67" s="12">
        <v>46142</v>
      </c>
      <c r="D67" s="15" t="s">
        <v>4</v>
      </c>
      <c r="E67" s="15">
        <v>30</v>
      </c>
      <c r="F67" s="15">
        <v>30</v>
      </c>
      <c r="G67" s="15">
        <f t="shared" ref="G67:G72" si="6">E67-F67</f>
        <v>0</v>
      </c>
      <c r="H67" s="12">
        <v>46118</v>
      </c>
      <c r="I67" s="15" t="str">
        <f t="shared" si="4"/>
        <v>PREPARED</v>
      </c>
      <c r="J67" s="3" t="str">
        <f t="shared" ref="J67:J72" ca="1" si="7">IF(H67="",IF(C67&lt;TODAY(),"PAST DUE",IF(C67=TODAY(),"TODAY SCHEDULE","NOTSCHEDULEDTODAY")),"DELIVERED")</f>
        <v>DELIVERED</v>
      </c>
    </row>
    <row r="68" spans="1:10" x14ac:dyDescent="0.3">
      <c r="A68" s="16">
        <v>4500057055</v>
      </c>
      <c r="B68" s="15">
        <v>60</v>
      </c>
      <c r="C68" s="12">
        <v>46171</v>
      </c>
      <c r="D68" s="15" t="s">
        <v>5</v>
      </c>
      <c r="E68" s="15">
        <v>250</v>
      </c>
      <c r="F68" s="15">
        <v>250</v>
      </c>
      <c r="G68" s="15">
        <f t="shared" si="6"/>
        <v>0</v>
      </c>
      <c r="H68" s="12">
        <v>46120</v>
      </c>
      <c r="I68" s="15" t="str">
        <f t="shared" si="4"/>
        <v>PREPARED</v>
      </c>
      <c r="J68" s="3" t="str">
        <f t="shared" ca="1" si="7"/>
        <v>DELIVERED</v>
      </c>
    </row>
    <row r="69" spans="1:10" x14ac:dyDescent="0.3">
      <c r="A69" s="16">
        <v>4500057055</v>
      </c>
      <c r="B69" s="15">
        <v>130</v>
      </c>
      <c r="C69" s="12">
        <v>46171</v>
      </c>
      <c r="D69" s="15" t="s">
        <v>4</v>
      </c>
      <c r="E69" s="15">
        <v>30</v>
      </c>
      <c r="F69" s="15">
        <f>10+20</f>
        <v>30</v>
      </c>
      <c r="G69" s="15">
        <f t="shared" si="6"/>
        <v>0</v>
      </c>
      <c r="H69" s="12" t="s">
        <v>18</v>
      </c>
      <c r="I69" s="15" t="str">
        <f t="shared" si="4"/>
        <v>PREPARED</v>
      </c>
      <c r="J69" s="3" t="str">
        <f t="shared" ca="1" si="7"/>
        <v>DELIVERED</v>
      </c>
    </row>
    <row r="70" spans="1:10" x14ac:dyDescent="0.3">
      <c r="A70" s="16">
        <v>4500057055</v>
      </c>
      <c r="B70" s="15">
        <v>140</v>
      </c>
      <c r="C70" s="12">
        <v>46203</v>
      </c>
      <c r="D70" s="15" t="s">
        <v>4</v>
      </c>
      <c r="E70" s="15">
        <v>30</v>
      </c>
      <c r="F70" s="15">
        <v>30</v>
      </c>
      <c r="G70" s="15">
        <f t="shared" si="6"/>
        <v>0</v>
      </c>
      <c r="H70" s="12">
        <v>46151</v>
      </c>
      <c r="I70" s="15" t="str">
        <f t="shared" si="4"/>
        <v>PREPARED</v>
      </c>
      <c r="J70" s="3" t="str">
        <f t="shared" ca="1" si="7"/>
        <v>DELIVERED</v>
      </c>
    </row>
    <row r="71" spans="1:10" x14ac:dyDescent="0.3">
      <c r="A71" s="17">
        <v>4500060091</v>
      </c>
      <c r="B71" s="4">
        <v>20</v>
      </c>
      <c r="C71" s="14">
        <v>46155</v>
      </c>
      <c r="D71" s="4" t="s">
        <v>9</v>
      </c>
      <c r="E71" s="4">
        <v>20</v>
      </c>
      <c r="F71" s="4">
        <v>20</v>
      </c>
      <c r="G71" s="4">
        <f t="shared" si="6"/>
        <v>0</v>
      </c>
      <c r="H71" s="14">
        <v>46154</v>
      </c>
      <c r="I71" s="4" t="str">
        <f t="shared" si="4"/>
        <v>PREPARED</v>
      </c>
      <c r="J71" s="3" t="str">
        <f t="shared" ca="1" si="7"/>
        <v>DELIVERED</v>
      </c>
    </row>
    <row r="72" spans="1:10" x14ac:dyDescent="0.3">
      <c r="A72" s="17">
        <v>4500059533</v>
      </c>
      <c r="B72" s="4">
        <v>10</v>
      </c>
      <c r="C72" s="14">
        <v>46142</v>
      </c>
      <c r="D72" s="4" t="s">
        <v>10</v>
      </c>
      <c r="E72" s="4">
        <v>10</v>
      </c>
      <c r="F72" s="4">
        <v>10</v>
      </c>
      <c r="G72" s="4">
        <f t="shared" si="6"/>
        <v>0</v>
      </c>
      <c r="H72" s="14">
        <v>46141</v>
      </c>
      <c r="I72" s="4" t="str">
        <f t="shared" ref="I72" si="8">IF(G72=0,"PREPARED","PENDING")</f>
        <v>PREPARED</v>
      </c>
      <c r="J72" s="4" t="str">
        <f t="shared" ca="1" si="7"/>
        <v>DELIVERED</v>
      </c>
    </row>
  </sheetData>
  <conditionalFormatting sqref="J1:J1048576">
    <cfRule type="containsText" dxfId="7" priority="2" operator="containsText" text="PAST DUE">
      <formula>NOT(ISERROR(SEARCH("PAST DUE",J1)))</formula>
    </cfRule>
    <cfRule type="containsText" dxfId="4" priority="4" operator="containsText" text="DELIVERED">
      <formula>NOT(ISERROR(SEARCH("DELIVERED",J1)))</formula>
    </cfRule>
  </conditionalFormatting>
  <conditionalFormatting sqref="J3:J70">
    <cfRule type="containsText" dxfId="6" priority="1" operator="containsText" text="TODAY SCHEDULE">
      <formula>NOT(ISERROR(SEARCH("TODAY SCHEDULE",J3)))</formula>
    </cfRule>
  </conditionalFormatting>
  <conditionalFormatting sqref="J24:J70">
    <cfRule type="containsText" dxfId="5" priority="5" operator="containsText" text="TODAY SCHEDULE">
      <formula>NOT(ISERROR(SEARCH("TODAY SCHEDULE",J24)))</formula>
    </cfRule>
  </conditionalFormatting>
  <pageMargins left="0.7" right="0.7" top="0.75" bottom="0.75" header="0.3" footer="0.3"/>
  <pageSetup paperSize="9" scale="76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Eoc Dxb</dc:creator>
  <cp:lastModifiedBy>Leolou Jeffrey Sanchez</cp:lastModifiedBy>
  <cp:lastPrinted>2025-12-18T07:48:11Z</cp:lastPrinted>
  <dcterms:created xsi:type="dcterms:W3CDTF">2025-06-25T08:16:55Z</dcterms:created>
  <dcterms:modified xsi:type="dcterms:W3CDTF">2026-06-15T23:50:51Z</dcterms:modified>
</cp:coreProperties>
</file>