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eff\Downloads\eoc monitoring for portfolio\"/>
    </mc:Choice>
  </mc:AlternateContent>
  <xr:revisionPtr revIDLastSave="0" documentId="13_ncr:1_{0B8AF6F8-E350-4982-832C-2AFC855A126C}" xr6:coauthVersionLast="47" xr6:coauthVersionMax="47" xr10:uidLastSave="{00000000-0000-0000-0000-000000000000}"/>
  <bookViews>
    <workbookView xWindow="-108" yWindow="-108" windowWidth="23256" windowHeight="12456" tabRatio="888" activeTab="1" xr2:uid="{45D53678-193A-4E3A-A94C-EA0535E42D5F}"/>
  </bookViews>
  <sheets>
    <sheet name="Contacts List" sheetId="2" r:id="rId1"/>
    <sheet name="SUMMARY" sheetId="12" r:id="rId2"/>
    <sheet name="SKIN MARKER - TONDAUS" sheetId="10" r:id="rId3"/>
    <sheet name="IOB BLANKET-MACHINE" sheetId="7" r:id="rId4"/>
    <sheet name="LABTEK - SLEEVES-MACHINE" sheetId="11" r:id="rId5"/>
    <sheet name="ULTRASOUND GEL - TIANJIN" sheetId="5" r:id="rId6"/>
    <sheet name="GAUZE - JIUJIANG HUADA" sheetId="19" r:id="rId7"/>
    <sheet name="STOCKINGS - VARIMED" sheetId="16" r:id="rId8"/>
    <sheet name="ELECTROSURGICAL PENCIL - ZHEJIA" sheetId="18" r:id="rId9"/>
    <sheet name="SWAB APPLICATOR" sheetId="13" r:id="rId10"/>
    <sheet name="VEIN VIEWER" sheetId="14" r:id="rId11"/>
    <sheet name="SLEEVES - Suzhou Minha" sheetId="8" r:id="rId12"/>
    <sheet name="GAUZE - JIUJANG HUADA" sheetId="9" r:id="rId13"/>
    <sheet name="DDL" sheetId="3" r:id="rId14"/>
    <sheet name="Monitor" sheetId="1" r:id="rId15"/>
    <sheet name="Sheet1" sheetId="4" r:id="rId16"/>
  </sheets>
  <definedNames>
    <definedName name="_xlnm._FilterDatabase" localSheetId="14" hidden="1">Monitor!$A$2:$P$2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7" i="11" l="1"/>
  <c r="E58" i="11"/>
  <c r="E57" i="11"/>
  <c r="H7" i="19" l="1"/>
  <c r="G11" i="19"/>
  <c r="F8" i="12" l="1"/>
  <c r="F7" i="12"/>
  <c r="E8" i="12"/>
  <c r="E7" i="12"/>
  <c r="H8" i="12"/>
  <c r="C8" i="12"/>
  <c r="D8" i="12"/>
  <c r="G8" i="19"/>
  <c r="G9" i="19"/>
  <c r="G10" i="19"/>
  <c r="G7" i="19"/>
  <c r="C56" i="19"/>
  <c r="C55" i="19"/>
  <c r="C23" i="11"/>
  <c r="H7" i="12"/>
  <c r="D7" i="12"/>
  <c r="C7" i="12"/>
  <c r="E14" i="19" l="1"/>
  <c r="F6" i="12"/>
  <c r="F5" i="12"/>
  <c r="F3" i="12"/>
  <c r="F2" i="12"/>
  <c r="E6" i="12"/>
  <c r="E5" i="12"/>
  <c r="E3" i="12"/>
  <c r="E2" i="12"/>
  <c r="C54" i="16"/>
  <c r="C105" i="7"/>
  <c r="C99" i="7"/>
  <c r="C109" i="7" s="1"/>
  <c r="I70" i="10"/>
  <c r="J76" i="7"/>
  <c r="C67" i="7" l="1"/>
  <c r="B72" i="10" l="1"/>
  <c r="B66" i="10"/>
  <c r="B76" i="10" s="1"/>
  <c r="B79" i="10" l="1"/>
  <c r="K64" i="10" s="1"/>
  <c r="I64" i="10"/>
  <c r="C81" i="7"/>
  <c r="C75" i="7"/>
  <c r="C58" i="10"/>
  <c r="C85" i="7" l="1"/>
  <c r="C57" i="10"/>
  <c r="H6" i="12"/>
  <c r="D6" i="12"/>
  <c r="C6" i="12"/>
  <c r="G8" i="7"/>
  <c r="G9" i="7"/>
  <c r="G10" i="7"/>
  <c r="G11" i="7"/>
  <c r="G12" i="7"/>
  <c r="G13" i="7"/>
  <c r="G14" i="7"/>
  <c r="C56" i="10"/>
  <c r="G17" i="11"/>
  <c r="H5" i="12"/>
  <c r="D5" i="12"/>
  <c r="C5" i="12"/>
  <c r="G15" i="11"/>
  <c r="H4" i="12"/>
  <c r="D4" i="12"/>
  <c r="C4" i="12"/>
  <c r="H7" i="18"/>
  <c r="C49" i="18"/>
  <c r="C48" i="18"/>
  <c r="G7" i="18"/>
  <c r="H2" i="12"/>
  <c r="C50" i="5"/>
  <c r="H3" i="12"/>
  <c r="D3" i="12"/>
  <c r="C3" i="12"/>
  <c r="D2" i="12"/>
  <c r="C2" i="12"/>
  <c r="H7" i="16"/>
  <c r="G12" i="16"/>
  <c r="G8" i="16"/>
  <c r="G9" i="16"/>
  <c r="G10" i="16"/>
  <c r="G11" i="16"/>
  <c r="C53" i="16"/>
  <c r="G7" i="16"/>
  <c r="C88" i="7" l="1"/>
  <c r="L71" i="7" s="1"/>
  <c r="J71" i="7"/>
  <c r="C54" i="10"/>
  <c r="C55" i="10"/>
  <c r="C44" i="9"/>
  <c r="C48" i="8"/>
  <c r="C47" i="8"/>
  <c r="G8" i="8"/>
  <c r="G7" i="8"/>
  <c r="C51" i="5"/>
  <c r="G8" i="5" l="1"/>
  <c r="G7" i="5"/>
  <c r="C65" i="7"/>
  <c r="G8" i="14"/>
  <c r="G7" i="14"/>
  <c r="H7" i="14" s="1"/>
  <c r="C49" i="14"/>
  <c r="C66" i="7"/>
  <c r="C49" i="13" l="1"/>
  <c r="C50" i="13"/>
  <c r="G7" i="13"/>
  <c r="H7" i="13" s="1"/>
  <c r="C60" i="11" l="1"/>
  <c r="G7" i="7"/>
  <c r="H7" i="7" l="1"/>
  <c r="D17" i="7" s="1"/>
  <c r="G14" i="11"/>
  <c r="G8" i="11"/>
  <c r="G9" i="11"/>
  <c r="G10" i="11"/>
  <c r="G11" i="11"/>
  <c r="G12" i="11"/>
  <c r="G13" i="11"/>
  <c r="G7" i="11"/>
  <c r="C61" i="11"/>
  <c r="H7" i="11" l="1"/>
  <c r="D17" i="11" s="1"/>
  <c r="G8" i="10"/>
  <c r="G7" i="10"/>
  <c r="G7" i="9"/>
  <c r="H7" i="9" s="1"/>
  <c r="H7" i="10" l="1"/>
  <c r="H7" i="8"/>
  <c r="H7" i="5"/>
  <c r="J23" i="1"/>
  <c r="K23" i="1" s="1"/>
  <c r="J20" i="1"/>
  <c r="J19" i="1"/>
  <c r="B6" i="4"/>
  <c r="A5" i="4"/>
  <c r="A12" i="4"/>
  <c r="J22" i="1" l="1"/>
  <c r="J21" i="1"/>
  <c r="J18" i="1"/>
  <c r="J17" i="1"/>
  <c r="J16" i="1"/>
  <c r="K16" i="1" l="1"/>
  <c r="K21" i="1"/>
  <c r="J14" i="1"/>
  <c r="K14" i="1" s="1"/>
  <c r="K12" i="1" l="1"/>
  <c r="K5" i="1"/>
  <c r="K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EOC Medical</author>
  </authors>
  <commentList>
    <comment ref="E47" authorId="0" shapeId="0" xr:uid="{23A2C58F-CB67-40D7-A572-4CA184531F74}">
      <text>
        <r>
          <rPr>
            <sz val="9"/>
            <color indexed="81"/>
            <rFont val="Tahoma"/>
            <family val="2"/>
          </rPr>
          <t xml:space="preserve">
No forwarders involved, the item is shipped by the manufacturers via DHL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EOC Medical</author>
  </authors>
  <commentList>
    <comment ref="AE3" authorId="0" shapeId="0" xr:uid="{386DC520-3D1D-4241-9F5E-17CC49A4C867}">
      <text>
        <r>
          <rPr>
            <sz val="9"/>
            <color indexed="81"/>
            <rFont val="Tahoma"/>
            <family val="2"/>
          </rPr>
          <t xml:space="preserve">
ONCE PACKING LIST IS RECEIVED, SEND IT TOGETHER WITH INVOICE TO AFC AND FASTCONNECT, ASK THEM TO SHARE THE QUOTATION FOR AIR AND SEA FREIGHT OPTIONS
</t>
        </r>
      </text>
    </comment>
  </commentList>
</comments>
</file>

<file path=xl/sharedStrings.xml><?xml version="1.0" encoding="utf-8"?>
<sst xmlns="http://schemas.openxmlformats.org/spreadsheetml/2006/main" count="1158" uniqueCount="497">
  <si>
    <t>YEAR</t>
  </si>
  <si>
    <t>VENDOR</t>
  </si>
  <si>
    <t>ITEM</t>
  </si>
  <si>
    <t>QTY</t>
  </si>
  <si>
    <t>DESC</t>
  </si>
  <si>
    <t>ULTRASOUND GEL</t>
  </si>
  <si>
    <t>COMPANY</t>
  </si>
  <si>
    <t>Tianjin Grand Paper Industry Co., Ltd</t>
  </si>
  <si>
    <t>BLANKET</t>
  </si>
  <si>
    <t>SLEEVES</t>
  </si>
  <si>
    <t>EMAIL</t>
  </si>
  <si>
    <t>NAME</t>
  </si>
  <si>
    <t>saleszhao@163.com</t>
  </si>
  <si>
    <t>Ms. Melissa</t>
  </si>
  <si>
    <t>ROLE</t>
  </si>
  <si>
    <t>Sales</t>
  </si>
  <si>
    <t>IOB</t>
  </si>
  <si>
    <t>Jiangmen Dacheng Medical Equipment Co., Ltd</t>
  </si>
  <si>
    <t>Suzhou Minha Medical Equipment Co., LTD</t>
  </si>
  <si>
    <t>STATUS</t>
  </si>
  <si>
    <t>PO DATE</t>
  </si>
  <si>
    <t>PO-TGP-2025-001</t>
  </si>
  <si>
    <t>ITEM CODE</t>
  </si>
  <si>
    <t>YC.002</t>
  </si>
  <si>
    <t>Ultrasound Gel 250 ML (Blue)</t>
  </si>
  <si>
    <t>PRICE USD</t>
  </si>
  <si>
    <t>TOTAL USD</t>
  </si>
  <si>
    <t>NULL</t>
  </si>
  <si>
    <t>Empty Bottles 250 ML</t>
  </si>
  <si>
    <t>PO-IOB-2025-003</t>
  </si>
  <si>
    <t>IOB-004</t>
  </si>
  <si>
    <t>Warming Blanket Adult Full Body 83”x47’’ (210 cm x 120 cm)</t>
  </si>
  <si>
    <t>IOB-003</t>
  </si>
  <si>
    <t>Warming Blanket Upper Body 80" x 25" (202 cm x 64 cm)</t>
  </si>
  <si>
    <t>IOB-002</t>
  </si>
  <si>
    <t>Intraoperative Warming Blanket Lower Body 62" x 46" (142 cm x 120 cm)</t>
  </si>
  <si>
    <t>IOB-028</t>
  </si>
  <si>
    <t>Pediatric Warming Blanket Infant Under Body 39" x 39" (100cm X 100cm)</t>
  </si>
  <si>
    <t>IOB-016</t>
  </si>
  <si>
    <t>Surgical Access Warming Blanket 83" x 47" (210cm x 120cm)</t>
  </si>
  <si>
    <t>WU-5-006</t>
  </si>
  <si>
    <t>Base Board (for 505 machine)</t>
  </si>
  <si>
    <t>WU-007</t>
  </si>
  <si>
    <t>Air Hose with Sensor One Cord</t>
  </si>
  <si>
    <t>PO-SMME-2025-001</t>
  </si>
  <si>
    <t>BOV-300-M</t>
  </si>
  <si>
    <t>Thigh Length SCD Sleeves - Medium</t>
  </si>
  <si>
    <t>BOV-300-S</t>
  </si>
  <si>
    <t>Thigh Length SCD Sleeves - Small</t>
  </si>
  <si>
    <t>jessie.ho@IOBmedical.com</t>
  </si>
  <si>
    <t>Rachel.DiMauro@gentherm.com</t>
  </si>
  <si>
    <t>Ms. Jessie</t>
  </si>
  <si>
    <t>Ms. Rachel</t>
  </si>
  <si>
    <t>katya_kajiya@163.com</t>
  </si>
  <si>
    <t>Ms. Katya</t>
  </si>
  <si>
    <t>WAITING FOR INVOICE AND SCHEDULE</t>
  </si>
  <si>
    <t>WAITING FOR SCHEDULE</t>
  </si>
  <si>
    <t>Jiangmen Dacheng Medical Equipment Co., Ltd (IOB) - PO/IOB-2025/003</t>
  </si>
  <si>
    <t>Suzhou Minha Medical Equipment Co. LTD (Sleeves) - PO/SMME-2025/001</t>
  </si>
  <si>
    <t>Tianjin Grand Paper (Ultrasound Gel) | Purchase Order #001</t>
  </si>
  <si>
    <t>PRODUCTION</t>
  </si>
  <si>
    <t>RECEIVED INVOICE</t>
  </si>
  <si>
    <t>PAYMENT STATUS</t>
  </si>
  <si>
    <t>PAID</t>
  </si>
  <si>
    <t>UNPAID</t>
  </si>
  <si>
    <t>FORWARDER</t>
  </si>
  <si>
    <t>AFC</t>
  </si>
  <si>
    <t>PRODUCTION STATUS</t>
  </si>
  <si>
    <t>ETA: UAE</t>
  </si>
  <si>
    <t>ETA: OFFICE</t>
  </si>
  <si>
    <t>EMAIL SUBJ MANUFACTURER</t>
  </si>
  <si>
    <t>EMAIL SUBJ: FORWARDER</t>
  </si>
  <si>
    <t>AFC - PO/IOB-2025/003 | CHINA TO UAE</t>
  </si>
  <si>
    <t>WAITING FOR DUMMY INVOICE AND PACKING LIST</t>
  </si>
  <si>
    <t>WAITING FOR INVOICE AND PACKING LIST</t>
  </si>
  <si>
    <t>SUBMITTED BY</t>
  </si>
  <si>
    <t>MUJEEB</t>
  </si>
  <si>
    <t>falah@afcsworld.com</t>
  </si>
  <si>
    <t>amjad@afcsworld.com</t>
  </si>
  <si>
    <t>Falah</t>
  </si>
  <si>
    <t>Amjad</t>
  </si>
  <si>
    <t>sznnmn-7@portever.com</t>
  </si>
  <si>
    <t>Vita</t>
  </si>
  <si>
    <t>Customer Representative</t>
  </si>
  <si>
    <t>(AFC) PORTEVER SHIPPING (SHENZHEN) LTD.</t>
  </si>
  <si>
    <t>FASTCONNECT</t>
  </si>
  <si>
    <t>admin@fastconnect-fze.com</t>
  </si>
  <si>
    <t>Sameer</t>
  </si>
  <si>
    <t>shareef@fastconnect-fze.com</t>
  </si>
  <si>
    <t>Shareef</t>
  </si>
  <si>
    <t>CONNECTED</t>
  </si>
  <si>
    <t>PHONE</t>
  </si>
  <si>
    <t>86-13116005267</t>
  </si>
  <si>
    <t>+44 (0)7721 584802</t>
  </si>
  <si>
    <t>+971522563355</t>
  </si>
  <si>
    <t>+86-755-1802228515</t>
  </si>
  <si>
    <t>+97145148698</t>
  </si>
  <si>
    <t>+8613426759970</t>
  </si>
  <si>
    <t>DELIVERY STATUS</t>
  </si>
  <si>
    <t>PAYMENT DATE</t>
  </si>
  <si>
    <t>PENDING</t>
  </si>
  <si>
    <t>DELIVERY SCHEDULED</t>
  </si>
  <si>
    <t>FOLLOW UP EMAIL</t>
  </si>
  <si>
    <t>WAITING FOR DUMMY INVOICE</t>
  </si>
  <si>
    <t>AFC - PO/SMME-2025/001 | CHINA TO UAE</t>
  </si>
  <si>
    <t>JIUJANG HUADA MEDICAL DRESSING CO., LTD</t>
  </si>
  <si>
    <t>PO/INV NO.</t>
  </si>
  <si>
    <t>HDK250818</t>
  </si>
  <si>
    <t>GSS4416X</t>
  </si>
  <si>
    <t>BOX</t>
  </si>
  <si>
    <t>GAUZE</t>
  </si>
  <si>
    <t>kaci@huadamedical.com</t>
  </si>
  <si>
    <t>Gauze Swab Sterile - 10x10-16Ply with X-Ray 13T (5PCS/PACK, 20PACKS/BOX, FOLDED EDGE DOUBLE PACK)</t>
  </si>
  <si>
    <t>JIUJANG HUADA MEDICAL DRESSING CO., LTD (GAUZE) - INV - HDK250818 - 001</t>
  </si>
  <si>
    <t>IOB-008</t>
  </si>
  <si>
    <t>IOB-009</t>
  </si>
  <si>
    <t>Intraoperative Warming Blanket Adult Full Body 83" x 47" (210 cm x 120 cm) 40/box</t>
  </si>
  <si>
    <t>Postoperative Warming Blanket Full Body Surgical 83" x 47" (210cm X 120cm)</t>
  </si>
  <si>
    <t>Large Pediatric Under Body 36" x 31"(160cm x 80cm)</t>
  </si>
  <si>
    <t>Dongguan Tondaus Meditech Co., LTD</t>
  </si>
  <si>
    <t>PO-DTMCL-2025-002</t>
  </si>
  <si>
    <t>SKIN MARKER</t>
  </si>
  <si>
    <t>TR03</t>
  </si>
  <si>
    <t>TD01</t>
  </si>
  <si>
    <t>Surgical Skin Marker Single Side</t>
  </si>
  <si>
    <t>Surgical Skin Marker Double Side</t>
  </si>
  <si>
    <t>AFC -  INV - HDK250818 - 001 | CHINA TO UAE</t>
  </si>
  <si>
    <t>COLLECTED</t>
  </si>
  <si>
    <t>(AFC) FOREFRONT INTERNATIONAL NETWORK</t>
  </si>
  <si>
    <t>candy_shen@ff-network.com.cn</t>
  </si>
  <si>
    <t>(86)5923167084</t>
  </si>
  <si>
    <t>Candy Shen</t>
  </si>
  <si>
    <t>Overseas Business Supervisor</t>
  </si>
  <si>
    <t>Dongguan Tondaus Meditech Co., LTD (SKIN MARKER) - PO-DTMCL-2025-002</t>
  </si>
  <si>
    <t>s1@tondaus.com</t>
  </si>
  <si>
    <t>Elaine</t>
  </si>
  <si>
    <t>Shipper informed to collect the cargo by 29 AUG</t>
  </si>
  <si>
    <t>LAST UPDATE</t>
  </si>
  <si>
    <t>PO-IOB-2025-004</t>
  </si>
  <si>
    <t>BLANKET/MACHINE SPARE PARTS</t>
  </si>
  <si>
    <t>AFC - PO-TGP-2025-001 | CHINA TO UAE</t>
  </si>
  <si>
    <t>GAUZE (SAMPLE)</t>
  </si>
  <si>
    <t>AFC - PO-IOB-2025-004 | CHINA TO UAE</t>
  </si>
  <si>
    <t>Jiangmen Dacheng Medical Equipment Co., Ltd (IOB) - PO-IOB-2025-004</t>
  </si>
  <si>
    <t>GC UPDATE</t>
  </si>
  <si>
    <t>AMR UPDATES ABOUT THE APPROXIMATE TIME WE WILL RECEIVE ITEMS IN OFFICE</t>
  </si>
  <si>
    <t>COLLECTION DATE</t>
  </si>
  <si>
    <t>ETD: CHINA</t>
  </si>
  <si>
    <t>AFTER SEPT-OCT HOLIDAY</t>
  </si>
  <si>
    <t xml:space="preserve">cs2.exp.szx@chinacoast.com.cn
cs2.exp.szx@chinacoast.com.cn
</t>
  </si>
  <si>
    <t>+86 755 2519 1790</t>
  </si>
  <si>
    <t>Naomi Nie</t>
  </si>
  <si>
    <t>Customer Service Dept</t>
  </si>
  <si>
    <t>(AFC) China Coast Freight Co., Ltd. Shenzhen Branch</t>
  </si>
  <si>
    <t>Kaci</t>
  </si>
  <si>
    <t>FORWARDING AGENT (CHN)</t>
  </si>
  <si>
    <t>FORWARDER (UAE)</t>
  </si>
  <si>
    <t>+8618819703898</t>
  </si>
  <si>
    <t>Dalian Labtek Science and Development Co., Ltd</t>
  </si>
  <si>
    <t>SLEEVES SAMPLES - INV-202506196848</t>
  </si>
  <si>
    <t>COMPRESSION SLEEVES</t>
  </si>
  <si>
    <t>AMR: APPROXIMATE DELIVERY DATE: 10-09-2025</t>
  </si>
  <si>
    <t>LBTK500-SM,L;
LBTK-502-M,L,XL</t>
  </si>
  <si>
    <r>
      <t xml:space="preserve">`SLEEVES BY AIR, BOV-300-M(500 PCS) RECEIVED: 06/09/2025; 
`SLEEVES BY SEA, WILL RECEIVE: </t>
    </r>
    <r>
      <rPr>
        <b/>
        <sz val="8"/>
        <color theme="1"/>
        <rFont val="Calibri"/>
        <family val="2"/>
        <scheme val="minor"/>
      </rPr>
      <t>END OF THIS MONTH</t>
    </r>
  </si>
  <si>
    <t>AMR</t>
  </si>
  <si>
    <t>ONGOING - WILL BE READY AROUND 10-10-2025</t>
  </si>
  <si>
    <t>SLEEVES (SAMPLE)</t>
  </si>
  <si>
    <r>
      <t xml:space="preserve">SLEEVES BY AIR, BOV-300-M(500 PCS) RECEIVED: 06/09/2025
SLEEVES BY SEA, WILL RECEIVE: </t>
    </r>
    <r>
      <rPr>
        <b/>
        <sz val="8"/>
        <color theme="1"/>
        <rFont val="Calibri"/>
        <family val="2"/>
        <scheme val="minor"/>
      </rPr>
      <t>END OF THIS MONTH</t>
    </r>
  </si>
  <si>
    <r>
      <t xml:space="preserve">SHIPMENT RECEIVE DATE: </t>
    </r>
    <r>
      <rPr>
        <b/>
        <sz val="10"/>
        <color theme="0"/>
        <rFont val="Calibri"/>
        <family val="2"/>
        <scheme val="minor"/>
      </rPr>
      <t>10-09-2025</t>
    </r>
    <r>
      <rPr>
        <sz val="10"/>
        <color theme="0"/>
        <rFont val="Calibri"/>
        <family val="2"/>
        <scheme val="minor"/>
      </rPr>
      <t xml:space="preserve">
STATUS: </t>
    </r>
    <r>
      <rPr>
        <b/>
        <sz val="10"/>
        <color theme="0"/>
        <rFont val="Calibri"/>
        <family val="2"/>
        <scheme val="minor"/>
      </rPr>
      <t>COMPLETE PO</t>
    </r>
    <r>
      <rPr>
        <sz val="10"/>
        <color theme="0"/>
        <rFont val="Calibri"/>
        <family val="2"/>
        <scheme val="minor"/>
      </rPr>
      <t xml:space="preserve">
UPDATED HARD COPY FILES</t>
    </r>
  </si>
  <si>
    <r>
      <rPr>
        <sz val="10"/>
        <color theme="0"/>
        <rFont val="Calibri"/>
        <family val="2"/>
        <scheme val="minor"/>
      </rPr>
      <t xml:space="preserve">SHIPMENT RECEIVE DATE: </t>
    </r>
    <r>
      <rPr>
        <b/>
        <sz val="10"/>
        <color theme="0"/>
        <rFont val="Calibri"/>
        <family val="2"/>
        <scheme val="minor"/>
      </rPr>
      <t>11-09-2025</t>
    </r>
    <r>
      <rPr>
        <sz val="10"/>
        <color theme="0"/>
        <rFont val="Calibri"/>
        <family val="2"/>
        <scheme val="minor"/>
      </rPr>
      <t xml:space="preserve">
STATUS: </t>
    </r>
    <r>
      <rPr>
        <b/>
        <sz val="10"/>
        <color theme="0"/>
        <rFont val="Calibri"/>
        <family val="2"/>
        <scheme val="minor"/>
      </rPr>
      <t>COMPLETE PO/SAMPLES</t>
    </r>
    <r>
      <rPr>
        <sz val="10"/>
        <color theme="0"/>
        <rFont val="Calibri"/>
        <family val="2"/>
        <scheme val="minor"/>
      </rPr>
      <t xml:space="preserve">
UPDATED HARD COPY FILES</t>
    </r>
  </si>
  <si>
    <t>ARBAB / JE (ADIB)</t>
  </si>
  <si>
    <t>FORWARDER'S UPDATE</t>
  </si>
  <si>
    <t>SHIPPER'S REQUEST</t>
  </si>
  <si>
    <t>FORWARDER'S REQUEST</t>
  </si>
  <si>
    <t>PURCHASE ORDER</t>
  </si>
  <si>
    <t>FUND TRANSFER</t>
  </si>
  <si>
    <t>SHIPPER</t>
  </si>
  <si>
    <t>INV NO.</t>
  </si>
  <si>
    <t>SHIPPER - FORWARDER STATUS</t>
  </si>
  <si>
    <t>ACTIONS TAKEN</t>
  </si>
  <si>
    <t>COLLECTION / DELIVERY</t>
  </si>
  <si>
    <t>EMAIL DETAILS</t>
  </si>
  <si>
    <t>SHIPPERS UPDATE</t>
  </si>
  <si>
    <t>1. AFC INVOICE WITH DOCUMENTS GIVEN TO GETHEEKA ACCOUNTANT</t>
  </si>
  <si>
    <t xml:space="preserve">1. FEDEX DOCS RECEIVED
2. ITEMS DELIVERED
</t>
  </si>
  <si>
    <t>FILES</t>
  </si>
  <si>
    <t xml:space="preserve">1. FEDEX FILES 
2. AFC INVOICE </t>
  </si>
  <si>
    <t>MY ACTIONS AND UPDATES</t>
  </si>
  <si>
    <t>1. BOV-300-M(500 PCS)RECEIVED: 06/09/2025 - BY AIR
2. PENDING ITEMS TO RECEIVE (BY SEA)</t>
  </si>
  <si>
    <t>DELIVERED</t>
  </si>
  <si>
    <t>1. CONFIRMED BOOKING DETAILS AND ASK APPROXIMATE DELIVERY DATE
2. CONFIRMED DRAFT BL</t>
  </si>
  <si>
    <t>08/09/2025 (SEA)</t>
  </si>
  <si>
    <t>12/09/2025 (SEA)</t>
  </si>
  <si>
    <t>TT: 22 DAYS / 02-10-2025</t>
  </si>
  <si>
    <t>ARRIVED</t>
  </si>
  <si>
    <t>1. DELIVERY SCHEDULE, PACKING LIST</t>
  </si>
  <si>
    <t>1. ASK FOR PRODUCTION STATUS
2. ASK IF THEY CAN EXPEDITE OUR ORDER</t>
  </si>
  <si>
    <t>1. ONGOING PRODUCTION: WILL BE READY ABOUT 10-10-2025</t>
  </si>
  <si>
    <t>PO DETAILS</t>
  </si>
  <si>
    <t>DESCRIPTION</t>
  </si>
  <si>
    <t>1.CONNECTING FORWARDER TO SHIPPER
2. Draft BL confirmed for AFC</t>
  </si>
  <si>
    <t>1. SIGNED (PL, PI, CO) [RECEIVED]
2. FEDEX FILES
3. AFC INVOICE</t>
  </si>
  <si>
    <r>
      <t xml:space="preserve">1. FEDEX FILES [RECEIVED]
</t>
    </r>
    <r>
      <rPr>
        <b/>
        <sz val="10"/>
        <color theme="1"/>
        <rFont val="Calibri"/>
        <family val="2"/>
        <scheme val="minor"/>
      </rPr>
      <t xml:space="preserve">TRK# 8837 9809 1137
</t>
    </r>
    <r>
      <rPr>
        <sz val="10"/>
        <color theme="1"/>
        <rFont val="Calibri"/>
        <family val="2"/>
        <scheme val="minor"/>
      </rPr>
      <t xml:space="preserve">2. AFC INVOICE [RECEIVED]
</t>
    </r>
    <r>
      <rPr>
        <b/>
        <sz val="10"/>
        <color theme="1"/>
        <rFont val="Calibri"/>
        <family val="2"/>
        <scheme val="minor"/>
      </rPr>
      <t>INV. 05752 (12,976.50 AED)</t>
    </r>
  </si>
  <si>
    <r>
      <t xml:space="preserve">1. FEDEX FILES
2. AFC INVOICE [RECEIVED]
</t>
    </r>
    <r>
      <rPr>
        <b/>
        <sz val="10"/>
        <color theme="1"/>
        <rFont val="Calibri"/>
        <family val="2"/>
        <scheme val="minor"/>
      </rPr>
      <t>INV. 05803 (800.00 AED)</t>
    </r>
  </si>
  <si>
    <t>Request for Best Shipping Offer – LABTEK Shipment</t>
  </si>
  <si>
    <t>1. AFC INVOICE WITH SIGNED DOCUMENTS SENT TO ACCOUNTING</t>
  </si>
  <si>
    <r>
      <t xml:space="preserve">1. AFC INVOICE (AIR) [RECEIVED]
</t>
    </r>
    <r>
      <rPr>
        <b/>
        <sz val="10"/>
        <color theme="1"/>
        <rFont val="Calibri"/>
        <family val="2"/>
        <scheme val="minor"/>
      </rPr>
      <t>INV. 05740 (8926.00 AED)</t>
    </r>
    <r>
      <rPr>
        <sz val="10"/>
        <color theme="1"/>
        <rFont val="Calibri"/>
        <family val="2"/>
        <scheme val="minor"/>
      </rPr>
      <t xml:space="preserve">
2. DRAFT BL (SEA) [RECEIVED]
3. SIGNED - ORIGINAL AND DUMMY INVOICE, PACKING LIST, COO</t>
    </r>
  </si>
  <si>
    <t>RECEIVED: 17-09-2025</t>
  </si>
  <si>
    <t>SHIPMENT RECEIVE DATE: 17-09-2025
STATUS: COMPLETE PO/SAMPLES</t>
  </si>
  <si>
    <t>1. ITEMS ARE COLLECTED AND ALREADY IN TRANSIT
2. ITEMS RECEIVED</t>
  </si>
  <si>
    <r>
      <rPr>
        <b/>
        <sz val="10"/>
        <color theme="1"/>
        <rFont val="Calibri"/>
        <family val="2"/>
        <scheme val="minor"/>
      </rPr>
      <t>1. RECEIVED: BOV-300-M (500 PCS)</t>
    </r>
    <r>
      <rPr>
        <sz val="10"/>
        <color theme="1"/>
        <rFont val="Calibri"/>
        <family val="2"/>
        <scheme val="minor"/>
      </rPr>
      <t xml:space="preserve"> 06-09-2025
2. NOTE: MORE PENDING ITEMS TO BE RECEIVED</t>
    </r>
  </si>
  <si>
    <t>1. 14/09/2025
2. 18/09/2025 
delay reason: port congestion
loaded and selected for random custom checking</t>
  </si>
  <si>
    <t>1. COLLECTED
2. ITEMS LOADED AND SELECTED FOR CUSTOM CHECKING</t>
  </si>
  <si>
    <t>PO NO.</t>
  </si>
  <si>
    <t>SHIPPER'S UPDATE</t>
  </si>
  <si>
    <t>SHIPPER-FORWARDER STATUS</t>
  </si>
  <si>
    <t>ACTION TAKEN</t>
  </si>
  <si>
    <t>MY ACTION / UPDATES</t>
  </si>
  <si>
    <t>EMAIL SUBJ: MANUFACTURER</t>
  </si>
  <si>
    <t>1. SENT PROOF OF PAYMENT TO TIANJIN
2. SENT TRADE LICENSE AND PASSPORT TO TIANJIN
3. PL SENT TO GC
4. ASK FOR UPDATED PACKING LIST</t>
  </si>
  <si>
    <t>1. BANK PAYMENT (ADIB) [DONE]
2. TIANJIN AND AFC AGENT  [CONNECTED]
3. TIANJIN ASKING FOR TRADE LICENSE AND PASSPORT (SENT)
4. CHANGES IN CMB AND CTN QTY (PACKING LIST)</t>
  </si>
  <si>
    <r>
      <t xml:space="preserve">1. FEDEX FILES
2. AFC INVOICE [RECEIVED]
</t>
    </r>
    <r>
      <rPr>
        <b/>
        <sz val="10"/>
        <color theme="1"/>
        <rFont val="Calibri"/>
        <family val="2"/>
        <scheme val="minor"/>
      </rPr>
      <t>INV. 05856 (1,100 AED)</t>
    </r>
  </si>
  <si>
    <t>1. AMR SENT SHIPPER DETAILS TO AFC
2. ASKED AGENT'S DETAILS TO SEND TO SHIPPERS
3. ASK AFC ABOUT SHIPMENT STATUS
4. UPDATE DELIVERY DETAILS IN GC
5. SHARED AFC INVOICE, PL AND PI TO ACCOUNTING</t>
  </si>
  <si>
    <t>ITEM 1</t>
  </si>
  <si>
    <t>ITEM 2</t>
  </si>
  <si>
    <t>ITEM 3</t>
  </si>
  <si>
    <t>ITEM 4</t>
  </si>
  <si>
    <t>ITEM 5</t>
  </si>
  <si>
    <t>ITEM 6</t>
  </si>
  <si>
    <t>ITEM 7</t>
  </si>
  <si>
    <t>AFC - PO-DTMCL-2025-002 (SKIN MARKER) | CHINA TO UAE</t>
  </si>
  <si>
    <t>1. AFC INVOICE [RECEIVED]</t>
  </si>
  <si>
    <t>GAUZE (SAMPLES)</t>
  </si>
  <si>
    <t>REMARKS</t>
  </si>
  <si>
    <t>AFC INVOICE NO.</t>
  </si>
  <si>
    <t>ETD</t>
  </si>
  <si>
    <t>APPROX RECEIVE DATE</t>
  </si>
  <si>
    <t>ITEM 8</t>
  </si>
  <si>
    <t>LABTEK MACHINES AND SLEEVES</t>
  </si>
  <si>
    <t>simon@labtek-med.com</t>
  </si>
  <si>
    <t>Dalian Labtek Science &amp; Development Co., LTD</t>
  </si>
  <si>
    <t>PAYMENT TERMS</t>
  </si>
  <si>
    <t>LAST UPDATE / ACTION TAKEN</t>
  </si>
  <si>
    <t>AFC INVOICE</t>
  </si>
  <si>
    <t>ITEM 9</t>
  </si>
  <si>
    <t>+971554497992</t>
  </si>
  <si>
    <t>CareNow Medical Pvt Ltd.</t>
  </si>
  <si>
    <t>SWAB APPLICATOR</t>
  </si>
  <si>
    <t>Abhishek Mishra</t>
  </si>
  <si>
    <t>abhishek.m@healthiummedtech.com</t>
  </si>
  <si>
    <t>(+91) 9644692535</t>
  </si>
  <si>
    <t>nishant.g@healthiummedtech.com</t>
  </si>
  <si>
    <t>kedar.d@healthiummedtech.com</t>
  </si>
  <si>
    <t>CC</t>
  </si>
  <si>
    <t>FORWARDER'S QUOTATION</t>
  </si>
  <si>
    <t>Shenzhen Vivolight Medical Device &amp; Technology Co., Ltd</t>
  </si>
  <si>
    <t>PROJECTION VEIN FINDER</t>
  </si>
  <si>
    <t>LizChen@vivo-light.com</t>
  </si>
  <si>
    <t>+86 15220244172</t>
  </si>
  <si>
    <t>Liz Chen</t>
  </si>
  <si>
    <t>Overseas Sales Manager</t>
  </si>
  <si>
    <t>VIVO-20251218229</t>
  </si>
  <si>
    <t>DELIVERY: WILL BE DIRECT FROM VIVO NO NEED FOR AGENTS</t>
  </si>
  <si>
    <t>***THEY WILL NOT PROVIDE DUMMY INVOICE***</t>
  </si>
  <si>
    <t>|</t>
  </si>
  <si>
    <t>PL |PO TO GC</t>
  </si>
  <si>
    <t>FREIGHT CHARGE (DHL)</t>
  </si>
  <si>
    <t>260.00 USD</t>
  </si>
  <si>
    <t>FILE (HARD COPIES)</t>
  </si>
  <si>
    <t>INV. NO:</t>
  </si>
  <si>
    <t>PO-DTMCL-2026-001</t>
  </si>
  <si>
    <t>STOCKINGS</t>
  </si>
  <si>
    <t>Varimed Medikal San. Ve. Tic. Ltd.</t>
  </si>
  <si>
    <t>exim1@varimed.com.tr</t>
  </si>
  <si>
    <t>MAIN</t>
  </si>
  <si>
    <t>volkan@varimed.com.tr</t>
  </si>
  <si>
    <t>export-import@varimed.com.tr</t>
  </si>
  <si>
    <t>gonca@varimed.com.tr</t>
  </si>
  <si>
    <t>1. SENT PO TO MANUFACTURER</t>
  </si>
  <si>
    <t>6121S</t>
  </si>
  <si>
    <t>AG-Thigh Length,with Dotted silicone topband,Anti-Embolism Stocking (Pair)- S</t>
  </si>
  <si>
    <t>6121M</t>
  </si>
  <si>
    <t>AG-Thigh Length,with Dotted silicone topband,Anti-Embolism Stocking (Pair)- M</t>
  </si>
  <si>
    <t>6121L</t>
  </si>
  <si>
    <t>AG-Thigh Length,with Dotted silicone topband,Anti-Embolism Stocking (Pair)- L</t>
  </si>
  <si>
    <t>6121XL</t>
  </si>
  <si>
    <t>AG-Thigh Length,with Dotted silicone topband,Anti-Embolism Stocking (Pair)- XL</t>
  </si>
  <si>
    <t>6121XXL</t>
  </si>
  <si>
    <t>AG-Thigh Length,with Dotted silicone topband,Anti-Embolism Stocking (Pair)- XXL</t>
  </si>
  <si>
    <t>DISCOUNT 10 %</t>
  </si>
  <si>
    <t>IN PRODUCTION</t>
  </si>
  <si>
    <t>PO-VARIMED-2026-001</t>
  </si>
  <si>
    <t>2. PI RECEIVED, WILL PROCESS FUND TRANSFER</t>
  </si>
  <si>
    <t>3. FUND TRANSFER DETAILS CONFIRMED BY TONDAUS, WE WILL ASK AMR WHEN TO PROCESS THE PAYMENT</t>
  </si>
  <si>
    <t>3. FUND TRANSFER DETAILS CONFIRMED BY VARIMED, WILL ASK FOR ARBAB'S SIGN WHEN AVAILABLE</t>
  </si>
  <si>
    <t>PRICE EUR</t>
  </si>
  <si>
    <t>TOTAL EUR</t>
  </si>
  <si>
    <t>4. FUND TRANSFER SIGNED, WILL GIVE TO MUJEEB TO PROCESS THE PAYMENT</t>
  </si>
  <si>
    <t>Zhejiang Medstar Technology Co., Ltd</t>
  </si>
  <si>
    <t>PO-ZMTC-2026-001</t>
  </si>
  <si>
    <t>PUSH BUTTON ELECTROSURGICAL PENCIL</t>
  </si>
  <si>
    <t>PN03-050</t>
  </si>
  <si>
    <t>Push Button electrosurgical pencil, 70mm SS blade,3.0m cord with 3-prong plug</t>
  </si>
  <si>
    <t>UDPATED DELIVERY DATE: 22-03-2026</t>
  </si>
  <si>
    <t>5. FUND TRANSFER RECEIPT SENT, WILL WAIT FOR PACKING LIST TO SEND TO FORWARDERS</t>
  </si>
  <si>
    <t>6. Invoice and Packing list received. Requesting for dummy invoice before sending it to AFC</t>
  </si>
  <si>
    <t># 1. PO CREATED, SENT TO AMR FOR ARBAB'S APPROVAL - CANCELLED</t>
  </si>
  <si>
    <t>7. PL and Dummy Invoice sent to AFC for quotation</t>
  </si>
  <si>
    <t>PO/DLSD-2026/001</t>
  </si>
  <si>
    <t>LBTK500-S</t>
  </si>
  <si>
    <t>LBTK500-M</t>
  </si>
  <si>
    <t>LBTK500-L</t>
  </si>
  <si>
    <t>LBTK502-M</t>
  </si>
  <si>
    <t>LBTK502-L</t>
  </si>
  <si>
    <t>LBTK-M-I 5006 TOUCH SCREEN DISPLAY (Sequential + LITHIUM BATTERY)</t>
  </si>
  <si>
    <t>LBTK-M-I 5005 TOUCH SCREEN DISPLAY (Sequential + LITHIUM BATTERY</t>
  </si>
  <si>
    <t>Y.10.133</t>
  </si>
  <si>
    <t>LABTEK BATTERY 5005</t>
  </si>
  <si>
    <t>COMPRESSION THIGH SCD SLEEVES - SMALL - 25PAIRS/BOX</t>
  </si>
  <si>
    <t>COMPRESSION THIGH SCD SLEEVES - MEDIUM - 25PAIRS/BOX</t>
  </si>
  <si>
    <t>COMPRESSION THIGH SCD SLEEVES - LARGE - 20PAIRS/BOX</t>
  </si>
  <si>
    <t>COMPRESSION CALF SCD SLEEVES - MEDIUM - 40 PAIRS/BOX</t>
  </si>
  <si>
    <t>COMPRESSION CALF SCD SLEEVES - LARGE - 35 PAIRS/BOX</t>
  </si>
  <si>
    <t>DVT Prevention Veinoflow SCD (Each set contains Power Cable *1, Air Tube *2)</t>
  </si>
  <si>
    <t>LCD SCREEN FOR LABTEK 5005</t>
  </si>
  <si>
    <t>30% ADVANCE</t>
  </si>
  <si>
    <t>70% AFTER PRODUCTION</t>
  </si>
  <si>
    <t>1. PO SENT TO LABTEK</t>
  </si>
  <si>
    <t>PO/IOB-2026/001</t>
  </si>
  <si>
    <t>Intraoperative Warming Blanket Upper Body 80" x 25" (202 cm x 64 cm)</t>
  </si>
  <si>
    <t>Intraoperative Warming Blanket Adult Full Body 83" x 47" (210 cm x 120 cm)</t>
  </si>
  <si>
    <t>WU-025</t>
  </si>
  <si>
    <t>ROLLING STAND</t>
  </si>
  <si>
    <t>BASE BOARD, IOB BLW 505</t>
  </si>
  <si>
    <t>WU-010</t>
  </si>
  <si>
    <t>INITIAL FILTER, IOB BLW 505/507</t>
  </si>
  <si>
    <t>WU-011</t>
  </si>
  <si>
    <t>NOISE BOARD ASSY, IOB BLW 505/507</t>
  </si>
  <si>
    <t>WU-037</t>
  </si>
  <si>
    <t>ALUM HOOK BACK ASSY, IOB 505/507</t>
  </si>
  <si>
    <t>PL | PO</t>
  </si>
  <si>
    <t>PO</t>
  </si>
  <si>
    <t>3197475390@qq.com</t>
  </si>
  <si>
    <t>aravind.a@healthiummedtech.com</t>
  </si>
  <si>
    <t>FORWARDER (CHINA)</t>
  </si>
  <si>
    <t>Xiao Ma</t>
  </si>
  <si>
    <t>1. PO IS WITH LANA, ASKING FOR ARBAB'S APPROVAL</t>
  </si>
  <si>
    <t>2. FUND TRANSFER PREPARED. APPLICATION WITH AMR. WAITIING FOR ARBAB'S SIGN</t>
  </si>
  <si>
    <t>8. AFC sent freight quotation: OCEAN FREIGHT + LOCAL CLEARANCE = AED 3030 + 873.5 + CUSTOM DUTY 1088.9 approx ( AED4992.4 /- Approx)</t>
  </si>
  <si>
    <t>2. PO SENT TO IOB COMPANY FOR CONFIRMATION, WAITING FOR P.I.</t>
  </si>
  <si>
    <t>ARBAB</t>
  </si>
  <si>
    <t>Dalian Yuanjing International Logistics Co.,Ltd</t>
  </si>
  <si>
    <t>9. confirming freight charges with Yuanjing, and booking dates</t>
  </si>
  <si>
    <t>10. Cancelled transaction with Yuanjing, proceed option with AFC OCEAN FREIGHT + LOCAL CLEARANCE = AED 2400 + 873.5 + CUSTOM DUTY 1088.9 approx ( AED4362.4 /- Approx)</t>
  </si>
  <si>
    <t xml:space="preserve">Ocean Freight </t>
  </si>
  <si>
    <t>DO CHARGE</t>
  </si>
  <si>
    <t>WH HANDLING</t>
  </si>
  <si>
    <t>BL HANDLING FEE</t>
  </si>
  <si>
    <t>Transportation</t>
  </si>
  <si>
    <t>Gate Pass</t>
  </si>
  <si>
    <t>Labour Charge</t>
  </si>
  <si>
    <t>Clearance charge</t>
  </si>
  <si>
    <t>TOTAL LOCAL CHARGES</t>
  </si>
  <si>
    <t>CUSTOM DUTY</t>
  </si>
  <si>
    <t>TOTAL:</t>
  </si>
  <si>
    <t>TOTAL OCEAN FREIGHT</t>
  </si>
  <si>
    <t>APPROXIMATE</t>
  </si>
  <si>
    <t>TOTAL IF INLAND CHARGES IS CONFIRMED:</t>
  </si>
  <si>
    <t>Inland charges approximately (3,096.625 USD)</t>
  </si>
  <si>
    <t>Evergreen International Logistics Corp. (Guangzhou)</t>
  </si>
  <si>
    <t>victorwei@cn.evergreen-logistics.com</t>
  </si>
  <si>
    <t>+86 13922500537</t>
  </si>
  <si>
    <t>Victor Wei</t>
  </si>
  <si>
    <t>EVERGREEN QUOTE:</t>
  </si>
  <si>
    <t>OCEAN FREIGHT</t>
  </si>
  <si>
    <t>INSURANCE</t>
  </si>
  <si>
    <t>370 USD</t>
  </si>
  <si>
    <t>7,500 USD</t>
  </si>
  <si>
    <t>200 USD</t>
  </si>
  <si>
    <t>8,070 USD</t>
  </si>
  <si>
    <t>UAE/ JEBEL ALI LOCAL CHARGES</t>
  </si>
  <si>
    <t>DELIVERY TO WAREHOUSE</t>
  </si>
  <si>
    <t>NOT INCLUDED THE QUOTE:</t>
  </si>
  <si>
    <t>TRUCKING (iob jiangmen to shenzhen port)</t>
  </si>
  <si>
    <t>WAR RISK SURCHARGE (imposed by carrier)</t>
  </si>
  <si>
    <r>
      <rPr>
        <b/>
        <sz val="10"/>
        <color theme="1"/>
        <rFont val="Calibri"/>
        <family val="2"/>
        <scheme val="minor"/>
      </rPr>
      <t>NOTE:</t>
    </r>
    <r>
      <rPr>
        <sz val="10"/>
        <color theme="1"/>
        <rFont val="Calibri"/>
        <family val="2"/>
        <scheme val="minor"/>
      </rPr>
      <t xml:space="preserve"> INSURANCE INCLUDED BUT EXCLUDE WAR INSURANCE</t>
    </r>
  </si>
  <si>
    <r>
      <rPr>
        <b/>
        <sz val="10"/>
        <color theme="1"/>
        <rFont val="Calibri"/>
        <family val="2"/>
        <scheme val="minor"/>
      </rPr>
      <t>NOTE:</t>
    </r>
    <r>
      <rPr>
        <sz val="10"/>
        <color theme="1"/>
        <rFont val="Calibri"/>
        <family val="2"/>
        <scheme val="minor"/>
      </rPr>
      <t xml:space="preserve"> NO INSURANCE INCLUDED</t>
    </r>
  </si>
  <si>
    <t>AFC QUOTE (AED):</t>
  </si>
  <si>
    <t>NOT YET CONFIRMED BY THE CARRIER</t>
  </si>
  <si>
    <t>YUANJING QUOTE:</t>
  </si>
  <si>
    <t>OCEAN FREIGHT CBM (80 USD/CBM)</t>
  </si>
  <si>
    <t>267.28 USD</t>
  </si>
  <si>
    <t xml:space="preserve">Miscellaneous charges (customs clearance and warehousing at origin): </t>
  </si>
  <si>
    <t>100 USD</t>
  </si>
  <si>
    <t>Land freight in China</t>
  </si>
  <si>
    <t>15 USD</t>
  </si>
  <si>
    <t>582.28 USD</t>
  </si>
  <si>
    <t>NOT YET CONFIRMED BY CARRIER</t>
  </si>
  <si>
    <t xml:space="preserve">EVERGREEN </t>
  </si>
  <si>
    <t>(TOTAL IF INLAND CHARGES APPLIED)</t>
  </si>
  <si>
    <t>NOTE:</t>
  </si>
  <si>
    <t>NO INSURANCE</t>
  </si>
  <si>
    <t>WITH INSURANCE INCLUDED BUT EXCLUDE WAR INSURANCE</t>
  </si>
  <si>
    <t>QUOTE SUMMARY:</t>
  </si>
  <si>
    <t>VESSEL ETD:</t>
  </si>
  <si>
    <t>CUT OFF:</t>
  </si>
  <si>
    <t>LOADING DATE:</t>
  </si>
  <si>
    <t>VESSEL ETD 1:</t>
  </si>
  <si>
    <t>VESSEL ETD 2:</t>
  </si>
  <si>
    <t>YUANJING</t>
  </si>
  <si>
    <t>AFC QUOTE 1 (AED):</t>
  </si>
  <si>
    <t>AFC QUOTE 2 (AED):</t>
  </si>
  <si>
    <t>Ocean Freight with WRS</t>
  </si>
  <si>
    <t>68 USD</t>
  </si>
  <si>
    <t>2026-EOC-001</t>
  </si>
  <si>
    <t>3. RECEIVED PI AND PL, WILL PREPARE FUND TRANSFER</t>
  </si>
  <si>
    <t>SHOULD BE BEFORE THE MARCH 27, 2026 (CUT OFF DATE)</t>
  </si>
  <si>
    <t>20263108289</t>
  </si>
  <si>
    <t>3. FUND TRANSFER PREPARED. SIGNED BY ARBAB, WILL PROCESS ADVANCE PAYMENT</t>
  </si>
  <si>
    <t>11. AFC UPDATE FREIGHT CHARGES: OCEAN FREIGHT + LOCAL CLEARANCE = AED 2670 + 873.5 + CUSTOM DUTY 1088.9 approx ( AED4632.4 /- Approx)</t>
  </si>
  <si>
    <t>12. AFC UPDATE FREIGHT CHARGES: OCEAN FREIGHT + LOCAL CLEARANCE = 5,810.90 AED (IF INLAND CHARGES APPLIED: 7,343.58 AED)</t>
  </si>
  <si>
    <t>Inland charges approximately (125 USD)</t>
  </si>
  <si>
    <t>13. WAITING FOR FREIGHT CHARGES FROM AFC</t>
  </si>
  <si>
    <t>4. FIRST PAYMENT PAID | CONFIRMED FORWARDER | WILL PROCESS LAST PAYMENT (LANA) |SHIPPER AWAITING PICK UP CONFIRMATION</t>
  </si>
  <si>
    <t>06/04/2026 TENTATIVE</t>
  </si>
  <si>
    <t>5. PROCESSING LAST PAYMENT | PICK UP: 26-03-2026 | ETD: 01-04-2026</t>
  </si>
  <si>
    <t>IN TRANSIT</t>
  </si>
  <si>
    <t>NO DATE YET</t>
  </si>
  <si>
    <t>14. CONFIRMED FREIGHT CHARGES FROM AFC | PICK UP: 26-03-2026 | ETD: 01-04-2026</t>
  </si>
  <si>
    <t>ESTIMATED PRODUCTION FINISHING DATE</t>
  </si>
  <si>
    <t>PLANNED DELIVERY DATE: 06-04-2026</t>
  </si>
  <si>
    <t>PO-TGP-2026-001</t>
  </si>
  <si>
    <t>YC.001</t>
  </si>
  <si>
    <t>Ultrasound Gel 250 ML (Clear)</t>
  </si>
  <si>
    <t>1. PO SENT TO TIANJIN</t>
  </si>
  <si>
    <t>LATEST AIR FREIGHT SCHEDULE 07-04-2026</t>
  </si>
  <si>
    <t>6. PRODUCTION: ONGOING | PACKING LIST: PENDING</t>
  </si>
  <si>
    <t>4. ADVANCE PAYMENT PAID | PRODUCTION: ONGOING | PACKING LIST: PENDING</t>
  </si>
  <si>
    <t>5. ADVANCE PAYMENT PAID | PRODUCTION: ONGOING | PACKING LIST: PENDING | OCEAN FREIGHT + LOCAL CLEARANCE = AED8159.73 + CUSTOM DUTY +973.5( AED 9,133.23/- Approx)</t>
  </si>
  <si>
    <t>ARBAB VIA ADIB PROCESSED BY NJ</t>
  </si>
  <si>
    <t>Z20260331</t>
  </si>
  <si>
    <t>2. JE &amp; NJ IS PROCESSING FUND TRANSFER WITH ARBAB</t>
  </si>
  <si>
    <t>JIUJIANG HUADA MEDICAL DRESSING CO., LTD.</t>
  </si>
  <si>
    <t>PO/JHMD-2026/001</t>
  </si>
  <si>
    <t>GSS2212</t>
  </si>
  <si>
    <t>5 X 5CM - 12PLY</t>
  </si>
  <si>
    <t>GSS3312</t>
  </si>
  <si>
    <t>7.5 X 7.5CM - 12PLY</t>
  </si>
  <si>
    <t>GSS4412</t>
  </si>
  <si>
    <t>10 X 10CM - 12PLY</t>
  </si>
  <si>
    <t>GSS4412X</t>
  </si>
  <si>
    <t>10 X 10CM - 12PLY WITH X-RAY</t>
  </si>
  <si>
    <t>6. COMPLETE PAYMENTS | DONE PICK UP: 27-03-2026| WAITING FOR DELIVERY AND STAMPED HARD COPIES OF DOCS FROM IOB</t>
  </si>
  <si>
    <t>15. DONE PICK UP: 27-03-2026 | ETD: 01-04-2026 | WAITING FOR DELIVERY, STAMPED HARD COPIES OF DOCS FROM TONDAUS</t>
  </si>
  <si>
    <t>1. PO CREATED, SENT TO JIUJIANG HUADA WAITING FOR PROFORMA INVOICE</t>
  </si>
  <si>
    <t>6. AFC UPDATE: OCEAN FREIGHT + LOCAL CLEARANCE = AED8159.73 + CUSTOM DUTY +973.5( AED 13,233.23/- Approx)</t>
  </si>
  <si>
    <t>6 LABTEK UPDATE: PRODUCTION: ONGOING | PACKING LIST WITH HS CODE: PENDING</t>
  </si>
  <si>
    <t># 7. MOH APPROVAL: PL WITH ALL DETAILS RECEIVED | FIRST PART PROCESSING BY NJ</t>
  </si>
  <si>
    <t>7. PRODUCTION: ONGOING | PACKING LIST &amp; DUMMY INVOICE: PENDING | OCEAN FREIGHT + LOCAL CLEARANCE = AED 5129.73+ CUSTOM DUTY +873.5( AED 6,003.23 + CUSTOMS DUTY /- Approx)</t>
  </si>
  <si>
    <t>7. PRODUCTION: ONGOING | PACKING LIST &amp; DUMMY INVOICE: PENDING | AIR FREIGHT + LOCAL CLEARANCE = AED 8924.17 + CUSTOM DUTY ACTUAL + 1100 ( AED 10,024.17+ CUSTOMS DUTY /- Approx)</t>
  </si>
  <si>
    <t># 4. WAITING FOR PACKING LIST, ONCE RECEIVED WILL ASK AFC FOR QUOTATION AND SCHEDULE</t>
  </si>
  <si>
    <t>3. PAID 03-04-2026, FUND TRANSFER RECEIPT SENT TO TIANJIN</t>
  </si>
  <si>
    <t>7. AFC: FALAH WILL UPDATE US WITH FREGHT COST AND SCHEDULE</t>
  </si>
  <si>
    <t># 8. AFC: CONFIRMED: OCEAN FREIGHT + LOCAL CLEARANCE = AED8159.73 + CUSTOM DUTY +973.5( AED 13,233.23/- Approx) ETD：4.15   ETA：5.13</t>
  </si>
  <si>
    <t>GS2212</t>
  </si>
  <si>
    <t>5 X 5 CM – 12 PLY</t>
  </si>
  <si>
    <t>AMOUNT</t>
  </si>
  <si>
    <t>LAST PAYMENT - NOT YET PAID</t>
  </si>
  <si>
    <t>CREDIT BALANCE</t>
  </si>
  <si>
    <t>8. GAMZE: WAITING FOR UPDATED PACKING LIST</t>
  </si>
  <si>
    <t>8. AFC: ONCE PACKING LIST IS RECEIVED, WILL ASK FALAH FOR QUOTATION AND SCHEDULE</t>
  </si>
  <si>
    <t>FOR PICKUP</t>
  </si>
  <si>
    <t>*** THIS SHIPMENT HAS DUMMY INVOICE *** already noted not to send invoice to forwarders</t>
  </si>
  <si>
    <t xml:space="preserve">*** THIS SHIPMENT HAS DUMMY INVOICE *** </t>
  </si>
  <si>
    <t>*** THIS HAS DUMMY INVOICE *** already noted not to send invoice to forwarders</t>
  </si>
  <si>
    <t>WAITING FOR AGENT DETAILS</t>
  </si>
  <si>
    <t>2. PROFORMA INVOICE RECEIVE, WILL PROCESS THE PAYMENT</t>
  </si>
  <si>
    <t># 2. PAID - WAITING FOR PACKING LIST</t>
  </si>
  <si>
    <t>FIRST PAYMENT - PAID</t>
  </si>
  <si>
    <t>HDK260406</t>
  </si>
  <si>
    <t>PL |PO</t>
  </si>
  <si>
    <t>9. GAMZE: PACKING LIST RECEIVED | AFC: PACKING LIST WITH DUMMY INVOICE SENT TO FALAH, PENDING AIR AND SEA FREIGHT QUOTE</t>
  </si>
  <si>
    <t>10. AFC QUOTE: AIR FREIGHT + LOCAL CLEARANCE = AED 11046.02 + 900 +  CUSTOM DUTY 725  ( AED12,671.02/- Approx)</t>
  </si>
  <si>
    <t>11. AFC QUOTE: AIR FREIGHT + LOCAL CLEARANCE = AED 11046.02 + 900 +  CUSTOM DUTY 725  ( AED12,671.02/- Approx)</t>
  </si>
  <si>
    <t>AFCINV260401937</t>
  </si>
  <si>
    <t>RECEIVED: 21-04-2026</t>
  </si>
  <si>
    <t>SENT TO ACCT</t>
  </si>
  <si>
    <t>SENT TO AFC</t>
  </si>
  <si>
    <t>DEPARTED</t>
  </si>
  <si>
    <t>proforma invoice</t>
  </si>
  <si>
    <t>PROFORMA INVOICE</t>
  </si>
  <si>
    <t>16. Vessel Sailed: 06-04-2026 | WAITING FOR DELIVERY, STAMPED HARD COPIES OF DOCS FROM TONDAUS</t>
  </si>
  <si>
    <t># 17. Shipment arrived in Jebel Ali | Original Hard copies on hand | Paid 50% of AFC invoice</t>
  </si>
  <si>
    <t>7. Vessel sailed: 06-04-2026 | WAITING FOR DELIVERY AND STAMPED HARD COPIES OF DOCS FROM IOB</t>
  </si>
  <si>
    <t># 8. Shipment arrived in Jebel Ali | Original Hard copies on hand | Paid 50% of AFC invoice</t>
  </si>
  <si>
    <t>12. GOODS RECEIVED: 21-04-2026 | INVOICE HARD COPIES SENT TO AFC | DOCS AND AFC INV SENT TO ACCT</t>
  </si>
  <si>
    <t># 13. AFC INVOICE PAID 24-04-2026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</si>
</sst>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00"/>
    <numFmt numFmtId="166" formatCode="[$AED-4C09]#,##0.00"/>
    <numFmt numFmtId="167" formatCode="#,##0.000"/>
  </numFmts>
  <fonts count="37" x14ac:knownFonts="1">
    <font>
      <sz val="11"/>
      <color theme="1"/>
      <name val="Calibri"/>
      <family val="2"/>
      <scheme val="minor"/>
    </font>
    <font>
      <b/>
      <sz val="11"/>
      <color theme="1"/>
      <name val="Calibri"/>
      <family val="2"/>
      <scheme val="minor"/>
    </font>
    <font>
      <sz val="12"/>
      <color theme="1"/>
      <name val="Calibri"/>
      <family val="2"/>
      <scheme val="minor"/>
    </font>
    <font>
      <sz val="8"/>
      <name val="Calibri"/>
      <family val="2"/>
      <scheme val="minor"/>
    </font>
    <font>
      <b/>
      <sz val="10"/>
      <color theme="1"/>
      <name val="Calibri"/>
      <family val="2"/>
      <scheme val="minor"/>
    </font>
    <font>
      <sz val="10"/>
      <color theme="1"/>
      <name val="Calibri"/>
      <family val="2"/>
      <scheme val="minor"/>
    </font>
    <font>
      <sz val="10"/>
      <color rgb="FF242424"/>
      <name val="Calibri"/>
      <family val="2"/>
      <scheme val="minor"/>
    </font>
    <font>
      <sz val="10"/>
      <color rgb="FF242424"/>
      <name val="Segoe UI"/>
      <family val="2"/>
    </font>
    <font>
      <u/>
      <sz val="11"/>
      <color theme="10"/>
      <name val="Calibri"/>
      <family val="2"/>
      <scheme val="minor"/>
    </font>
    <font>
      <sz val="8"/>
      <color theme="1"/>
      <name val="Calibri"/>
      <family val="2"/>
      <scheme val="minor"/>
    </font>
    <font>
      <sz val="9"/>
      <color indexed="81"/>
      <name val="Tahoma"/>
      <family val="2"/>
    </font>
    <font>
      <sz val="9"/>
      <color theme="1"/>
      <name val="Calibri"/>
      <family val="2"/>
      <scheme val="minor"/>
    </font>
    <font>
      <sz val="8"/>
      <color rgb="FF242424"/>
      <name val="Segoe UI"/>
      <family val="2"/>
    </font>
    <font>
      <b/>
      <sz val="8"/>
      <color theme="1"/>
      <name val="Calibri"/>
      <family val="2"/>
      <scheme val="minor"/>
    </font>
    <font>
      <b/>
      <sz val="12"/>
      <color theme="1"/>
      <name val="Calibri"/>
      <family val="2"/>
      <scheme val="minor"/>
    </font>
    <font>
      <b/>
      <sz val="10"/>
      <color theme="0" tint="-0.34998626667073579"/>
      <name val="Calibri"/>
      <family val="2"/>
      <scheme val="minor"/>
    </font>
    <font>
      <sz val="10"/>
      <color theme="0"/>
      <name val="Calibri"/>
      <family val="2"/>
      <scheme val="minor"/>
    </font>
    <font>
      <b/>
      <sz val="10"/>
      <color theme="0"/>
      <name val="Calibri"/>
      <family val="2"/>
      <scheme val="minor"/>
    </font>
    <font>
      <b/>
      <sz val="26"/>
      <color theme="1"/>
      <name val="Calibri"/>
      <family val="2"/>
      <scheme val="minor"/>
    </font>
    <font>
      <b/>
      <sz val="10"/>
      <color theme="2" tint="-0.249977111117893"/>
      <name val="Calibri"/>
      <family val="2"/>
      <scheme val="minor"/>
    </font>
    <font>
      <b/>
      <sz val="18"/>
      <color theme="1"/>
      <name val="Calibri"/>
      <family val="2"/>
      <scheme val="minor"/>
    </font>
    <font>
      <b/>
      <sz val="9"/>
      <color theme="1"/>
      <name val="Calibri"/>
      <family val="2"/>
      <scheme val="minor"/>
    </font>
    <font>
      <b/>
      <sz val="3"/>
      <color theme="1"/>
      <name val="Calibri"/>
      <family val="2"/>
      <scheme val="minor"/>
    </font>
    <font>
      <sz val="3"/>
      <color theme="1"/>
      <name val="Calibri"/>
      <family val="2"/>
      <scheme val="minor"/>
    </font>
    <font>
      <b/>
      <sz val="1"/>
      <color theme="1"/>
      <name val="Calibri"/>
      <family val="2"/>
      <scheme val="minor"/>
    </font>
    <font>
      <sz val="1"/>
      <color theme="1"/>
      <name val="Calibri"/>
      <family val="2"/>
      <scheme val="minor"/>
    </font>
    <font>
      <sz val="10"/>
      <color rgb="FF000000"/>
      <name val="Aptos Narrow"/>
      <family val="2"/>
    </font>
    <font>
      <sz val="10"/>
      <color rgb="FF000000"/>
      <name val="Calibri"/>
      <family val="2"/>
      <scheme val="minor"/>
    </font>
    <font>
      <sz val="10"/>
      <color rgb="FF3B3838"/>
      <name val="Calibri"/>
      <family val="2"/>
      <scheme val="minor"/>
    </font>
    <font>
      <b/>
      <sz val="10"/>
      <color rgb="FFFF0000"/>
      <name val="Calibri"/>
      <family val="2"/>
      <scheme val="minor"/>
    </font>
    <font>
      <b/>
      <sz val="10"/>
      <color rgb="FF3B3838"/>
      <name val="Calibri"/>
      <family val="2"/>
      <scheme val="minor"/>
    </font>
    <font>
      <b/>
      <sz val="14"/>
      <color rgb="FFFF0000"/>
      <name val="Calibri"/>
      <family val="2"/>
      <scheme val="minor"/>
    </font>
    <font>
      <sz val="14"/>
      <color rgb="FFFF0000"/>
      <name val="Calibri"/>
      <family val="2"/>
      <scheme val="minor"/>
    </font>
    <font>
      <b/>
      <sz val="20"/>
      <color rgb="FFFF0000"/>
      <name val="Calibri"/>
      <family val="2"/>
      <scheme val="minor"/>
    </font>
    <font>
      <b/>
      <sz val="9"/>
      <color rgb="FFFF0000"/>
      <name val="Calibri"/>
      <family val="2"/>
      <scheme val="minor"/>
    </font>
    <font>
      <b/>
      <sz val="15"/>
      <color rgb="FFFF0000"/>
      <name val="Calibri"/>
      <family val="2"/>
      <scheme val="minor"/>
    </font>
    <font>
      <u/>
      <sz val="8"/>
      <color theme="1"/>
      <name val="Calibri"/>
      <family val="2"/>
      <scheme val="minor"/>
    </font>
  </fonts>
  <fills count="32">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1" tint="0.499984740745262"/>
        <bgColor indexed="64"/>
      </patternFill>
    </fill>
    <fill>
      <patternFill patternType="solid">
        <fgColor rgb="FF2CBAB3"/>
        <bgColor indexed="64"/>
      </patternFill>
    </fill>
    <fill>
      <patternFill patternType="solid">
        <fgColor rgb="FF99FF99"/>
        <bgColor indexed="64"/>
      </patternFill>
    </fill>
    <fill>
      <patternFill patternType="solid">
        <fgColor rgb="FFFF99FF"/>
        <bgColor indexed="64"/>
      </patternFill>
    </fill>
    <fill>
      <patternFill patternType="solid">
        <fgColor theme="9" tint="0.79998168889431442"/>
        <bgColor indexed="64"/>
      </patternFill>
    </fill>
    <fill>
      <patternFill patternType="solid">
        <fgColor rgb="FF00FFFF"/>
        <bgColor indexed="64"/>
      </patternFill>
    </fill>
    <fill>
      <patternFill patternType="solid">
        <fgColor rgb="FFFFCCFF"/>
        <bgColor indexed="64"/>
      </patternFill>
    </fill>
    <fill>
      <patternFill patternType="solid">
        <fgColor rgb="FFFFFF99"/>
        <bgColor indexed="64"/>
      </patternFill>
    </fill>
    <fill>
      <patternFill patternType="solid">
        <fgColor rgb="FFCCCC00"/>
        <bgColor indexed="64"/>
      </patternFill>
    </fill>
    <fill>
      <patternFill patternType="solid">
        <fgColor rgb="FFFF6600"/>
        <bgColor indexed="64"/>
      </patternFill>
    </fill>
    <fill>
      <patternFill patternType="solid">
        <fgColor theme="2" tint="-0.499984740745262"/>
        <bgColor indexed="64"/>
      </patternFill>
    </fill>
    <fill>
      <patternFill patternType="solid">
        <fgColor rgb="FFFF0066"/>
        <bgColor indexed="64"/>
      </patternFill>
    </fill>
    <fill>
      <patternFill patternType="solid">
        <fgColor rgb="FFFFCC66"/>
        <bgColor indexed="64"/>
      </patternFill>
    </fill>
    <fill>
      <patternFill patternType="solid">
        <fgColor rgb="FFFFFF66"/>
        <bgColor indexed="64"/>
      </patternFill>
    </fill>
    <fill>
      <patternFill patternType="solid">
        <fgColor rgb="FF99FF33"/>
        <bgColor indexed="64"/>
      </patternFill>
    </fill>
    <fill>
      <patternFill patternType="solid">
        <fgColor rgb="FF33CCFF"/>
        <bgColor indexed="64"/>
      </patternFill>
    </fill>
    <fill>
      <patternFill patternType="solid">
        <fgColor rgb="FFFF66FF"/>
        <bgColor indexed="64"/>
      </patternFill>
    </fill>
    <fill>
      <patternFill patternType="solid">
        <fgColor rgb="FF9999FF"/>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rgb="FFFF7C8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418">
    <xf numFmtId="0" fontId="0" fillId="0" borderId="0" xfId="0"/>
    <xf numFmtId="0" fontId="2" fillId="0" borderId="0" xfId="0" applyFont="1"/>
    <xf numFmtId="0" fontId="5" fillId="0" borderId="0" xfId="0" applyFont="1" applyAlignment="1">
      <alignment horizontal="left"/>
    </xf>
    <xf numFmtId="0" fontId="5" fillId="0" borderId="1" xfId="0" applyFont="1" applyBorder="1" applyAlignment="1">
      <alignment horizontal="left"/>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3" fontId="5" fillId="0" borderId="1" xfId="0" applyNumberFormat="1" applyFont="1" applyBorder="1" applyAlignment="1">
      <alignment horizontal="left" vertical="center" wrapText="1"/>
    </xf>
    <xf numFmtId="4" fontId="5" fillId="0" borderId="1" xfId="0" applyNumberFormat="1" applyFont="1" applyBorder="1" applyAlignment="1">
      <alignment horizontal="left" vertical="center" wrapText="1"/>
    </xf>
    <xf numFmtId="3" fontId="5" fillId="0" borderId="1" xfId="0" applyNumberFormat="1" applyFont="1" applyBorder="1" applyAlignment="1">
      <alignment horizontal="left" vertical="center"/>
    </xf>
    <xf numFmtId="4" fontId="5" fillId="0" borderId="1" xfId="0" applyNumberFormat="1" applyFont="1" applyBorder="1" applyAlignment="1">
      <alignment horizontal="left" vertical="center"/>
    </xf>
    <xf numFmtId="49" fontId="5" fillId="0" borderId="0" xfId="0" applyNumberFormat="1" applyFont="1" applyAlignment="1">
      <alignment horizontal="left"/>
    </xf>
    <xf numFmtId="0" fontId="1" fillId="0" borderId="0" xfId="0" applyFont="1"/>
    <xf numFmtId="0" fontId="5" fillId="0" borderId="8" xfId="0" applyFont="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3" fontId="5" fillId="0" borderId="0" xfId="0" applyNumberFormat="1" applyFont="1" applyAlignment="1">
      <alignment horizontal="left" vertical="center"/>
    </xf>
    <xf numFmtId="4" fontId="5" fillId="0" borderId="0" xfId="0" applyNumberFormat="1" applyFont="1" applyAlignment="1">
      <alignment horizontal="left" vertical="center"/>
    </xf>
    <xf numFmtId="0" fontId="14" fillId="0" borderId="1" xfId="0" applyFont="1" applyBorder="1" applyAlignment="1">
      <alignment horizontal="left" vertical="center"/>
    </xf>
    <xf numFmtId="0" fontId="14" fillId="4" borderId="1" xfId="0" applyFont="1" applyFill="1" applyBorder="1" applyAlignment="1">
      <alignment horizontal="left" vertical="center"/>
    </xf>
    <xf numFmtId="0" fontId="14" fillId="5" borderId="1" xfId="0" applyFont="1" applyFill="1" applyBorder="1" applyAlignment="1">
      <alignment horizontal="left" vertical="center"/>
    </xf>
    <xf numFmtId="0" fontId="14" fillId="0" borderId="0" xfId="0" applyFont="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14" fontId="5" fillId="0" borderId="1" xfId="0" applyNumberFormat="1" applyFont="1" applyBorder="1" applyAlignment="1">
      <alignment horizontal="left" vertical="center"/>
    </xf>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1" fillId="0" borderId="0" xfId="0" applyFont="1" applyAlignment="1">
      <alignment horizontal="left" vertical="center"/>
    </xf>
    <xf numFmtId="0" fontId="4" fillId="5" borderId="1" xfId="0" applyFont="1" applyFill="1" applyBorder="1" applyAlignment="1">
      <alignment horizontal="left" vertical="center"/>
    </xf>
    <xf numFmtId="0" fontId="5" fillId="4" borderId="0" xfId="0" applyFont="1" applyFill="1" applyAlignment="1">
      <alignment horizontal="left" vertical="center"/>
    </xf>
    <xf numFmtId="0" fontId="5" fillId="5" borderId="0" xfId="0" applyFont="1" applyFill="1" applyAlignment="1">
      <alignment horizontal="left" vertical="center"/>
    </xf>
    <xf numFmtId="4" fontId="4" fillId="0" borderId="0" xfId="0" applyNumberFormat="1" applyFont="1" applyAlignment="1">
      <alignment horizontal="left" vertical="center"/>
    </xf>
    <xf numFmtId="4" fontId="4" fillId="2" borderId="1" xfId="0" applyNumberFormat="1" applyFont="1" applyFill="1" applyBorder="1" applyAlignment="1">
      <alignment horizontal="left" vertical="center" wrapText="1"/>
    </xf>
    <xf numFmtId="0" fontId="15" fillId="8" borderId="1" xfId="0" applyFont="1" applyFill="1" applyBorder="1" applyAlignment="1">
      <alignment horizontal="left" vertical="center" wrapText="1"/>
    </xf>
    <xf numFmtId="0" fontId="5" fillId="0" borderId="0" xfId="0" applyFont="1" applyAlignment="1">
      <alignment horizontal="center" vertical="center"/>
    </xf>
    <xf numFmtId="4" fontId="5" fillId="0" borderId="0" xfId="0" applyNumberFormat="1" applyFont="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4" fillId="12" borderId="1" xfId="0" applyFont="1" applyFill="1" applyBorder="1" applyAlignment="1">
      <alignment horizontal="left" vertical="center"/>
    </xf>
    <xf numFmtId="3" fontId="14" fillId="12" borderId="1" xfId="0" applyNumberFormat="1" applyFont="1" applyFill="1" applyBorder="1" applyAlignment="1">
      <alignment horizontal="left" vertical="center"/>
    </xf>
    <xf numFmtId="4" fontId="14" fillId="12" borderId="1" xfId="0" applyNumberFormat="1" applyFont="1" applyFill="1" applyBorder="1" applyAlignment="1">
      <alignment horizontal="left" vertical="center"/>
    </xf>
    <xf numFmtId="0" fontId="14" fillId="12" borderId="1" xfId="0" applyFont="1" applyFill="1" applyBorder="1" applyAlignment="1">
      <alignment horizontal="center" vertical="center"/>
    </xf>
    <xf numFmtId="4" fontId="14" fillId="12" borderId="1" xfId="0" applyNumberFormat="1" applyFont="1" applyFill="1" applyBorder="1" applyAlignment="1">
      <alignment horizontal="center" vertical="center"/>
    </xf>
    <xf numFmtId="0" fontId="18" fillId="13" borderId="9" xfId="0" applyFont="1" applyFill="1" applyBorder="1" applyAlignment="1">
      <alignment vertical="center"/>
    </xf>
    <xf numFmtId="0" fontId="17" fillId="8" borderId="1" xfId="0" applyFont="1" applyFill="1" applyBorder="1" applyAlignment="1">
      <alignment horizontal="left" vertical="center" wrapText="1"/>
    </xf>
    <xf numFmtId="0" fontId="18" fillId="13" borderId="9" xfId="0" applyFont="1" applyFill="1" applyBorder="1" applyAlignment="1">
      <alignment horizontal="center" vertical="center"/>
    </xf>
    <xf numFmtId="0" fontId="5" fillId="15" borderId="1" xfId="0" applyFont="1" applyFill="1" applyBorder="1" applyAlignment="1">
      <alignment horizontal="left" vertical="center" wrapText="1"/>
    </xf>
    <xf numFmtId="14" fontId="5" fillId="0" borderId="1" xfId="0" applyNumberFormat="1" applyFont="1" applyBorder="1" applyAlignment="1">
      <alignment horizontal="center" vertical="center"/>
    </xf>
    <xf numFmtId="3" fontId="4" fillId="12" borderId="1" xfId="0" applyNumberFormat="1" applyFont="1" applyFill="1" applyBorder="1" applyAlignment="1">
      <alignment horizontal="left" vertical="center"/>
    </xf>
    <xf numFmtId="4" fontId="4" fillId="12" borderId="1" xfId="0" applyNumberFormat="1" applyFont="1" applyFill="1" applyBorder="1" applyAlignment="1">
      <alignment horizontal="left" vertical="center"/>
    </xf>
    <xf numFmtId="0" fontId="4" fillId="12" borderId="1" xfId="0" applyFont="1" applyFill="1" applyBorder="1" applyAlignment="1">
      <alignment horizontal="left"/>
    </xf>
    <xf numFmtId="0" fontId="4" fillId="0" borderId="1" xfId="0" applyFont="1" applyBorder="1" applyAlignment="1">
      <alignment horizontal="left" vertical="center"/>
    </xf>
    <xf numFmtId="0" fontId="4" fillId="0" borderId="3" xfId="0" applyFont="1" applyBorder="1" applyAlignment="1">
      <alignment horizontal="left" vertical="center"/>
    </xf>
    <xf numFmtId="0" fontId="20" fillId="24" borderId="1" xfId="0" applyFont="1" applyFill="1" applyBorder="1" applyAlignment="1">
      <alignment horizontal="center" vertical="center" wrapText="1"/>
    </xf>
    <xf numFmtId="0" fontId="20" fillId="0" borderId="0" xfId="0" applyFont="1" applyAlignment="1">
      <alignment horizontal="center" vertical="center"/>
    </xf>
    <xf numFmtId="0" fontId="11" fillId="0" borderId="10" xfId="0" applyFont="1" applyBorder="1" applyAlignment="1">
      <alignment horizontal="left"/>
    </xf>
    <xf numFmtId="0" fontId="11" fillId="0" borderId="0" xfId="0" applyFont="1" applyAlignment="1">
      <alignment horizontal="left"/>
    </xf>
    <xf numFmtId="0" fontId="21" fillId="12" borderId="1" xfId="0" applyFont="1" applyFill="1" applyBorder="1" applyAlignment="1">
      <alignment horizontal="left"/>
    </xf>
    <xf numFmtId="3" fontId="21" fillId="12" borderId="1" xfId="0" applyNumberFormat="1" applyFont="1" applyFill="1" applyBorder="1" applyAlignment="1">
      <alignment horizontal="left" vertical="center"/>
    </xf>
    <xf numFmtId="4" fontId="21" fillId="12" borderId="1" xfId="0" applyNumberFormat="1" applyFont="1" applyFill="1" applyBorder="1" applyAlignment="1">
      <alignment horizontal="left" vertical="center"/>
    </xf>
    <xf numFmtId="0" fontId="11" fillId="0" borderId="1" xfId="0" applyFont="1" applyBorder="1" applyAlignment="1">
      <alignment horizontal="left" vertical="center"/>
    </xf>
    <xf numFmtId="3" fontId="11" fillId="0" borderId="1" xfId="0" applyNumberFormat="1" applyFont="1" applyBorder="1" applyAlignment="1">
      <alignment horizontal="left" vertical="center"/>
    </xf>
    <xf numFmtId="4" fontId="11" fillId="0" borderId="1" xfId="0" applyNumberFormat="1" applyFont="1" applyBorder="1" applyAlignment="1">
      <alignment horizontal="left" vertical="center"/>
    </xf>
    <xf numFmtId="0" fontId="11" fillId="0" borderId="0" xfId="0" applyFont="1"/>
    <xf numFmtId="0" fontId="23" fillId="0" borderId="0" xfId="0" applyFont="1" applyAlignment="1">
      <alignment horizontal="left"/>
    </xf>
    <xf numFmtId="0" fontId="22" fillId="26" borderId="1" xfId="0" applyFont="1" applyFill="1" applyBorder="1" applyAlignment="1">
      <alignment horizontal="left" vertical="center"/>
    </xf>
    <xf numFmtId="0" fontId="24" fillId="26" borderId="1" xfId="0" applyFont="1" applyFill="1" applyBorder="1" applyAlignment="1">
      <alignment horizontal="left" vertical="center"/>
    </xf>
    <xf numFmtId="0" fontId="25" fillId="0" borderId="0" xfId="0" applyFont="1" applyAlignment="1">
      <alignment horizontal="left"/>
    </xf>
    <xf numFmtId="0" fontId="24" fillId="26" borderId="2" xfId="0" applyFont="1" applyFill="1" applyBorder="1" applyAlignment="1">
      <alignment horizontal="left" vertical="center"/>
    </xf>
    <xf numFmtId="0" fontId="24" fillId="26" borderId="3" xfId="0" applyFont="1" applyFill="1" applyBorder="1" applyAlignment="1">
      <alignment horizontal="left" vertical="center"/>
    </xf>
    <xf numFmtId="0" fontId="24" fillId="26" borderId="1" xfId="0" applyFont="1" applyFill="1" applyBorder="1" applyAlignment="1">
      <alignment horizontal="center" vertical="center" wrapText="1"/>
    </xf>
    <xf numFmtId="0" fontId="24" fillId="26" borderId="1" xfId="0" applyFont="1" applyFill="1" applyBorder="1" applyAlignment="1">
      <alignment horizontal="center" vertical="center"/>
    </xf>
    <xf numFmtId="0" fontId="22" fillId="26" borderId="1" xfId="0" applyFont="1" applyFill="1" applyBorder="1" applyAlignment="1">
      <alignment horizontal="center" vertical="center"/>
    </xf>
    <xf numFmtId="0" fontId="11" fillId="0" borderId="1" xfId="0" applyFont="1" applyBorder="1"/>
    <xf numFmtId="0" fontId="11" fillId="0" borderId="10" xfId="0" applyFont="1" applyBorder="1"/>
    <xf numFmtId="0" fontId="11" fillId="0" borderId="0" xfId="0" applyFont="1" applyAlignment="1">
      <alignment horizontal="left" wrapText="1"/>
    </xf>
    <xf numFmtId="0" fontId="11" fillId="0" borderId="1" xfId="0" applyFont="1" applyBorder="1" applyAlignment="1">
      <alignment horizontal="left" vertical="center" wrapText="1"/>
    </xf>
    <xf numFmtId="0" fontId="5" fillId="0" borderId="0" xfId="0" applyFont="1"/>
    <xf numFmtId="0" fontId="5" fillId="0" borderId="1" xfId="0" applyFont="1" applyBorder="1"/>
    <xf numFmtId="49" fontId="5" fillId="0" borderId="0" xfId="0" applyNumberFormat="1" applyFont="1"/>
    <xf numFmtId="0" fontId="11" fillId="0" borderId="10" xfId="0" applyFont="1" applyBorder="1" applyAlignment="1">
      <alignment horizontal="center"/>
    </xf>
    <xf numFmtId="0" fontId="11" fillId="0" borderId="12" xfId="0" applyFont="1" applyBorder="1" applyAlignment="1">
      <alignment horizontal="center"/>
    </xf>
    <xf numFmtId="0" fontId="11" fillId="0" borderId="8" xfId="0" applyFont="1" applyBorder="1" applyAlignment="1">
      <alignment horizontal="center"/>
    </xf>
    <xf numFmtId="0" fontId="11" fillId="0" borderId="1" xfId="0" applyFont="1" applyBorder="1" applyAlignment="1">
      <alignment horizontal="left"/>
    </xf>
    <xf numFmtId="0" fontId="4" fillId="12" borderId="1" xfId="0" applyFont="1" applyFill="1" applyBorder="1" applyAlignment="1">
      <alignment horizontal="center"/>
    </xf>
    <xf numFmtId="3" fontId="4" fillId="12" borderId="1" xfId="0" applyNumberFormat="1" applyFont="1" applyFill="1" applyBorder="1" applyAlignment="1">
      <alignment horizontal="center" vertical="center"/>
    </xf>
    <xf numFmtId="4" fontId="4" fillId="12" borderId="1" xfId="0" applyNumberFormat="1" applyFont="1" applyFill="1" applyBorder="1" applyAlignment="1">
      <alignment horizontal="center" vertical="center"/>
    </xf>
    <xf numFmtId="0" fontId="4" fillId="0" borderId="0" xfId="0" applyFont="1" applyAlignment="1">
      <alignment horizontal="left"/>
    </xf>
    <xf numFmtId="4" fontId="11" fillId="0" borderId="1" xfId="0" applyNumberFormat="1" applyFont="1" applyBorder="1" applyAlignment="1">
      <alignment horizontal="right" vertical="center"/>
    </xf>
    <xf numFmtId="3" fontId="11" fillId="0" borderId="1" xfId="0" applyNumberFormat="1" applyFont="1" applyBorder="1" applyAlignment="1">
      <alignment horizontal="right" vertical="center"/>
    </xf>
    <xf numFmtId="0" fontId="11" fillId="0" borderId="1" xfId="0" applyFont="1" applyBorder="1" applyAlignment="1">
      <alignment horizontal="right" vertical="center" wrapText="1"/>
    </xf>
    <xf numFmtId="0" fontId="20" fillId="19" borderId="3" xfId="0" applyFont="1" applyFill="1" applyBorder="1" applyAlignment="1">
      <alignment horizontal="center" vertical="center" wrapText="1"/>
    </xf>
    <xf numFmtId="0" fontId="4" fillId="0" borderId="0" xfId="0" applyFont="1" applyAlignment="1">
      <alignment horizontal="center" vertical="center"/>
    </xf>
    <xf numFmtId="3" fontId="11" fillId="0" borderId="1" xfId="0" applyNumberFormat="1" applyFont="1" applyBorder="1" applyAlignment="1">
      <alignment horizontal="center" vertical="center"/>
    </xf>
    <xf numFmtId="4" fontId="11" fillId="0" borderId="1" xfId="0" applyNumberFormat="1" applyFont="1" applyBorder="1" applyAlignment="1">
      <alignment horizontal="center" vertical="center"/>
    </xf>
    <xf numFmtId="4" fontId="21" fillId="2" borderId="2" xfId="0" applyNumberFormat="1" applyFont="1" applyFill="1" applyBorder="1" applyAlignment="1">
      <alignment vertical="center"/>
    </xf>
    <xf numFmtId="4" fontId="21" fillId="2" borderId="3" xfId="0" applyNumberFormat="1" applyFont="1" applyFill="1" applyBorder="1" applyAlignment="1">
      <alignment vertical="center"/>
    </xf>
    <xf numFmtId="0" fontId="11" fillId="0" borderId="12" xfId="0" applyFont="1" applyBorder="1" applyAlignment="1">
      <alignment horizontal="left"/>
    </xf>
    <xf numFmtId="0" fontId="11" fillId="0" borderId="8" xfId="0" applyFont="1" applyBorder="1" applyAlignment="1">
      <alignment horizontal="left"/>
    </xf>
    <xf numFmtId="0" fontId="4" fillId="0" borderId="4" xfId="0" applyFont="1" applyBorder="1" applyAlignment="1">
      <alignment horizontal="left" vertical="center"/>
    </xf>
    <xf numFmtId="0" fontId="4" fillId="0" borderId="4" xfId="0" applyFont="1" applyBorder="1" applyAlignment="1">
      <alignment horizontal="center" vertical="center" wrapText="1"/>
    </xf>
    <xf numFmtId="0" fontId="26" fillId="0" borderId="0" xfId="0" applyFont="1"/>
    <xf numFmtId="4" fontId="11" fillId="0" borderId="1" xfId="0" applyNumberFormat="1" applyFont="1" applyBorder="1" applyAlignment="1">
      <alignment vertical="center"/>
    </xf>
    <xf numFmtId="0" fontId="0" fillId="0" borderId="1" xfId="0" applyBorder="1"/>
    <xf numFmtId="0" fontId="4" fillId="0" borderId="1" xfId="0" applyFont="1" applyBorder="1" applyAlignment="1">
      <alignment horizontal="left"/>
    </xf>
    <xf numFmtId="4" fontId="21" fillId="2" borderId="2" xfId="0" applyNumberFormat="1" applyFont="1" applyFill="1" applyBorder="1" applyAlignment="1">
      <alignment horizontal="center" vertical="center"/>
    </xf>
    <xf numFmtId="0" fontId="21" fillId="0" borderId="1" xfId="0" applyFont="1" applyBorder="1" applyAlignment="1">
      <alignment horizontal="center"/>
    </xf>
    <xf numFmtId="0" fontId="27" fillId="0" borderId="0" xfId="0" applyFont="1"/>
    <xf numFmtId="4" fontId="11" fillId="0" borderId="10" xfId="0" applyNumberFormat="1" applyFont="1" applyBorder="1" applyAlignment="1">
      <alignment horizontal="right" vertical="center"/>
    </xf>
    <xf numFmtId="4" fontId="21" fillId="12" borderId="2" xfId="0" applyNumberFormat="1" applyFont="1" applyFill="1" applyBorder="1" applyAlignment="1">
      <alignment horizontal="left" vertical="center"/>
    </xf>
    <xf numFmtId="4" fontId="21" fillId="22" borderId="4" xfId="0" applyNumberFormat="1" applyFont="1" applyFill="1" applyBorder="1" applyAlignment="1">
      <alignment horizontal="center" vertical="center"/>
    </xf>
    <xf numFmtId="4" fontId="21" fillId="22" borderId="3" xfId="0" applyNumberFormat="1" applyFont="1" applyFill="1" applyBorder="1" applyAlignment="1">
      <alignment horizontal="center" vertical="center"/>
    </xf>
    <xf numFmtId="4" fontId="21" fillId="22" borderId="2" xfId="0" applyNumberFormat="1" applyFont="1" applyFill="1" applyBorder="1" applyAlignment="1">
      <alignment horizontal="center" vertical="center"/>
    </xf>
    <xf numFmtId="4" fontId="21" fillId="22" borderId="10" xfId="0" applyNumberFormat="1" applyFont="1" applyFill="1" applyBorder="1" applyAlignment="1">
      <alignment horizontal="center"/>
    </xf>
    <xf numFmtId="4" fontId="21" fillId="0" borderId="1" xfId="0" applyNumberFormat="1" applyFont="1" applyBorder="1" applyAlignment="1">
      <alignment horizontal="center"/>
    </xf>
    <xf numFmtId="4" fontId="4" fillId="12" borderId="2" xfId="0" applyNumberFormat="1" applyFont="1" applyFill="1" applyBorder="1" applyAlignment="1">
      <alignment horizontal="center" vertical="center"/>
    </xf>
    <xf numFmtId="165" fontId="4" fillId="22" borderId="18" xfId="0" applyNumberFormat="1" applyFont="1" applyFill="1" applyBorder="1" applyAlignment="1">
      <alignment horizontal="center" vertical="center"/>
    </xf>
    <xf numFmtId="165" fontId="4" fillId="22" borderId="17" xfId="0" applyNumberFormat="1" applyFont="1" applyFill="1" applyBorder="1" applyAlignment="1">
      <alignment horizontal="center" vertical="center"/>
    </xf>
    <xf numFmtId="165" fontId="4" fillId="22" borderId="14" xfId="0" applyNumberFormat="1" applyFont="1" applyFill="1" applyBorder="1" applyAlignment="1">
      <alignment horizontal="center" vertical="center"/>
    </xf>
    <xf numFmtId="4" fontId="11" fillId="0" borderId="10" xfId="0" applyNumberFormat="1" applyFont="1" applyBorder="1" applyAlignment="1">
      <alignment horizontal="left" vertical="center"/>
    </xf>
    <xf numFmtId="4" fontId="4" fillId="0" borderId="10" xfId="0" applyNumberFormat="1" applyFont="1" applyBorder="1" applyAlignment="1">
      <alignment horizontal="left"/>
    </xf>
    <xf numFmtId="4" fontId="21" fillId="22" borderId="18" xfId="0" applyNumberFormat="1" applyFont="1" applyFill="1" applyBorder="1" applyAlignment="1">
      <alignment horizontal="center" vertical="center"/>
    </xf>
    <xf numFmtId="4" fontId="21" fillId="22" borderId="17" xfId="0" applyNumberFormat="1" applyFont="1" applyFill="1" applyBorder="1" applyAlignment="1">
      <alignment vertical="center"/>
    </xf>
    <xf numFmtId="4" fontId="21" fillId="22" borderId="14" xfId="0" applyNumberFormat="1" applyFont="1" applyFill="1" applyBorder="1" applyAlignment="1">
      <alignment vertical="center"/>
    </xf>
    <xf numFmtId="14" fontId="5" fillId="0" borderId="1" xfId="0" applyNumberFormat="1" applyFont="1" applyBorder="1" applyAlignment="1">
      <alignment horizontal="left"/>
    </xf>
    <xf numFmtId="4" fontId="5" fillId="0" borderId="0" xfId="0" applyNumberFormat="1" applyFont="1" applyAlignment="1">
      <alignment horizontal="right"/>
    </xf>
    <xf numFmtId="0" fontId="5" fillId="0" borderId="13" xfId="0" applyFont="1" applyBorder="1" applyAlignment="1">
      <alignment vertical="center" wrapText="1"/>
    </xf>
    <xf numFmtId="3" fontId="5" fillId="0" borderId="13" xfId="0" applyNumberFormat="1" applyFont="1" applyBorder="1" applyAlignment="1">
      <alignment horizontal="center" vertical="center" wrapText="1"/>
    </xf>
    <xf numFmtId="4" fontId="5" fillId="0" borderId="15" xfId="0" applyNumberFormat="1" applyFont="1" applyBorder="1" applyAlignment="1">
      <alignment horizontal="center" vertical="center" wrapText="1"/>
    </xf>
    <xf numFmtId="4" fontId="5" fillId="0" borderId="19" xfId="0" applyNumberFormat="1" applyFont="1" applyBorder="1" applyAlignment="1">
      <alignment horizontal="right" vertical="center" wrapText="1"/>
    </xf>
    <xf numFmtId="0" fontId="5" fillId="0" borderId="14" xfId="0" applyFont="1" applyBorder="1" applyAlignment="1">
      <alignment vertical="center" wrapText="1"/>
    </xf>
    <xf numFmtId="3" fontId="5" fillId="0" borderId="14" xfId="0" applyNumberFormat="1" applyFont="1" applyBorder="1" applyAlignment="1">
      <alignment horizontal="center" vertical="center" wrapText="1"/>
    </xf>
    <xf numFmtId="4" fontId="5" fillId="0" borderId="16" xfId="0" applyNumberFormat="1" applyFont="1" applyBorder="1" applyAlignment="1">
      <alignment horizontal="center" vertical="center" wrapText="1"/>
    </xf>
    <xf numFmtId="0" fontId="5" fillId="0" borderId="14" xfId="0" applyFont="1" applyBorder="1" applyAlignment="1">
      <alignment horizontal="center" vertical="center" wrapText="1"/>
    </xf>
    <xf numFmtId="0" fontId="5" fillId="2" borderId="0" xfId="0" applyFont="1" applyFill="1"/>
    <xf numFmtId="0" fontId="28" fillId="2" borderId="0" xfId="0" applyFont="1" applyFill="1"/>
    <xf numFmtId="0" fontId="4" fillId="2" borderId="0" xfId="0" applyFont="1" applyFill="1" applyAlignment="1">
      <alignment horizontal="right"/>
    </xf>
    <xf numFmtId="0" fontId="5" fillId="31" borderId="0" xfId="0" applyFont="1" applyFill="1"/>
    <xf numFmtId="0" fontId="28" fillId="29" borderId="0" xfId="0" applyFont="1" applyFill="1"/>
    <xf numFmtId="0" fontId="4" fillId="29" borderId="0" xfId="0" applyFont="1" applyFill="1" applyAlignment="1">
      <alignment horizontal="right"/>
    </xf>
    <xf numFmtId="0" fontId="4" fillId="30" borderId="0" xfId="0" applyFont="1" applyFill="1" applyAlignment="1">
      <alignment horizontal="right"/>
    </xf>
    <xf numFmtId="4" fontId="4" fillId="0" borderId="0" xfId="0" applyNumberFormat="1" applyFont="1" applyAlignment="1">
      <alignment horizontal="right"/>
    </xf>
    <xf numFmtId="4" fontId="30" fillId="0" borderId="0" xfId="0" applyNumberFormat="1" applyFont="1" applyAlignment="1">
      <alignment horizontal="right"/>
    </xf>
    <xf numFmtId="0" fontId="29" fillId="22" borderId="0" xfId="0" applyFont="1" applyFill="1"/>
    <xf numFmtId="4" fontId="5" fillId="0" borderId="0" xfId="0" applyNumberFormat="1" applyFont="1" applyAlignment="1">
      <alignment horizontal="left"/>
    </xf>
    <xf numFmtId="0" fontId="4" fillId="0" borderId="0" xfId="0" applyFont="1" applyAlignment="1">
      <alignment horizontal="right"/>
    </xf>
    <xf numFmtId="0" fontId="4" fillId="27" borderId="0" xfId="0" applyFont="1" applyFill="1" applyAlignment="1">
      <alignment horizontal="left"/>
    </xf>
    <xf numFmtId="0" fontId="21" fillId="0" borderId="0" xfId="0" applyFont="1" applyAlignment="1">
      <alignment horizontal="left"/>
    </xf>
    <xf numFmtId="0" fontId="21" fillId="0" borderId="0" xfId="0" applyFont="1" applyAlignment="1">
      <alignment horizontal="right"/>
    </xf>
    <xf numFmtId="164" fontId="11" fillId="0" borderId="0" xfId="0" applyNumberFormat="1" applyFont="1" applyAlignment="1">
      <alignment horizontal="left"/>
    </xf>
    <xf numFmtId="166" fontId="5" fillId="0" borderId="0" xfId="0" applyNumberFormat="1" applyFont="1" applyAlignment="1">
      <alignment horizontal="right"/>
    </xf>
    <xf numFmtId="166" fontId="4" fillId="0" borderId="0" xfId="0" applyNumberFormat="1" applyFont="1" applyAlignment="1">
      <alignment horizontal="right"/>
    </xf>
    <xf numFmtId="166" fontId="5" fillId="0" borderId="0" xfId="0" applyNumberFormat="1" applyFont="1" applyAlignment="1">
      <alignment horizontal="left"/>
    </xf>
    <xf numFmtId="166" fontId="30" fillId="0" borderId="0" xfId="0" applyNumberFormat="1" applyFont="1" applyAlignment="1">
      <alignment horizontal="right"/>
    </xf>
    <xf numFmtId="14" fontId="5" fillId="0" borderId="0" xfId="0" applyNumberFormat="1" applyFont="1" applyAlignment="1">
      <alignment horizontal="left"/>
    </xf>
    <xf numFmtId="166" fontId="5" fillId="0" borderId="1" xfId="0" applyNumberFormat="1" applyFont="1" applyBorder="1" applyAlignment="1">
      <alignment horizontal="left"/>
    </xf>
    <xf numFmtId="167" fontId="11" fillId="0" borderId="1" xfId="0" applyNumberFormat="1" applyFont="1" applyBorder="1" applyAlignment="1">
      <alignment horizontal="left" vertical="center"/>
    </xf>
    <xf numFmtId="0" fontId="20" fillId="19" borderId="1" xfId="0" applyFont="1" applyFill="1" applyBorder="1" applyAlignment="1">
      <alignment horizontal="center" vertical="center" wrapText="1"/>
    </xf>
    <xf numFmtId="0" fontId="34" fillId="0" borderId="1" xfId="0" applyFont="1" applyBorder="1"/>
    <xf numFmtId="0" fontId="21" fillId="0" borderId="7" xfId="0" applyFont="1" applyBorder="1" applyAlignment="1">
      <alignment horizontal="left"/>
    </xf>
    <xf numFmtId="0" fontId="11" fillId="0" borderId="1" xfId="0" applyFont="1" applyBorder="1" applyAlignment="1">
      <alignment horizontal="left"/>
    </xf>
    <xf numFmtId="0" fontId="25" fillId="26" borderId="6" xfId="0" applyFont="1" applyFill="1" applyBorder="1" applyAlignment="1">
      <alignment horizontal="left"/>
    </xf>
    <xf numFmtId="0" fontId="25" fillId="26" borderId="0" xfId="0" applyFont="1" applyFill="1" applyAlignment="1">
      <alignment horizontal="left"/>
    </xf>
    <xf numFmtId="0" fontId="11" fillId="0" borderId="10" xfId="0" applyFont="1" applyBorder="1" applyAlignment="1">
      <alignment horizontal="left"/>
    </xf>
    <xf numFmtId="0" fontId="11" fillId="0" borderId="12" xfId="0" applyFont="1" applyBorder="1" applyAlignment="1">
      <alignment horizontal="left"/>
    </xf>
    <xf numFmtId="0" fontId="11" fillId="0" borderId="8" xfId="0" applyFont="1" applyBorder="1" applyAlignment="1">
      <alignment horizontal="left"/>
    </xf>
    <xf numFmtId="0" fontId="20" fillId="21" borderId="1" xfId="0" applyFont="1" applyFill="1" applyBorder="1" applyAlignment="1">
      <alignment horizontal="center" vertical="center"/>
    </xf>
    <xf numFmtId="14" fontId="11" fillId="0" borderId="1" xfId="0" applyNumberFormat="1" applyFont="1" applyBorder="1" applyAlignment="1">
      <alignment horizontal="left"/>
    </xf>
    <xf numFmtId="0" fontId="20" fillId="23" borderId="1" xfId="0" applyFont="1" applyFill="1" applyBorder="1" applyAlignment="1">
      <alignment horizontal="center"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14" fontId="11" fillId="0" borderId="10" xfId="0" applyNumberFormat="1" applyFont="1" applyBorder="1" applyAlignment="1">
      <alignment horizontal="left"/>
    </xf>
    <xf numFmtId="14" fontId="11" fillId="0" borderId="12" xfId="0" applyNumberFormat="1" applyFont="1" applyBorder="1" applyAlignment="1">
      <alignment horizontal="left"/>
    </xf>
    <xf numFmtId="14" fontId="11" fillId="0" borderId="8" xfId="0" applyNumberFormat="1" applyFont="1" applyBorder="1" applyAlignment="1">
      <alignment horizontal="left"/>
    </xf>
    <xf numFmtId="0" fontId="20" fillId="25" borderId="1" xfId="0" applyFont="1" applyFill="1" applyBorder="1" applyAlignment="1">
      <alignment horizontal="center" vertical="center"/>
    </xf>
    <xf numFmtId="0" fontId="20" fillId="22" borderId="1" xfId="0" applyFont="1" applyFill="1" applyBorder="1" applyAlignment="1">
      <alignment horizontal="center" vertical="center"/>
    </xf>
    <xf numFmtId="0" fontId="31" fillId="0" borderId="1" xfId="0" applyFont="1" applyBorder="1" applyAlignment="1">
      <alignment horizontal="center"/>
    </xf>
    <xf numFmtId="0" fontId="32" fillId="0" borderId="1" xfId="0" applyFont="1" applyBorder="1" applyAlignment="1">
      <alignment horizontal="center"/>
    </xf>
    <xf numFmtId="0" fontId="20" fillId="24" borderId="1" xfId="0" applyFont="1" applyFill="1" applyBorder="1" applyAlignment="1">
      <alignment horizontal="center" vertical="center" wrapText="1"/>
    </xf>
    <xf numFmtId="0" fontId="21" fillId="0" borderId="3" xfId="0" applyFont="1" applyBorder="1" applyAlignment="1">
      <alignment horizontal="left"/>
    </xf>
    <xf numFmtId="0" fontId="21" fillId="22" borderId="3" xfId="0" applyFont="1" applyFill="1" applyBorder="1" applyAlignment="1">
      <alignment horizontal="left"/>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20" fillId="19" borderId="2" xfId="0" applyFont="1" applyFill="1" applyBorder="1" applyAlignment="1">
      <alignment horizontal="center" vertical="center" wrapText="1"/>
    </xf>
    <xf numFmtId="0" fontId="20" fillId="19" borderId="4" xfId="0" applyFont="1" applyFill="1" applyBorder="1" applyAlignment="1">
      <alignment horizontal="center" vertical="center" wrapText="1"/>
    </xf>
    <xf numFmtId="0" fontId="21" fillId="0" borderId="1" xfId="0" applyFont="1" applyBorder="1" applyAlignment="1">
      <alignment horizontal="left"/>
    </xf>
    <xf numFmtId="0" fontId="25" fillId="26" borderId="10" xfId="0" applyFont="1" applyFill="1" applyBorder="1" applyAlignment="1">
      <alignment horizontal="left" vertical="center"/>
    </xf>
    <xf numFmtId="0" fontId="25" fillId="26" borderId="12" xfId="0" applyFont="1" applyFill="1" applyBorder="1" applyAlignment="1">
      <alignment horizontal="left" vertical="center"/>
    </xf>
    <xf numFmtId="0" fontId="25" fillId="26" borderId="9" xfId="0" applyFont="1" applyFill="1" applyBorder="1" applyAlignment="1">
      <alignment horizontal="left" vertical="center"/>
    </xf>
    <xf numFmtId="0" fontId="20" fillId="20" borderId="1" xfId="0" applyFont="1" applyFill="1" applyBorder="1" applyAlignment="1">
      <alignment horizontal="center" vertical="center" wrapText="1"/>
    </xf>
    <xf numFmtId="49" fontId="21" fillId="0" borderId="10" xfId="0" applyNumberFormat="1" applyFont="1" applyBorder="1" applyAlignment="1">
      <alignment horizontal="center"/>
    </xf>
    <xf numFmtId="49" fontId="21" fillId="0" borderId="12" xfId="0" applyNumberFormat="1" applyFont="1" applyBorder="1" applyAlignment="1">
      <alignment horizontal="center"/>
    </xf>
    <xf numFmtId="49" fontId="21" fillId="0" borderId="8" xfId="0" applyNumberFormat="1" applyFont="1" applyBorder="1" applyAlignment="1">
      <alignment horizontal="center"/>
    </xf>
    <xf numFmtId="0" fontId="5" fillId="0" borderId="1" xfId="0" applyFont="1" applyBorder="1" applyAlignment="1">
      <alignment horizontal="left" vertical="center" wrapText="1"/>
    </xf>
    <xf numFmtId="0" fontId="11" fillId="12" borderId="10" xfId="0" applyFont="1" applyFill="1" applyBorder="1" applyAlignment="1">
      <alignment horizontal="left"/>
    </xf>
    <xf numFmtId="0" fontId="11" fillId="12" borderId="12" xfId="0" applyFont="1" applyFill="1" applyBorder="1" applyAlignment="1">
      <alignment horizontal="left"/>
    </xf>
    <xf numFmtId="0" fontId="11" fillId="12" borderId="8" xfId="0" applyFont="1" applyFill="1" applyBorder="1" applyAlignment="1">
      <alignment horizontal="left"/>
    </xf>
    <xf numFmtId="0" fontId="25" fillId="26" borderId="5" xfId="0" applyFont="1" applyFill="1" applyBorder="1" applyAlignment="1">
      <alignment horizontal="left" vertical="center"/>
    </xf>
    <xf numFmtId="0" fontId="25" fillId="26" borderId="11" xfId="0" applyFont="1" applyFill="1" applyBorder="1" applyAlignment="1">
      <alignment horizontal="left" vertical="center"/>
    </xf>
    <xf numFmtId="14" fontId="21" fillId="0" borderId="10" xfId="0" applyNumberFormat="1" applyFont="1" applyBorder="1" applyAlignment="1">
      <alignment horizontal="left"/>
    </xf>
    <xf numFmtId="14" fontId="21" fillId="0" borderId="12" xfId="0" applyNumberFormat="1" applyFont="1" applyBorder="1" applyAlignment="1">
      <alignment horizontal="left"/>
    </xf>
    <xf numFmtId="14" fontId="21" fillId="0" borderId="8" xfId="0" applyNumberFormat="1" applyFont="1" applyBorder="1" applyAlignment="1">
      <alignment horizontal="left"/>
    </xf>
    <xf numFmtId="0" fontId="31" fillId="0" borderId="6" xfId="0" applyFont="1" applyBorder="1" applyAlignment="1">
      <alignment horizontal="center"/>
    </xf>
    <xf numFmtId="0" fontId="32" fillId="0" borderId="0" xfId="0" applyFont="1" applyAlignment="1">
      <alignment horizontal="center"/>
    </xf>
    <xf numFmtId="0" fontId="4" fillId="0" borderId="4" xfId="0" applyFont="1" applyBorder="1" applyAlignment="1">
      <alignment horizontal="left" vertical="center"/>
    </xf>
    <xf numFmtId="4" fontId="21" fillId="22" borderId="1" xfId="0" applyNumberFormat="1" applyFont="1" applyFill="1" applyBorder="1" applyAlignment="1">
      <alignment horizontal="left"/>
    </xf>
    <xf numFmtId="0" fontId="21" fillId="22" borderId="1" xfId="0" applyFont="1" applyFill="1" applyBorder="1" applyAlignment="1">
      <alignment horizontal="left"/>
    </xf>
    <xf numFmtId="0" fontId="11" fillId="0" borderId="1" xfId="0" applyFont="1" applyBorder="1" applyAlignment="1">
      <alignment horizontal="center"/>
    </xf>
    <xf numFmtId="4" fontId="21" fillId="22" borderId="10" xfId="0" applyNumberFormat="1" applyFont="1" applyFill="1" applyBorder="1" applyAlignment="1">
      <alignment horizontal="left"/>
    </xf>
    <xf numFmtId="4" fontId="21" fillId="22" borderId="12" xfId="0" applyNumberFormat="1" applyFont="1" applyFill="1" applyBorder="1" applyAlignment="1">
      <alignment horizontal="left"/>
    </xf>
    <xf numFmtId="4" fontId="21" fillId="22" borderId="8" xfId="0" applyNumberFormat="1" applyFont="1" applyFill="1" applyBorder="1" applyAlignment="1">
      <alignment horizontal="left"/>
    </xf>
    <xf numFmtId="14" fontId="11" fillId="0" borderId="10" xfId="0" applyNumberFormat="1" applyFont="1" applyBorder="1" applyAlignment="1">
      <alignment horizontal="left" wrapText="1"/>
    </xf>
    <xf numFmtId="14" fontId="11" fillId="0" borderId="12" xfId="0" applyNumberFormat="1" applyFont="1" applyBorder="1" applyAlignment="1">
      <alignment horizontal="left" wrapText="1"/>
    </xf>
    <xf numFmtId="14" fontId="11" fillId="0" borderId="8" xfId="0" applyNumberFormat="1" applyFont="1" applyBorder="1" applyAlignment="1">
      <alignment horizontal="left" wrapText="1"/>
    </xf>
    <xf numFmtId="0" fontId="29" fillId="0" borderId="7" xfId="0" applyFont="1" applyBorder="1" applyAlignment="1">
      <alignment horizontal="center"/>
    </xf>
    <xf numFmtId="0" fontId="29" fillId="0" borderId="9" xfId="0" applyFont="1" applyBorder="1" applyAlignment="1">
      <alignment horizontal="center"/>
    </xf>
    <xf numFmtId="4" fontId="11" fillId="0" borderId="10" xfId="0" applyNumberFormat="1" applyFont="1" applyBorder="1" applyAlignment="1">
      <alignment horizontal="left"/>
    </xf>
    <xf numFmtId="4" fontId="11" fillId="0" borderId="12" xfId="0" applyNumberFormat="1" applyFont="1" applyBorder="1" applyAlignment="1">
      <alignment horizontal="left"/>
    </xf>
    <xf numFmtId="4" fontId="11" fillId="0" borderId="8" xfId="0" applyNumberFormat="1" applyFont="1" applyBorder="1" applyAlignment="1">
      <alignment horizontal="left"/>
    </xf>
    <xf numFmtId="0" fontId="20" fillId="20" borderId="2" xfId="0" applyFont="1" applyFill="1" applyBorder="1" applyAlignment="1">
      <alignment horizontal="center" vertical="center" wrapText="1"/>
    </xf>
    <xf numFmtId="0" fontId="20" fillId="20" borderId="4" xfId="0" applyFont="1" applyFill="1" applyBorder="1" applyAlignment="1">
      <alignment horizontal="center" vertical="center" wrapText="1"/>
    </xf>
    <xf numFmtId="0" fontId="20" fillId="20" borderId="3" xfId="0" applyFont="1" applyFill="1" applyBorder="1" applyAlignment="1">
      <alignment horizontal="center" vertical="center" wrapText="1"/>
    </xf>
    <xf numFmtId="0" fontId="5" fillId="0" borderId="1" xfId="0" applyFont="1" applyBorder="1" applyAlignment="1">
      <alignment horizontal="left"/>
    </xf>
    <xf numFmtId="14" fontId="5" fillId="0" borderId="1" xfId="0" applyNumberFormat="1" applyFont="1" applyBorder="1" applyAlignment="1">
      <alignment horizontal="left"/>
    </xf>
    <xf numFmtId="0" fontId="4" fillId="0" borderId="1" xfId="0" applyFont="1" applyBorder="1" applyAlignment="1">
      <alignment horizontal="left"/>
    </xf>
    <xf numFmtId="49" fontId="11" fillId="0" borderId="10" xfId="0" applyNumberFormat="1" applyFont="1" applyBorder="1" applyAlignment="1">
      <alignment horizontal="center"/>
    </xf>
    <xf numFmtId="49" fontId="11" fillId="0" borderId="12" xfId="0" applyNumberFormat="1" applyFont="1" applyBorder="1" applyAlignment="1">
      <alignment horizontal="center"/>
    </xf>
    <xf numFmtId="49" fontId="11" fillId="0" borderId="8" xfId="0" applyNumberFormat="1" applyFont="1" applyBorder="1" applyAlignment="1">
      <alignment horizontal="center"/>
    </xf>
    <xf numFmtId="0" fontId="23" fillId="26" borderId="6" xfId="0" applyFont="1" applyFill="1" applyBorder="1" applyAlignment="1">
      <alignment horizontal="left"/>
    </xf>
    <xf numFmtId="0" fontId="23" fillId="26" borderId="0" xfId="0" applyFont="1" applyFill="1" applyAlignment="1">
      <alignment horizontal="left"/>
    </xf>
    <xf numFmtId="0" fontId="25" fillId="26" borderId="10" xfId="0" applyFont="1" applyFill="1" applyBorder="1" applyAlignment="1">
      <alignment horizontal="left"/>
    </xf>
    <xf numFmtId="0" fontId="25" fillId="26" borderId="12" xfId="0" applyFont="1" applyFill="1" applyBorder="1" applyAlignment="1">
      <alignment horizontal="left"/>
    </xf>
    <xf numFmtId="0" fontId="20" fillId="19" borderId="1" xfId="0" applyFont="1" applyFill="1" applyBorder="1" applyAlignment="1">
      <alignment horizontal="center" vertical="center" wrapText="1"/>
    </xf>
    <xf numFmtId="0" fontId="11" fillId="0" borderId="10" xfId="0" applyFont="1" applyBorder="1" applyAlignment="1">
      <alignment horizontal="center"/>
    </xf>
    <xf numFmtId="0" fontId="11" fillId="0" borderId="12" xfId="0" applyFont="1" applyBorder="1" applyAlignment="1">
      <alignment horizontal="center"/>
    </xf>
    <xf numFmtId="0" fontId="11" fillId="0" borderId="8" xfId="0" applyFont="1" applyBorder="1" applyAlignment="1">
      <alignment horizontal="center"/>
    </xf>
    <xf numFmtId="0" fontId="5" fillId="0" borderId="10" xfId="0" applyFont="1" applyBorder="1" applyAlignment="1">
      <alignment horizontal="center"/>
    </xf>
    <xf numFmtId="0" fontId="5" fillId="0" borderId="12" xfId="0" applyFont="1" applyBorder="1" applyAlignment="1">
      <alignment horizontal="center"/>
    </xf>
    <xf numFmtId="0" fontId="5" fillId="0" borderId="8" xfId="0" applyFont="1" applyBorder="1" applyAlignment="1">
      <alignment horizontal="center"/>
    </xf>
    <xf numFmtId="4" fontId="21" fillId="22" borderId="2" xfId="0" applyNumberFormat="1" applyFont="1" applyFill="1" applyBorder="1" applyAlignment="1">
      <alignment horizontal="center" vertical="center"/>
    </xf>
    <xf numFmtId="4" fontId="21" fillId="22" borderId="3" xfId="0" applyNumberFormat="1" applyFont="1" applyFill="1" applyBorder="1" applyAlignment="1">
      <alignment horizontal="center" vertical="center"/>
    </xf>
    <xf numFmtId="14" fontId="11" fillId="0" borderId="1" xfId="0" applyNumberFormat="1" applyFont="1" applyBorder="1" applyAlignment="1">
      <alignment horizontal="center"/>
    </xf>
    <xf numFmtId="4" fontId="11" fillId="22" borderId="1" xfId="0" applyNumberFormat="1" applyFont="1" applyFill="1" applyBorder="1" applyAlignment="1">
      <alignment horizontal="center"/>
    </xf>
    <xf numFmtId="0" fontId="11" fillId="22" borderId="1" xfId="0" applyFont="1" applyFill="1" applyBorder="1" applyAlignment="1">
      <alignment horizontal="center"/>
    </xf>
    <xf numFmtId="0" fontId="35" fillId="0" borderId="6" xfId="0" applyFont="1" applyBorder="1" applyAlignment="1">
      <alignment horizontal="center"/>
    </xf>
    <xf numFmtId="0" fontId="35" fillId="0" borderId="0" xfId="0" applyFont="1" applyAlignment="1">
      <alignment horizontal="center"/>
    </xf>
    <xf numFmtId="0" fontId="21" fillId="0" borderId="10" xfId="0" applyFont="1" applyBorder="1" applyAlignment="1">
      <alignment horizontal="center"/>
    </xf>
    <xf numFmtId="0" fontId="21" fillId="0" borderId="12" xfId="0" applyFont="1" applyBorder="1" applyAlignment="1">
      <alignment horizontal="center"/>
    </xf>
    <xf numFmtId="0" fontId="21" fillId="0" borderId="8" xfId="0" applyFont="1" applyBorder="1" applyAlignment="1">
      <alignment horizontal="center"/>
    </xf>
    <xf numFmtId="4" fontId="11" fillId="0" borderId="10" xfId="0" applyNumberFormat="1" applyFont="1" applyBorder="1" applyAlignment="1">
      <alignment horizontal="center"/>
    </xf>
    <xf numFmtId="4" fontId="11" fillId="0" borderId="8" xfId="0" applyNumberFormat="1" applyFont="1" applyBorder="1" applyAlignment="1">
      <alignment horizontal="center"/>
    </xf>
    <xf numFmtId="14" fontId="11" fillId="0" borderId="10" xfId="0" applyNumberFormat="1" applyFont="1" applyBorder="1" applyAlignment="1">
      <alignment horizontal="center"/>
    </xf>
    <xf numFmtId="14" fontId="11" fillId="0" borderId="8" xfId="0" applyNumberFormat="1" applyFont="1" applyBorder="1" applyAlignment="1">
      <alignment horizontal="center"/>
    </xf>
    <xf numFmtId="14" fontId="11" fillId="0" borderId="12" xfId="0" applyNumberFormat="1" applyFont="1" applyBorder="1" applyAlignment="1">
      <alignment horizontal="center"/>
    </xf>
    <xf numFmtId="4" fontId="21" fillId="22" borderId="4" xfId="0" applyNumberFormat="1" applyFont="1" applyFill="1" applyBorder="1" applyAlignment="1">
      <alignment horizontal="center" vertical="center"/>
    </xf>
    <xf numFmtId="0" fontId="21" fillId="0" borderId="10" xfId="0" applyFont="1" applyBorder="1" applyAlignment="1">
      <alignment horizontal="left"/>
    </xf>
    <xf numFmtId="0" fontId="21" fillId="0" borderId="12" xfId="0" applyFont="1" applyBorder="1" applyAlignment="1">
      <alignment horizontal="left"/>
    </xf>
    <xf numFmtId="0" fontId="21" fillId="0" borderId="8" xfId="0" applyFont="1" applyBorder="1" applyAlignment="1">
      <alignment horizontal="left"/>
    </xf>
    <xf numFmtId="0" fontId="33" fillId="0" borderId="6" xfId="0" applyFont="1" applyBorder="1" applyAlignment="1">
      <alignment horizontal="center"/>
    </xf>
    <xf numFmtId="0" fontId="33" fillId="0" borderId="0" xfId="0" applyFont="1" applyAlignment="1">
      <alignment horizontal="center"/>
    </xf>
    <xf numFmtId="0" fontId="25" fillId="26" borderId="0" xfId="0" applyFont="1" applyFill="1" applyAlignment="1">
      <alignment horizontal="left" vertical="center"/>
    </xf>
    <xf numFmtId="0" fontId="29" fillId="0" borderId="10" xfId="0" applyFont="1" applyBorder="1" applyAlignment="1">
      <alignment horizontal="center" wrapText="1"/>
    </xf>
    <xf numFmtId="0" fontId="29" fillId="0" borderId="8" xfId="0" applyFont="1" applyBorder="1" applyAlignment="1">
      <alignment horizontal="center"/>
    </xf>
    <xf numFmtId="0" fontId="21" fillId="0" borderId="10" xfId="0" applyFont="1" applyBorder="1" applyAlignment="1">
      <alignment horizontal="center" vertical="center"/>
    </xf>
    <xf numFmtId="0" fontId="21" fillId="0" borderId="12" xfId="0" applyFont="1" applyBorder="1" applyAlignment="1">
      <alignment horizontal="center" vertical="center"/>
    </xf>
    <xf numFmtId="0" fontId="21" fillId="0" borderId="8" xfId="0" applyFont="1" applyBorder="1" applyAlignment="1">
      <alignment horizontal="center" vertical="center"/>
    </xf>
    <xf numFmtId="4" fontId="21" fillId="2" borderId="2" xfId="0" applyNumberFormat="1" applyFont="1" applyFill="1" applyBorder="1" applyAlignment="1">
      <alignment horizontal="center" vertical="center"/>
    </xf>
    <xf numFmtId="4" fontId="21" fillId="2" borderId="3" xfId="0" applyNumberFormat="1" applyFont="1" applyFill="1" applyBorder="1" applyAlignment="1">
      <alignment horizontal="center" vertical="center"/>
    </xf>
    <xf numFmtId="4" fontId="4" fillId="2" borderId="2" xfId="0" applyNumberFormat="1" applyFont="1" applyFill="1" applyBorder="1" applyAlignment="1">
      <alignment horizontal="center" vertical="center"/>
    </xf>
    <xf numFmtId="4" fontId="4" fillId="2" borderId="4" xfId="0" applyNumberFormat="1" applyFont="1" applyFill="1" applyBorder="1" applyAlignment="1">
      <alignment horizontal="center" vertical="center"/>
    </xf>
    <xf numFmtId="0" fontId="11" fillId="27" borderId="10" xfId="0" applyFont="1" applyFill="1" applyBorder="1" applyAlignment="1">
      <alignment horizontal="left"/>
    </xf>
    <xf numFmtId="0" fontId="11" fillId="27" borderId="12" xfId="0" applyFont="1" applyFill="1" applyBorder="1" applyAlignment="1">
      <alignment horizontal="left"/>
    </xf>
    <xf numFmtId="0" fontId="11" fillId="27" borderId="8" xfId="0" applyFont="1" applyFill="1" applyBorder="1" applyAlignment="1">
      <alignment horizontal="left"/>
    </xf>
    <xf numFmtId="4" fontId="21" fillId="2" borderId="10" xfId="0" applyNumberFormat="1" applyFont="1" applyFill="1" applyBorder="1" applyAlignment="1">
      <alignment horizontal="left"/>
    </xf>
    <xf numFmtId="0" fontId="21" fillId="2" borderId="12" xfId="0" applyFont="1" applyFill="1" applyBorder="1" applyAlignment="1">
      <alignment horizontal="left"/>
    </xf>
    <xf numFmtId="0" fontId="21" fillId="2" borderId="8" xfId="0" applyFont="1" applyFill="1" applyBorder="1" applyAlignment="1">
      <alignment horizontal="left"/>
    </xf>
    <xf numFmtId="0" fontId="21" fillId="2" borderId="1" xfId="0" applyFont="1" applyFill="1" applyBorder="1" applyAlignment="1">
      <alignment horizontal="left"/>
    </xf>
    <xf numFmtId="4" fontId="4" fillId="2" borderId="3"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14" fontId="5" fillId="0" borderId="2" xfId="0" applyNumberFormat="1" applyFont="1" applyBorder="1" applyAlignment="1">
      <alignment horizontal="left" vertical="center"/>
    </xf>
    <xf numFmtId="14" fontId="5" fillId="0" borderId="4" xfId="0" applyNumberFormat="1" applyFont="1" applyBorder="1" applyAlignment="1">
      <alignment horizontal="left" vertical="center"/>
    </xf>
    <xf numFmtId="14" fontId="5" fillId="0" borderId="3" xfId="0" applyNumberFormat="1" applyFont="1" applyBorder="1" applyAlignment="1">
      <alignment horizontal="left" vertical="center"/>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4" fillId="6" borderId="2" xfId="0" applyFont="1" applyFill="1" applyBorder="1" applyAlignment="1">
      <alignment horizontal="left" vertical="center"/>
    </xf>
    <xf numFmtId="0" fontId="4" fillId="6" borderId="4" xfId="0" applyFont="1" applyFill="1" applyBorder="1" applyAlignment="1">
      <alignment horizontal="left" vertical="center"/>
    </xf>
    <xf numFmtId="0" fontId="4" fillId="6" borderId="3" xfId="0" applyFont="1" applyFill="1" applyBorder="1" applyAlignment="1">
      <alignment horizontal="left" vertical="center"/>
    </xf>
    <xf numFmtId="0" fontId="4" fillId="5" borderId="2" xfId="0" applyFont="1" applyFill="1" applyBorder="1" applyAlignment="1">
      <alignment horizontal="left" vertical="center"/>
    </xf>
    <xf numFmtId="0" fontId="4" fillId="5" borderId="4" xfId="0" applyFont="1" applyFill="1" applyBorder="1" applyAlignment="1">
      <alignment horizontal="left" vertical="center"/>
    </xf>
    <xf numFmtId="0" fontId="4" fillId="5" borderId="3" xfId="0" applyFont="1" applyFill="1" applyBorder="1" applyAlignment="1">
      <alignment horizontal="left" vertical="center"/>
    </xf>
    <xf numFmtId="4" fontId="4" fillId="2" borderId="2" xfId="0" applyNumberFormat="1" applyFont="1" applyFill="1" applyBorder="1" applyAlignment="1">
      <alignment horizontal="left" vertical="center"/>
    </xf>
    <xf numFmtId="4" fontId="4" fillId="2" borderId="4" xfId="0" applyNumberFormat="1" applyFont="1" applyFill="1" applyBorder="1" applyAlignment="1">
      <alignment horizontal="left" vertical="center"/>
    </xf>
    <xf numFmtId="4" fontId="4" fillId="2" borderId="3" xfId="0" applyNumberFormat="1" applyFont="1" applyFill="1" applyBorder="1" applyAlignment="1">
      <alignment horizontal="left" vertical="center"/>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4" fillId="5" borderId="2" xfId="0" applyFont="1" applyFill="1" applyBorder="1" applyAlignment="1">
      <alignment horizontal="left" vertical="center" wrapText="1"/>
    </xf>
    <xf numFmtId="0" fontId="4" fillId="5" borderId="4" xfId="0" applyFont="1" applyFill="1" applyBorder="1" applyAlignment="1">
      <alignment horizontal="left" vertical="center" wrapText="1"/>
    </xf>
    <xf numFmtId="0" fontId="4" fillId="5" borderId="3" xfId="0" applyFont="1" applyFill="1" applyBorder="1" applyAlignment="1">
      <alignment horizontal="left" vertical="center" wrapText="1"/>
    </xf>
    <xf numFmtId="0" fontId="15" fillId="8" borderId="2" xfId="0" applyFont="1" applyFill="1" applyBorder="1" applyAlignment="1">
      <alignment horizontal="left" vertical="center"/>
    </xf>
    <xf numFmtId="0" fontId="15" fillId="8" borderId="4" xfId="0" applyFont="1" applyFill="1" applyBorder="1" applyAlignment="1">
      <alignment horizontal="left" vertical="center"/>
    </xf>
    <xf numFmtId="0" fontId="15" fillId="8" borderId="3" xfId="0" applyFont="1" applyFill="1" applyBorder="1" applyAlignment="1">
      <alignment horizontal="left" vertical="center"/>
    </xf>
    <xf numFmtId="0" fontId="4" fillId="7" borderId="2" xfId="0" applyFont="1" applyFill="1" applyBorder="1" applyAlignment="1">
      <alignment horizontal="left" vertical="center"/>
    </xf>
    <xf numFmtId="0" fontId="4" fillId="7" borderId="3" xfId="0" applyFont="1" applyFill="1" applyBorder="1" applyAlignment="1">
      <alignment horizontal="left" vertical="center"/>
    </xf>
    <xf numFmtId="14" fontId="5" fillId="0" borderId="2" xfId="0" applyNumberFormat="1" applyFont="1" applyBorder="1" applyAlignment="1">
      <alignment horizontal="center" vertical="center" wrapText="1"/>
    </xf>
    <xf numFmtId="14" fontId="5" fillId="0" borderId="3" xfId="0" applyNumberFormat="1" applyFont="1" applyBorder="1" applyAlignment="1">
      <alignment horizontal="center" vertical="center"/>
    </xf>
    <xf numFmtId="0" fontId="5" fillId="7" borderId="2" xfId="0" applyFont="1" applyFill="1" applyBorder="1" applyAlignment="1">
      <alignment horizontal="left" vertical="center" wrapText="1"/>
    </xf>
    <xf numFmtId="0" fontId="5" fillId="7" borderId="3" xfId="0" applyFont="1" applyFill="1" applyBorder="1" applyAlignment="1">
      <alignment horizontal="left" vertical="center" wrapText="1"/>
    </xf>
    <xf numFmtId="0" fontId="16" fillId="18" borderId="2" xfId="0" applyFont="1" applyFill="1" applyBorder="1" applyAlignment="1">
      <alignment horizontal="left" vertical="center" wrapText="1"/>
    </xf>
    <xf numFmtId="0" fontId="16" fillId="18" borderId="3" xfId="0" applyFont="1" applyFill="1" applyBorder="1" applyAlignment="1">
      <alignment horizontal="left" vertical="center"/>
    </xf>
    <xf numFmtId="4" fontId="5" fillId="0" borderId="2" xfId="0" applyNumberFormat="1" applyFont="1" applyBorder="1" applyAlignment="1">
      <alignment horizontal="center" vertical="center"/>
    </xf>
    <xf numFmtId="4" fontId="5" fillId="0" borderId="3" xfId="0" applyNumberFormat="1" applyFont="1" applyBorder="1" applyAlignment="1">
      <alignment horizontal="center" vertical="center"/>
    </xf>
    <xf numFmtId="4" fontId="5" fillId="0" borderId="4" xfId="0" applyNumberFormat="1" applyFont="1" applyBorder="1" applyAlignment="1">
      <alignment horizontal="center" vertical="center"/>
    </xf>
    <xf numFmtId="0" fontId="5" fillId="0" borderId="1" xfId="0" applyFont="1" applyBorder="1" applyAlignment="1">
      <alignment horizontal="center" vertical="center"/>
    </xf>
    <xf numFmtId="0" fontId="19" fillId="18" borderId="2" xfId="0" applyFont="1" applyFill="1" applyBorder="1" applyAlignment="1">
      <alignment horizontal="left" vertical="center"/>
    </xf>
    <xf numFmtId="0" fontId="19" fillId="18" borderId="3" xfId="0" applyFont="1" applyFill="1" applyBorder="1" applyAlignment="1">
      <alignment horizontal="left" vertical="center"/>
    </xf>
    <xf numFmtId="4" fontId="4" fillId="2" borderId="2" xfId="0" applyNumberFormat="1" applyFont="1" applyFill="1" applyBorder="1" applyAlignment="1">
      <alignment horizontal="left" vertical="center" wrapText="1"/>
    </xf>
    <xf numFmtId="4" fontId="4" fillId="2" borderId="4" xfId="0" applyNumberFormat="1" applyFont="1" applyFill="1" applyBorder="1" applyAlignment="1">
      <alignment horizontal="left" vertical="center" wrapText="1"/>
    </xf>
    <xf numFmtId="4" fontId="4" fillId="2" borderId="3" xfId="0" applyNumberFormat="1"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4" fontId="5" fillId="0" borderId="2" xfId="0" applyNumberFormat="1" applyFont="1" applyBorder="1" applyAlignment="1">
      <alignment horizontal="center" vertical="center" wrapText="1"/>
    </xf>
    <xf numFmtId="4" fontId="5" fillId="0" borderId="4" xfId="0" applyNumberFormat="1" applyFont="1" applyBorder="1" applyAlignment="1">
      <alignment horizontal="center" vertical="center" wrapText="1"/>
    </xf>
    <xf numFmtId="4" fontId="5" fillId="0" borderId="3" xfId="0" applyNumberFormat="1" applyFont="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14" fontId="5" fillId="0" borderId="1" xfId="0" applyNumberFormat="1" applyFont="1" applyBorder="1" applyAlignment="1">
      <alignment horizontal="left"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4" fontId="4" fillId="2" borderId="1" xfId="0" applyNumberFormat="1" applyFont="1" applyFill="1" applyBorder="1" applyAlignment="1">
      <alignment horizontal="left" vertical="center"/>
    </xf>
    <xf numFmtId="0" fontId="12" fillId="0" borderId="2" xfId="0" applyFont="1"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5" fillId="15" borderId="2" xfId="0" applyFont="1" applyFill="1" applyBorder="1" applyAlignment="1">
      <alignment horizontal="left" vertical="center" wrapText="1"/>
    </xf>
    <xf numFmtId="0" fontId="5" fillId="15" borderId="3" xfId="0" applyFont="1" applyFill="1" applyBorder="1" applyAlignment="1">
      <alignment horizontal="left" vertical="center" wrapText="1"/>
    </xf>
    <xf numFmtId="0" fontId="5" fillId="15" borderId="4" xfId="0" applyFont="1" applyFill="1" applyBorder="1" applyAlignment="1">
      <alignment horizontal="left" vertical="center"/>
    </xf>
    <xf numFmtId="0" fontId="5" fillId="15" borderId="3" xfId="0" applyFont="1" applyFill="1" applyBorder="1" applyAlignment="1">
      <alignment horizontal="left" vertical="center"/>
    </xf>
    <xf numFmtId="0" fontId="5" fillId="15" borderId="4" xfId="0" applyFont="1" applyFill="1" applyBorder="1" applyAlignment="1">
      <alignment horizontal="left" vertical="center" wrapText="1"/>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0" borderId="3"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left" vertical="center"/>
    </xf>
    <xf numFmtId="0" fontId="5" fillId="15" borderId="2" xfId="0" applyFont="1" applyFill="1" applyBorder="1" applyAlignment="1">
      <alignment horizontal="left" vertical="center"/>
    </xf>
    <xf numFmtId="0" fontId="18" fillId="9" borderId="9" xfId="0" applyFont="1" applyFill="1" applyBorder="1" applyAlignment="1">
      <alignment horizontal="center" vertical="center"/>
    </xf>
    <xf numFmtId="0" fontId="18" fillId="10" borderId="9" xfId="0" applyFont="1" applyFill="1" applyBorder="1" applyAlignment="1">
      <alignment horizontal="center" vertical="center"/>
    </xf>
    <xf numFmtId="0" fontId="18" fillId="11" borderId="9" xfId="0" applyFont="1" applyFill="1" applyBorder="1" applyAlignment="1">
      <alignment horizontal="center" vertical="center"/>
    </xf>
    <xf numFmtId="4" fontId="18" fillId="14" borderId="9" xfId="0" applyNumberFormat="1" applyFont="1" applyFill="1" applyBorder="1" applyAlignment="1">
      <alignment horizontal="center" vertical="center"/>
    </xf>
    <xf numFmtId="14" fontId="5" fillId="0" borderId="2" xfId="0" applyNumberFormat="1" applyFont="1" applyBorder="1" applyAlignment="1">
      <alignment horizontal="left" vertical="center" wrapText="1"/>
    </xf>
    <xf numFmtId="14" fontId="5" fillId="0" borderId="4" xfId="0" applyNumberFormat="1" applyFont="1" applyBorder="1" applyAlignment="1">
      <alignment horizontal="center" vertical="center"/>
    </xf>
    <xf numFmtId="0" fontId="16" fillId="8" borderId="2" xfId="0" applyFont="1" applyFill="1" applyBorder="1" applyAlignment="1">
      <alignment horizontal="left" vertical="center" wrapText="1"/>
    </xf>
    <xf numFmtId="0" fontId="16" fillId="8" borderId="4" xfId="0" applyFont="1" applyFill="1" applyBorder="1" applyAlignment="1">
      <alignment horizontal="left" vertical="center" wrapText="1"/>
    </xf>
    <xf numFmtId="0" fontId="16" fillId="8" borderId="3" xfId="0" applyFont="1" applyFill="1" applyBorder="1" applyAlignment="1">
      <alignment horizontal="left" vertical="center" wrapText="1"/>
    </xf>
    <xf numFmtId="0" fontId="18" fillId="17" borderId="9" xfId="0" applyFont="1" applyFill="1" applyBorder="1" applyAlignment="1">
      <alignment horizontal="center" vertical="center"/>
    </xf>
    <xf numFmtId="0" fontId="18" fillId="16" borderId="9" xfId="0" applyFont="1" applyFill="1" applyBorder="1" applyAlignment="1">
      <alignment horizontal="center" vertical="center"/>
    </xf>
    <xf numFmtId="14" fontId="5" fillId="0" borderId="3" xfId="0" applyNumberFormat="1" applyFont="1" applyBorder="1" applyAlignment="1">
      <alignment horizontal="center" vertical="center" wrapText="1"/>
    </xf>
    <xf numFmtId="0" fontId="9" fillId="0" borderId="1" xfId="0" applyFont="1" applyBorder="1" applyAlignment="1">
      <alignment horizontal="left"/>
    </xf>
    <xf numFmtId="49" fontId="9" fillId="0" borderId="1" xfId="0" applyNumberFormat="1" applyFont="1" applyBorder="1" applyAlignment="1">
      <alignment horizontal="left"/>
    </xf>
    <xf numFmtId="0" fontId="9" fillId="0" borderId="1" xfId="0" applyFont="1" applyBorder="1"/>
    <xf numFmtId="0" fontId="36" fillId="0" borderId="1" xfId="1" applyFont="1" applyBorder="1" applyAlignment="1">
      <alignment horizontal="left"/>
    </xf>
    <xf numFmtId="0" fontId="5" fillId="0" borderId="0" xfId="0" applyFont="1" applyAlignment="1">
      <alignment horizontal="center"/>
    </xf>
    <xf numFmtId="0" fontId="36" fillId="0" borderId="1" xfId="1" applyFont="1" applyBorder="1"/>
    <xf numFmtId="0" fontId="36" fillId="0" borderId="1" xfId="1" applyFont="1" applyBorder="1" applyAlignment="1">
      <alignment horizontal="left" wrapText="1"/>
    </xf>
    <xf numFmtId="0" fontId="5" fillId="0" borderId="3" xfId="0" applyFont="1" applyBorder="1" applyAlignment="1">
      <alignment horizontal="center"/>
    </xf>
    <xf numFmtId="49" fontId="5" fillId="0" borderId="3" xfId="0" applyNumberFormat="1" applyFont="1" applyBorder="1" applyAlignment="1">
      <alignment horizontal="center"/>
    </xf>
    <xf numFmtId="0" fontId="9" fillId="3" borderId="1" xfId="0" applyFont="1" applyFill="1" applyBorder="1" applyAlignment="1">
      <alignment horizontal="left" vertical="center"/>
    </xf>
    <xf numFmtId="0" fontId="9" fillId="0" borderId="8" xfId="0" applyFont="1" applyBorder="1"/>
    <xf numFmtId="0" fontId="9" fillId="22" borderId="1" xfId="0" applyFont="1" applyFill="1" applyBorder="1" applyAlignment="1">
      <alignment horizontal="center"/>
    </xf>
    <xf numFmtId="0" fontId="9" fillId="14" borderId="1" xfId="0" applyFont="1" applyFill="1" applyBorder="1" applyAlignment="1">
      <alignment vertical="center"/>
    </xf>
    <xf numFmtId="14" fontId="9" fillId="0" borderId="1" xfId="0" applyNumberFormat="1" applyFont="1" applyBorder="1"/>
    <xf numFmtId="14" fontId="9" fillId="0" borderId="1" xfId="0" applyNumberFormat="1" applyFont="1" applyBorder="1" applyAlignment="1">
      <alignment horizontal="right"/>
    </xf>
    <xf numFmtId="0" fontId="9" fillId="14" borderId="1" xfId="0" applyFont="1" applyFill="1" applyBorder="1"/>
    <xf numFmtId="49" fontId="9" fillId="0" borderId="1" xfId="0" applyNumberFormat="1" applyFont="1" applyBorder="1" applyAlignment="1">
      <alignment horizontal="left" vertical="center"/>
    </xf>
    <xf numFmtId="0" fontId="9" fillId="0" borderId="10" xfId="0" applyFont="1" applyBorder="1"/>
    <xf numFmtId="0" fontId="9" fillId="12" borderId="8" xfId="0" applyFont="1" applyFill="1" applyBorder="1" applyAlignment="1">
      <alignment horizontal="center"/>
    </xf>
    <xf numFmtId="0" fontId="9" fillId="12" borderId="1" xfId="0" applyFont="1" applyFill="1" applyBorder="1" applyAlignment="1">
      <alignment horizontal="center"/>
    </xf>
    <xf numFmtId="0" fontId="9" fillId="12" borderId="1" xfId="0" applyFont="1" applyFill="1" applyBorder="1" applyAlignment="1">
      <alignment vertical="center"/>
    </xf>
    <xf numFmtId="14" fontId="9" fillId="12" borderId="1" xfId="0" applyNumberFormat="1" applyFont="1" applyFill="1" applyBorder="1"/>
    <xf numFmtId="0" fontId="9" fillId="12" borderId="1" xfId="0" applyFont="1" applyFill="1" applyBorder="1" applyAlignment="1">
      <alignment horizontal="left"/>
    </xf>
    <xf numFmtId="0" fontId="9" fillId="12" borderId="1" xfId="0" applyFont="1" applyFill="1" applyBorder="1"/>
    <xf numFmtId="49" fontId="9" fillId="12" borderId="1" xfId="0" applyNumberFormat="1" applyFont="1" applyFill="1" applyBorder="1" applyAlignment="1">
      <alignment horizontal="center" vertical="center"/>
    </xf>
    <xf numFmtId="0" fontId="9" fillId="0" borderId="1" xfId="0" applyFont="1" applyBorder="1" applyAlignment="1">
      <alignment horizontal="center"/>
    </xf>
    <xf numFmtId="0" fontId="9" fillId="28" borderId="1" xfId="0" applyFont="1" applyFill="1" applyBorder="1" applyAlignment="1">
      <alignment vertical="center"/>
    </xf>
    <xf numFmtId="0" fontId="9" fillId="0" borderId="1" xfId="0" applyFont="1" applyBorder="1" applyAlignment="1">
      <alignment vertical="center"/>
    </xf>
    <xf numFmtId="14" fontId="9" fillId="0" borderId="1" xfId="0" applyNumberFormat="1" applyFont="1" applyBorder="1" applyAlignment="1">
      <alignment vertical="center"/>
    </xf>
    <xf numFmtId="0" fontId="9" fillId="28" borderId="1" xfId="0" applyFont="1" applyFill="1" applyBorder="1"/>
    <xf numFmtId="49" fontId="9" fillId="0" borderId="1" xfId="0" applyNumberFormat="1" applyFont="1" applyBorder="1" applyAlignment="1">
      <alignment horizontal="left" vertical="center" wrapText="1"/>
    </xf>
    <xf numFmtId="0" fontId="9" fillId="0" borderId="10" xfId="0" applyFont="1" applyBorder="1" applyAlignment="1">
      <alignment horizontal="left" vertical="center" wrapText="1"/>
    </xf>
    <xf numFmtId="0" fontId="9" fillId="27" borderId="1" xfId="0" applyFont="1" applyFill="1" applyBorder="1" applyAlignment="1">
      <alignment vertical="center"/>
    </xf>
    <xf numFmtId="0" fontId="9" fillId="27" borderId="1" xfId="0" applyFont="1" applyFill="1" applyBorder="1" applyAlignment="1">
      <alignment wrapText="1"/>
    </xf>
    <xf numFmtId="0" fontId="9" fillId="23" borderId="1" xfId="0" applyFont="1" applyFill="1" applyBorder="1" applyAlignment="1">
      <alignment vertical="center"/>
    </xf>
    <xf numFmtId="0" fontId="9" fillId="23" borderId="1" xfId="0" applyFont="1" applyFill="1" applyBorder="1"/>
    <xf numFmtId="0" fontId="9" fillId="22" borderId="1" xfId="0" applyFont="1" applyFill="1" applyBorder="1" applyAlignment="1">
      <alignment vertical="center"/>
    </xf>
    <xf numFmtId="0" fontId="9" fillId="22" borderId="1" xfId="0" applyFont="1" applyFill="1" applyBorder="1"/>
    <xf numFmtId="0" fontId="9" fillId="25" borderId="1" xfId="0" applyFont="1" applyFill="1" applyBorder="1" applyAlignment="1">
      <alignment vertical="center"/>
    </xf>
    <xf numFmtId="0" fontId="9" fillId="25" borderId="0" xfId="0" applyFont="1" applyFill="1"/>
    <xf numFmtId="0" fontId="9" fillId="25" borderId="1" xfId="0" applyFont="1" applyFill="1" applyBorder="1"/>
    <xf numFmtId="0" fontId="4" fillId="0" borderId="20" xfId="0" applyFont="1" applyFill="1" applyBorder="1" applyAlignment="1">
      <alignment horizontal="center"/>
    </xf>
    <xf numFmtId="0" fontId="4" fillId="0" borderId="3" xfId="0" applyFont="1" applyFill="1" applyBorder="1" applyAlignment="1">
      <alignment horizontal="center"/>
    </xf>
    <xf numFmtId="0" fontId="4" fillId="0" borderId="3" xfId="0" applyFont="1" applyFill="1" applyBorder="1" applyAlignment="1">
      <alignment horizontal="center" vertical="center"/>
    </xf>
    <xf numFmtId="49" fontId="4" fillId="0" borderId="3" xfId="0" applyNumberFormat="1" applyFont="1" applyFill="1" applyBorder="1" applyAlignment="1">
      <alignment horizontal="center" vertical="center"/>
    </xf>
    <xf numFmtId="0" fontId="4" fillId="0" borderId="7" xfId="0" applyFont="1" applyFill="1" applyBorder="1" applyAlignment="1">
      <alignment horizontal="center"/>
    </xf>
    <xf numFmtId="0" fontId="4" fillId="0" borderId="0" xfId="0" applyFont="1" applyFill="1" applyAlignment="1">
      <alignment horizontal="center"/>
    </xf>
  </cellXfs>
  <cellStyles count="2">
    <cellStyle name="Hyperlink" xfId="1" builtinId="8"/>
    <cellStyle name="Normal" xfId="0" builtinId="0"/>
  </cellStyles>
  <dxfs count="36">
    <dxf>
      <font>
        <b/>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d/mm/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border diagonalUp="0" diagonalDown="0" outline="0">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style="thin">
          <color indexed="64"/>
        </top>
      </border>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i val="0"/>
        <strike val="0"/>
      </font>
      <fill>
        <patternFill>
          <bgColor rgb="FFFFFF99"/>
        </patternFill>
      </fill>
    </dxf>
    <dxf>
      <font>
        <b val="0"/>
        <strike val="0"/>
        <outline val="0"/>
        <shadow val="0"/>
        <vertAlign val="baseline"/>
        <sz val="8"/>
        <color theme="1"/>
        <name val="Calibri"/>
        <family val="2"/>
        <scheme val="minor"/>
      </font>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30" formatCode="@"/>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8"/>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FFFF"/>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border outline="0">
        <top style="thin">
          <color indexed="64"/>
        </top>
        <bottom style="thin">
          <color indexed="64"/>
        </bottom>
      </border>
    </dxf>
  </dxfs>
  <tableStyles count="0" defaultTableStyle="TableStyleMedium2" defaultPivotStyle="PivotStyleLight16"/>
  <colors>
    <mruColors>
      <color rgb="FF99FF33"/>
      <color rgb="FF9999FF"/>
      <color rgb="FFFF7C80"/>
      <color rgb="FF33CCFF"/>
      <color rgb="FFFFCC66"/>
      <color rgb="FFFFCCFF"/>
      <color rgb="FF66FFFF"/>
      <color rgb="FFFF66FF"/>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17</xdr:row>
      <xdr:rowOff>123825</xdr:rowOff>
    </xdr:from>
    <xdr:to>
      <xdr:col>5</xdr:col>
      <xdr:colOff>391782</xdr:colOff>
      <xdr:row>65</xdr:row>
      <xdr:rowOff>122853</xdr:rowOff>
    </xdr:to>
    <xdr:pic>
      <xdr:nvPicPr>
        <xdr:cNvPr id="2" name="Picture 1">
          <a:extLst>
            <a:ext uri="{FF2B5EF4-FFF2-40B4-BE49-F238E27FC236}">
              <a16:creationId xmlns:a16="http://schemas.microsoft.com/office/drawing/2014/main" id="{85BE6DE9-D42E-4608-AF54-F2077DE8F7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0" y="3524250"/>
          <a:ext cx="5180952" cy="777142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9924C7-2444-4067-B874-E6C3634ED123}" name="Table1" displayName="Table1" ref="A1:F26" totalsRowShown="0" headerRowDxfId="27" dataDxfId="26" headerRowBorderDxfId="34" tableBorderDxfId="35">
  <autoFilter ref="A1:F26" xr:uid="{BB9924C7-2444-4067-B874-E6C3634ED123}"/>
  <tableColumns count="6">
    <tableColumn id="1" xr3:uid="{BEEBDE14-4750-4793-84E6-D0EEEE4C8674}" name="ITEM" dataDxfId="33"/>
    <tableColumn id="2" xr3:uid="{516C195C-627F-4AAE-8F90-6D8483E8BC66}" name="COMPANY" dataDxfId="32"/>
    <tableColumn id="3" xr3:uid="{F0C99E1C-5E8D-4464-9020-F9A1BBBC6DE0}" name="EMAIL" dataDxfId="31"/>
    <tableColumn id="4" xr3:uid="{52725108-76BF-4C85-BD44-CEFFF60CA520}" name="PHONE" dataDxfId="30"/>
    <tableColumn id="5" xr3:uid="{79BDCB5B-82F6-47E7-9ED7-C6F704256E2A}" name="NAME" dataDxfId="29"/>
    <tableColumn id="6" xr3:uid="{18626681-AF0B-41D0-8218-6B9268B50814}" name="ROLE" dataDxfId="28"/>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01F47B-3C7E-4CC1-AB74-66F861C7596E}" name="Table2" displayName="Table2" ref="A1:J8" totalsRowShown="0" headerRowDxfId="0" dataDxfId="1" headerRowBorderDxfId="12" tableBorderDxfId="13">
  <autoFilter ref="A1:J8" xr:uid="{E301F47B-3C7E-4CC1-AB74-66F861C7596E}"/>
  <tableColumns count="10">
    <tableColumn id="1" xr3:uid="{D7E03A78-E425-40C1-95FF-A2B473D9E742}" name="FILE (HARD COPIES)" dataDxfId="11"/>
    <tableColumn id="2" xr3:uid="{DA1295D5-9578-4C1A-8C0E-80CC4E189475}" name="PL |PO TO GC" dataDxfId="10"/>
    <tableColumn id="3" xr3:uid="{988EA4DB-2B7D-4D2D-8408-ADEAC796CBA5}" name="PO/INV NO." dataDxfId="9"/>
    <tableColumn id="4" xr3:uid="{035E107E-2BFD-4325-84A7-4B7D1CE5A1C7}" name="ITEM" dataDxfId="8"/>
    <tableColumn id="5" xr3:uid="{C49CB445-B8F5-469E-8843-38A10C30DA3B}" name="DELIVERY STATUS" dataDxfId="7"/>
    <tableColumn id="6" xr3:uid="{7DD455B1-0D78-4FFF-9CA9-F5EAB397A14B}" name="ETD" dataDxfId="6"/>
    <tableColumn id="7" xr3:uid="{CAF5F8BF-8739-4D27-9C6C-0AD2EC063FFF}" name="APPROX RECEIVE DATE" dataDxfId="5"/>
    <tableColumn id="8" xr3:uid="{D707066E-60BA-4117-BE79-37406605EADD}" name="LAST UPDATE" dataDxfId="4"/>
    <tableColumn id="9" xr3:uid="{9E46168F-ECEB-4EEF-8C9B-A3908DD1ABC9}" name="AFC INVOICE NO." dataDxfId="3"/>
    <tableColumn id="10" xr3:uid="{4FC80C8A-9A5D-42EF-A041-33B812DEC099}" name="REMARKS" dataDxfId="2"/>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reef@fastconnect-fze.com" TargetMode="External"/><Relationship Id="rId3" Type="http://schemas.openxmlformats.org/officeDocument/2006/relationships/hyperlink" Target="mailto:candy_shen@ff-network.com.cn" TargetMode="External"/><Relationship Id="rId7" Type="http://schemas.openxmlformats.org/officeDocument/2006/relationships/hyperlink" Target="mailto:kedar.d@healthiummedtech.com" TargetMode="External"/><Relationship Id="rId12" Type="http://schemas.openxmlformats.org/officeDocument/2006/relationships/table" Target="../tables/table1.xml"/><Relationship Id="rId2" Type="http://schemas.openxmlformats.org/officeDocument/2006/relationships/hyperlink" Target="mailto:candy_shen@ff-network.com.cn" TargetMode="External"/><Relationship Id="rId1" Type="http://schemas.openxmlformats.org/officeDocument/2006/relationships/hyperlink" Target="mailto:kaci@huadamedical.com" TargetMode="External"/><Relationship Id="rId6" Type="http://schemas.openxmlformats.org/officeDocument/2006/relationships/hyperlink" Target="mailto:nishant.g@healthiummedtech.com" TargetMode="External"/><Relationship Id="rId11" Type="http://schemas.openxmlformats.org/officeDocument/2006/relationships/hyperlink" Target="mailto:victorwei@cn.evergreen-logistics.com" TargetMode="External"/><Relationship Id="rId5" Type="http://schemas.openxmlformats.org/officeDocument/2006/relationships/hyperlink" Target="mailto:abhishek.m@healthiummedtech.com" TargetMode="External"/><Relationship Id="rId10" Type="http://schemas.openxmlformats.org/officeDocument/2006/relationships/hyperlink" Target="mailto:aravind.a@healthiummedtech.com" TargetMode="External"/><Relationship Id="rId4" Type="http://schemas.openxmlformats.org/officeDocument/2006/relationships/hyperlink" Target="mailto:simon@labtek-med.com" TargetMode="External"/><Relationship Id="rId9" Type="http://schemas.openxmlformats.org/officeDocument/2006/relationships/hyperlink" Target="mailto:3197475390@qq.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2837-39A6-4FE9-BF15-EEC32DB3EE39}">
  <dimension ref="A1:F26"/>
  <sheetViews>
    <sheetView workbookViewId="0">
      <selection activeCell="B19" sqref="B19"/>
    </sheetView>
  </sheetViews>
  <sheetFormatPr defaultColWidth="20.88671875" defaultRowHeight="13.8" x14ac:dyDescent="0.3"/>
  <cols>
    <col min="1" max="1" width="17.88671875" style="2" bestFit="1" customWidth="1"/>
    <col min="2" max="2" width="35.77734375" style="2" bestFit="1" customWidth="1"/>
    <col min="3" max="3" width="24.33203125" style="2" bestFit="1" customWidth="1"/>
    <col min="4" max="4" width="14.109375" style="10" bestFit="1" customWidth="1"/>
    <col min="5" max="5" width="11.109375" style="2" bestFit="1" customWidth="1"/>
    <col min="6" max="6" width="18.77734375" style="2" bestFit="1" customWidth="1"/>
    <col min="7" max="16384" width="20.88671875" style="2"/>
  </cols>
  <sheetData>
    <row r="1" spans="1:6" s="375" customFormat="1" x14ac:dyDescent="0.3">
      <c r="A1" s="378" t="s">
        <v>2</v>
      </c>
      <c r="B1" s="378" t="s">
        <v>6</v>
      </c>
      <c r="C1" s="378" t="s">
        <v>10</v>
      </c>
      <c r="D1" s="379" t="s">
        <v>91</v>
      </c>
      <c r="E1" s="378" t="s">
        <v>11</v>
      </c>
      <c r="F1" s="378" t="s">
        <v>14</v>
      </c>
    </row>
    <row r="2" spans="1:6" x14ac:dyDescent="0.3">
      <c r="A2" s="371" t="s">
        <v>5</v>
      </c>
      <c r="B2" s="371" t="s">
        <v>7</v>
      </c>
      <c r="C2" s="371" t="s">
        <v>12</v>
      </c>
      <c r="D2" s="372" t="s">
        <v>92</v>
      </c>
      <c r="E2" s="371" t="s">
        <v>13</v>
      </c>
      <c r="F2" s="371" t="s">
        <v>15</v>
      </c>
    </row>
    <row r="3" spans="1:6" x14ac:dyDescent="0.3">
      <c r="A3" s="371" t="s">
        <v>16</v>
      </c>
      <c r="B3" s="371" t="s">
        <v>17</v>
      </c>
      <c r="C3" s="371" t="s">
        <v>49</v>
      </c>
      <c r="D3" s="372" t="s">
        <v>97</v>
      </c>
      <c r="E3" s="371" t="s">
        <v>51</v>
      </c>
      <c r="F3" s="371"/>
    </row>
    <row r="4" spans="1:6" x14ac:dyDescent="0.3">
      <c r="A4" s="371" t="s">
        <v>16</v>
      </c>
      <c r="B4" s="371" t="s">
        <v>17</v>
      </c>
      <c r="C4" s="371" t="s">
        <v>50</v>
      </c>
      <c r="D4" s="372" t="s">
        <v>93</v>
      </c>
      <c r="E4" s="371" t="s">
        <v>52</v>
      </c>
      <c r="F4" s="371"/>
    </row>
    <row r="5" spans="1:6" x14ac:dyDescent="0.3">
      <c r="A5" s="371" t="s">
        <v>9</v>
      </c>
      <c r="B5" s="371" t="s">
        <v>18</v>
      </c>
      <c r="C5" s="371" t="s">
        <v>53</v>
      </c>
      <c r="D5" s="372"/>
      <c r="E5" s="371" t="s">
        <v>54</v>
      </c>
      <c r="F5" s="371"/>
    </row>
    <row r="6" spans="1:6" x14ac:dyDescent="0.3">
      <c r="A6" s="371" t="s">
        <v>9</v>
      </c>
      <c r="B6" s="371" t="s">
        <v>240</v>
      </c>
      <c r="C6" s="374" t="s">
        <v>239</v>
      </c>
      <c r="D6" s="372"/>
      <c r="E6" s="371"/>
      <c r="F6" s="371"/>
    </row>
    <row r="7" spans="1:6" x14ac:dyDescent="0.3">
      <c r="A7" s="371" t="s">
        <v>110</v>
      </c>
      <c r="B7" s="371" t="s">
        <v>105</v>
      </c>
      <c r="C7" s="374" t="s">
        <v>111</v>
      </c>
      <c r="D7" s="372"/>
      <c r="E7" s="371" t="s">
        <v>154</v>
      </c>
      <c r="F7" s="371"/>
    </row>
    <row r="8" spans="1:6" x14ac:dyDescent="0.3">
      <c r="A8" s="371" t="s">
        <v>121</v>
      </c>
      <c r="B8" s="371" t="s">
        <v>119</v>
      </c>
      <c r="C8" s="374" t="s">
        <v>134</v>
      </c>
      <c r="D8" s="372" t="s">
        <v>157</v>
      </c>
      <c r="E8" s="371" t="s">
        <v>135</v>
      </c>
      <c r="F8" s="371"/>
    </row>
    <row r="9" spans="1:6" x14ac:dyDescent="0.3">
      <c r="A9" s="371" t="s">
        <v>247</v>
      </c>
      <c r="B9" s="371" t="s">
        <v>246</v>
      </c>
      <c r="C9" s="374" t="s">
        <v>249</v>
      </c>
      <c r="D9" s="372" t="s">
        <v>250</v>
      </c>
      <c r="E9" s="371" t="s">
        <v>248</v>
      </c>
      <c r="F9" s="371"/>
    </row>
    <row r="10" spans="1:6" x14ac:dyDescent="0.3">
      <c r="A10" s="371" t="s">
        <v>247</v>
      </c>
      <c r="B10" s="371" t="s">
        <v>246</v>
      </c>
      <c r="C10" s="374" t="s">
        <v>251</v>
      </c>
      <c r="D10" s="372"/>
      <c r="E10" s="371"/>
      <c r="F10" s="371" t="s">
        <v>253</v>
      </c>
    </row>
    <row r="11" spans="1:6" x14ac:dyDescent="0.3">
      <c r="A11" s="371" t="s">
        <v>247</v>
      </c>
      <c r="B11" s="371" t="s">
        <v>246</v>
      </c>
      <c r="C11" s="374" t="s">
        <v>252</v>
      </c>
      <c r="D11" s="372"/>
      <c r="E11" s="371"/>
      <c r="F11" s="371" t="s">
        <v>253</v>
      </c>
    </row>
    <row r="12" spans="1:6" x14ac:dyDescent="0.3">
      <c r="A12" s="371" t="s">
        <v>247</v>
      </c>
      <c r="B12" s="371" t="s">
        <v>246</v>
      </c>
      <c r="C12" s="374" t="s">
        <v>343</v>
      </c>
      <c r="D12" s="372"/>
      <c r="E12" s="371"/>
      <c r="F12" s="371"/>
    </row>
    <row r="13" spans="1:6" x14ac:dyDescent="0.3">
      <c r="A13" s="373" t="s">
        <v>256</v>
      </c>
      <c r="B13" s="373" t="s">
        <v>255</v>
      </c>
      <c r="C13" s="373" t="s">
        <v>257</v>
      </c>
      <c r="D13" s="373" t="s">
        <v>258</v>
      </c>
      <c r="E13" s="373" t="s">
        <v>259</v>
      </c>
      <c r="F13" s="373" t="s">
        <v>260</v>
      </c>
    </row>
    <row r="14" spans="1:6" x14ac:dyDescent="0.3">
      <c r="A14" s="371" t="s">
        <v>271</v>
      </c>
      <c r="B14" s="371" t="s">
        <v>272</v>
      </c>
      <c r="C14" s="374" t="s">
        <v>273</v>
      </c>
      <c r="D14" s="372"/>
      <c r="E14" s="371"/>
      <c r="F14" s="371" t="s">
        <v>274</v>
      </c>
    </row>
    <row r="15" spans="1:6" x14ac:dyDescent="0.3">
      <c r="A15" s="371" t="s">
        <v>271</v>
      </c>
      <c r="B15" s="371" t="s">
        <v>272</v>
      </c>
      <c r="C15" s="374" t="s">
        <v>275</v>
      </c>
      <c r="D15" s="372"/>
      <c r="E15" s="371"/>
      <c r="F15" s="371" t="s">
        <v>253</v>
      </c>
    </row>
    <row r="16" spans="1:6" x14ac:dyDescent="0.3">
      <c r="A16" s="371" t="s">
        <v>271</v>
      </c>
      <c r="B16" s="371" t="s">
        <v>272</v>
      </c>
      <c r="C16" s="374" t="s">
        <v>276</v>
      </c>
      <c r="D16" s="372"/>
      <c r="E16" s="371"/>
      <c r="F16" s="371" t="s">
        <v>253</v>
      </c>
    </row>
    <row r="17" spans="1:6" x14ac:dyDescent="0.3">
      <c r="A17" s="371" t="s">
        <v>271</v>
      </c>
      <c r="B17" s="371" t="s">
        <v>272</v>
      </c>
      <c r="C17" s="374" t="s">
        <v>277</v>
      </c>
      <c r="D17" s="372"/>
      <c r="E17" s="371"/>
      <c r="F17" s="371" t="s">
        <v>253</v>
      </c>
    </row>
    <row r="18" spans="1:6" x14ac:dyDescent="0.3">
      <c r="A18" s="371" t="s">
        <v>156</v>
      </c>
      <c r="B18" s="371" t="s">
        <v>66</v>
      </c>
      <c r="C18" s="371" t="s">
        <v>77</v>
      </c>
      <c r="D18" s="372" t="s">
        <v>94</v>
      </c>
      <c r="E18" s="371" t="s">
        <v>79</v>
      </c>
      <c r="F18" s="371"/>
    </row>
    <row r="19" spans="1:6" x14ac:dyDescent="0.3">
      <c r="A19" s="371" t="s">
        <v>156</v>
      </c>
      <c r="B19" s="371" t="s">
        <v>66</v>
      </c>
      <c r="C19" s="371" t="s">
        <v>78</v>
      </c>
      <c r="D19" s="372"/>
      <c r="E19" s="371" t="s">
        <v>80</v>
      </c>
      <c r="F19" s="371"/>
    </row>
    <row r="20" spans="1:6" x14ac:dyDescent="0.3">
      <c r="A20" s="371" t="s">
        <v>156</v>
      </c>
      <c r="B20" s="371" t="s">
        <v>85</v>
      </c>
      <c r="C20" s="371" t="s">
        <v>86</v>
      </c>
      <c r="D20" s="372" t="s">
        <v>96</v>
      </c>
      <c r="E20" s="371" t="s">
        <v>87</v>
      </c>
      <c r="F20" s="371"/>
    </row>
    <row r="21" spans="1:6" x14ac:dyDescent="0.3">
      <c r="A21" s="371" t="s">
        <v>156</v>
      </c>
      <c r="B21" s="371" t="s">
        <v>85</v>
      </c>
      <c r="C21" s="374" t="s">
        <v>88</v>
      </c>
      <c r="D21" s="372" t="s">
        <v>245</v>
      </c>
      <c r="E21" s="371" t="s">
        <v>89</v>
      </c>
      <c r="F21" s="371"/>
    </row>
    <row r="22" spans="1:6" x14ac:dyDescent="0.3">
      <c r="A22" s="371" t="s">
        <v>344</v>
      </c>
      <c r="B22" s="371" t="s">
        <v>351</v>
      </c>
      <c r="C22" s="374" t="s">
        <v>342</v>
      </c>
      <c r="D22" s="372"/>
      <c r="E22" s="371" t="s">
        <v>345</v>
      </c>
      <c r="F22" s="371"/>
    </row>
    <row r="23" spans="1:6" x14ac:dyDescent="0.3">
      <c r="A23" s="371" t="s">
        <v>344</v>
      </c>
      <c r="B23" s="371" t="s">
        <v>369</v>
      </c>
      <c r="C23" s="376" t="s">
        <v>370</v>
      </c>
      <c r="D23" s="372" t="s">
        <v>371</v>
      </c>
      <c r="E23" s="371" t="s">
        <v>372</v>
      </c>
      <c r="F23" s="371"/>
    </row>
    <row r="24" spans="1:6" ht="15" customHeight="1" x14ac:dyDescent="0.3">
      <c r="A24" s="371" t="s">
        <v>155</v>
      </c>
      <c r="B24" s="380" t="s">
        <v>84</v>
      </c>
      <c r="C24" s="371" t="s">
        <v>81</v>
      </c>
      <c r="D24" s="372" t="s">
        <v>95</v>
      </c>
      <c r="E24" s="371" t="s">
        <v>82</v>
      </c>
      <c r="F24" s="371" t="s">
        <v>83</v>
      </c>
    </row>
    <row r="25" spans="1:6" ht="15" customHeight="1" x14ac:dyDescent="0.3">
      <c r="A25" s="371" t="s">
        <v>155</v>
      </c>
      <c r="B25" s="380" t="s">
        <v>128</v>
      </c>
      <c r="C25" s="374" t="s">
        <v>129</v>
      </c>
      <c r="D25" s="372" t="s">
        <v>130</v>
      </c>
      <c r="E25" s="371" t="s">
        <v>131</v>
      </c>
      <c r="F25" s="371" t="s">
        <v>132</v>
      </c>
    </row>
    <row r="26" spans="1:6" ht="15" customHeight="1" x14ac:dyDescent="0.3">
      <c r="A26" s="371" t="s">
        <v>155</v>
      </c>
      <c r="B26" s="380" t="s">
        <v>153</v>
      </c>
      <c r="C26" s="377" t="s">
        <v>149</v>
      </c>
      <c r="D26" s="372" t="s">
        <v>150</v>
      </c>
      <c r="E26" s="371" t="s">
        <v>151</v>
      </c>
      <c r="F26" s="371" t="s">
        <v>152</v>
      </c>
    </row>
  </sheetData>
  <hyperlinks>
    <hyperlink ref="C7" r:id="rId1" xr:uid="{8CC3BC36-81E9-4BA8-BFC7-F31E2E6261C7}"/>
    <hyperlink ref="C25" r:id="rId2" xr:uid="{B8B66283-1163-471A-A528-067B4CC46F24}"/>
    <hyperlink ref="C26" r:id="rId3" display="candy_shen@ff-network.com.cn" xr:uid="{6561823C-8EAD-4021-9815-C1DA76775CAF}"/>
    <hyperlink ref="C6" r:id="rId4" xr:uid="{58A020BC-4382-4F5A-93AA-A21B6CAF3C1F}"/>
    <hyperlink ref="C9" r:id="rId5" xr:uid="{97D86D2B-6E9F-4A3E-99B2-A17602255677}"/>
    <hyperlink ref="C10" r:id="rId6" xr:uid="{84CCE36C-65BA-43E7-8DAB-BD4FF5FA7F72}"/>
    <hyperlink ref="C11" r:id="rId7" xr:uid="{0A0DD0E5-86EB-4905-B9D4-7449E2481F0B}"/>
    <hyperlink ref="C21" r:id="rId8" xr:uid="{FECDC91C-1227-4C9E-A544-609117E8A736}"/>
    <hyperlink ref="C22" r:id="rId9" xr:uid="{88B1D9E5-9696-4C19-8F7D-BA2BFDD44192}"/>
    <hyperlink ref="C12" r:id="rId10" xr:uid="{DB90CFBE-9703-4BA0-88BF-ED63F503E4CD}"/>
    <hyperlink ref="C23" r:id="rId11" tooltip="mailto:victorwei@cn.evergreen-logistics.com" display="mailto:victorwei@cn.evergreen-logistics.com" xr:uid="{19F9FDA4-116C-45A8-8EE4-05F373280942}"/>
  </hyperlinks>
  <pageMargins left="0.7" right="0.7" top="0.75" bottom="0.75" header="0.3" footer="0.3"/>
  <tableParts count="1">
    <tablePart r:id="rId12"/>
  </tableParts>
  <extLst>
    <ext xmlns:x14="http://schemas.microsoft.com/office/spreadsheetml/2009/9/main" uri="{CCE6A557-97BC-4b89-ADB6-D9C93CAAB3DF}">
      <x14:dataValidations xmlns:xm="http://schemas.microsoft.com/office/excel/2006/main" count="2">
        <x14:dataValidation type="list" allowBlank="1" showInputMessage="1" showErrorMessage="1" xr:uid="{DDA7E5DE-78BE-4153-A98D-5EB544A64866}">
          <x14:formula1>
            <xm:f>DDL!$B$2:$B$10</xm:f>
          </x14:formula1>
          <xm:sqref>B2</xm:sqref>
        </x14:dataValidation>
        <x14:dataValidation type="list" allowBlank="1" showInputMessage="1" showErrorMessage="1" xr:uid="{2158CB3E-8601-43CF-9614-840E2496FC4B}">
          <x14:formula1>
            <xm:f>DDL!$A$2:$A$10</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E741-DEC9-4C19-A8E7-92A785CA061E}">
  <dimension ref="A1:J8"/>
  <sheetViews>
    <sheetView tabSelected="1" zoomScaleNormal="100" workbookViewId="0">
      <selection activeCell="E15" sqref="E15"/>
    </sheetView>
  </sheetViews>
  <sheetFormatPr defaultColWidth="31.88671875" defaultRowHeight="13.8" x14ac:dyDescent="0.3"/>
  <cols>
    <col min="1" max="1" width="21" style="79" bestFit="1" customWidth="1"/>
    <col min="2" max="2" width="16.21875" style="79" bestFit="1" customWidth="1"/>
    <col min="3" max="3" width="15" style="79" bestFit="1" customWidth="1"/>
    <col min="4" max="4" width="25.33203125" style="79" bestFit="1" customWidth="1"/>
    <col min="5" max="5" width="19.44140625" style="79" bestFit="1" customWidth="1"/>
    <col min="6" max="6" width="8.44140625" style="79" bestFit="1" customWidth="1"/>
    <col min="7" max="7" width="23.6640625" style="79" bestFit="1" customWidth="1"/>
    <col min="8" max="8" width="57.88671875" style="79" bestFit="1" customWidth="1"/>
    <col min="9" max="9" width="19.21875" style="81" bestFit="1" customWidth="1"/>
    <col min="10" max="10" width="13.21875" style="79" bestFit="1" customWidth="1"/>
    <col min="11" max="16384" width="31.88671875" style="79"/>
  </cols>
  <sheetData>
    <row r="1" spans="1:10" s="417" customFormat="1" x14ac:dyDescent="0.3">
      <c r="A1" s="412" t="s">
        <v>268</v>
      </c>
      <c r="B1" s="413" t="s">
        <v>265</v>
      </c>
      <c r="C1" s="414" t="s">
        <v>106</v>
      </c>
      <c r="D1" s="414" t="s">
        <v>2</v>
      </c>
      <c r="E1" s="413" t="s">
        <v>98</v>
      </c>
      <c r="F1" s="413" t="s">
        <v>235</v>
      </c>
      <c r="G1" s="413" t="s">
        <v>236</v>
      </c>
      <c r="H1" s="413" t="s">
        <v>137</v>
      </c>
      <c r="I1" s="415" t="s">
        <v>234</v>
      </c>
      <c r="J1" s="416" t="s">
        <v>233</v>
      </c>
    </row>
    <row r="2" spans="1:10" x14ac:dyDescent="0.3">
      <c r="A2" s="381"/>
      <c r="B2" s="382" t="s">
        <v>340</v>
      </c>
      <c r="C2" s="383" t="str">
        <f>'SKIN MARKER - TONDAUS'!C4</f>
        <v>PO-DTMCL-2026-001</v>
      </c>
      <c r="D2" s="383" t="str">
        <f>'SKIN MARKER - TONDAUS'!C5</f>
        <v>SKIN MARKER</v>
      </c>
      <c r="E2" s="384" t="str">
        <f>'SKIN MARKER - TONDAUS'!C28</f>
        <v>IN TRANSIT</v>
      </c>
      <c r="F2" s="384">
        <f>'SKIN MARKER - TONDAUS'!C25</f>
        <v>46118</v>
      </c>
      <c r="G2" s="385"/>
      <c r="H2" s="386" t="str">
        <f>'SKIN MARKER - TONDAUS'!C31</f>
        <v># 17. Shipment arrived in Jebel Ali | Original Hard copies on hand | Paid 50% of AFC invoice</v>
      </c>
      <c r="I2" s="387"/>
      <c r="J2" s="388"/>
    </row>
    <row r="3" spans="1:10" x14ac:dyDescent="0.3">
      <c r="A3" s="389" t="s">
        <v>487</v>
      </c>
      <c r="B3" s="390" t="s">
        <v>480</v>
      </c>
      <c r="C3" s="391" t="str">
        <f>'STOCKINGS - VARIMED'!C4</f>
        <v>PO-VARIMED-2026-001</v>
      </c>
      <c r="D3" s="391" t="str">
        <f>'STOCKINGS - VARIMED'!C5</f>
        <v>STOCKINGS</v>
      </c>
      <c r="E3" s="392" t="str">
        <f>'STOCKINGS - VARIMED'!C32</f>
        <v>RECEIVED: 21-04-2026</v>
      </c>
      <c r="F3" s="392" t="str">
        <f>'STOCKINGS - VARIMED'!C29</f>
        <v>DEPARTED</v>
      </c>
      <c r="G3" s="393"/>
      <c r="H3" s="394" t="str">
        <f>'STOCKINGS - VARIMED'!C35</f>
        <v># 13. AFC INVOICE PAID 24-04-2026</v>
      </c>
      <c r="I3" s="395" t="s">
        <v>486</v>
      </c>
      <c r="J3" s="388"/>
    </row>
    <row r="4" spans="1:10" hidden="1" x14ac:dyDescent="0.3">
      <c r="A4" s="381"/>
      <c r="B4" s="396"/>
      <c r="C4" s="397" t="str">
        <f>'ELECTROSURGICAL PENCIL - ZHEJIA'!C4</f>
        <v>PO-ZMTC-2026-001</v>
      </c>
      <c r="D4" s="397" t="str">
        <f>'ELECTROSURGICAL PENCIL - ZHEJIA'!C5</f>
        <v>PUSH BUTTON ELECTROSURGICAL PENCIL</v>
      </c>
      <c r="E4" s="398"/>
      <c r="F4" s="399"/>
      <c r="G4" s="399"/>
      <c r="H4" s="400" t="str">
        <f>'ELECTROSURGICAL PENCIL - ZHEJIA'!C30</f>
        <v># 1. PO CREATED, SENT TO AMR FOR ARBAB'S APPROVAL - CANCELLED</v>
      </c>
      <c r="I4" s="401"/>
      <c r="J4" s="402"/>
    </row>
    <row r="5" spans="1:10" x14ac:dyDescent="0.3">
      <c r="A5" s="381"/>
      <c r="B5" s="382" t="s">
        <v>480</v>
      </c>
      <c r="C5" s="403" t="str">
        <f>'LABTEK - SLEEVES-MACHINE'!C4</f>
        <v>PO/DLSD-2026/001</v>
      </c>
      <c r="D5" s="403" t="str">
        <f>'LABTEK - SLEEVES-MACHINE'!C5</f>
        <v>LABTEK MACHINES AND SLEEVES</v>
      </c>
      <c r="E5" s="399" t="str">
        <f>'LABTEK - SLEEVES-MACHINE'!C37</f>
        <v>FOR PICKUP</v>
      </c>
      <c r="F5" s="399">
        <f>'LABTEK - SLEEVES-MACHINE'!C34</f>
        <v>46127</v>
      </c>
      <c r="G5" s="399"/>
      <c r="H5" s="404" t="str">
        <f>'LABTEK - SLEEVES-MACHINE'!C40</f>
        <v># 7. MOH APPROVAL: PL WITH ALL DETAILS RECEIVED | FIRST PART PROCESSING BY NJ</v>
      </c>
      <c r="I5" s="401"/>
      <c r="J5" s="402"/>
    </row>
    <row r="6" spans="1:10" x14ac:dyDescent="0.3">
      <c r="A6" s="381"/>
      <c r="B6" s="382" t="s">
        <v>340</v>
      </c>
      <c r="C6" s="405" t="str">
        <f>'IOB BLANKET-MACHINE'!C4</f>
        <v>PO/IOB-2026/001</v>
      </c>
      <c r="D6" s="405" t="str">
        <f>'IOB BLANKET-MACHINE'!C5</f>
        <v>BLANKET/MACHINE SPARE PARTS</v>
      </c>
      <c r="E6" s="373" t="str">
        <f>'IOB BLANKET-MACHINE'!C37</f>
        <v>IN TRANSIT</v>
      </c>
      <c r="F6" s="384">
        <f>'IOB BLANKET-MACHINE'!C34</f>
        <v>46118</v>
      </c>
      <c r="G6" s="373"/>
      <c r="H6" s="406" t="str">
        <f>'IOB BLANKET-MACHINE'!C39</f>
        <v># 8. Shipment arrived in Jebel Ali | Original Hard copies on hand | Paid 50% of AFC invoice</v>
      </c>
      <c r="I6" s="387"/>
      <c r="J6" s="388"/>
    </row>
    <row r="7" spans="1:10" x14ac:dyDescent="0.3">
      <c r="A7" s="381"/>
      <c r="B7" s="396" t="s">
        <v>341</v>
      </c>
      <c r="C7" s="407" t="str">
        <f>'ULTRASOUND GEL - TIANJIN'!C4</f>
        <v>PO-TGP-2026-001</v>
      </c>
      <c r="D7" s="407" t="str">
        <f>'ULTRASOUND GEL - TIANJIN'!C5</f>
        <v>ULTRASOUND GEL</v>
      </c>
      <c r="E7" s="373" t="str">
        <f>'ULTRASOUND GEL - TIANJIN'!C28</f>
        <v>IN PRODUCTION</v>
      </c>
      <c r="F7" s="384" t="str">
        <f>'ULTRASOUND GEL - TIANJIN'!C25</f>
        <v>NO DATE YET</v>
      </c>
      <c r="G7" s="384"/>
      <c r="H7" s="408" t="str">
        <f>'ULTRASOUND GEL - TIANJIN'!C33</f>
        <v>3. PAID 03-04-2026, FUND TRANSFER RECEIPT SENT TO TIANJIN</v>
      </c>
      <c r="I7" s="387"/>
      <c r="J7" s="388"/>
    </row>
    <row r="8" spans="1:10" x14ac:dyDescent="0.3">
      <c r="A8" s="381"/>
      <c r="B8" s="396" t="s">
        <v>341</v>
      </c>
      <c r="C8" s="409" t="str">
        <f>'GAUZE - JIUJIANG HUADA'!C4</f>
        <v>PO/JHMD-2026/001</v>
      </c>
      <c r="D8" s="410" t="str">
        <f>'GAUZE - JIUJIANG HUADA'!C5</f>
        <v>GAUZE</v>
      </c>
      <c r="E8" s="373" t="str">
        <f>'GAUZE - JIUJIANG HUADA'!C33</f>
        <v>IN PRODUCTION</v>
      </c>
      <c r="F8" s="384" t="str">
        <f>'GAUZE - JIUJIANG HUADA'!C30</f>
        <v>NO DATE YET</v>
      </c>
      <c r="G8" s="384"/>
      <c r="H8" s="411" t="str">
        <f>'GAUZE - JIUJIANG HUADA'!C35</f>
        <v># 2. PAID - WAITING FOR PACKING LIST</v>
      </c>
      <c r="I8" s="387"/>
      <c r="J8" s="388"/>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9D6B-8F18-46D0-A958-99C8BA28C97C}">
  <sheetPr>
    <tabColor rgb="FFFFCCFF"/>
  </sheetPr>
  <dimension ref="A1:K83"/>
  <sheetViews>
    <sheetView topLeftCell="A54" zoomScale="90" zoomScaleNormal="90" workbookViewId="0">
      <selection activeCell="B31" sqref="B31:B40"/>
    </sheetView>
  </sheetViews>
  <sheetFormatPr defaultColWidth="23.5546875" defaultRowHeight="23.4" x14ac:dyDescent="0.3"/>
  <cols>
    <col min="1" max="1" width="39.6640625" style="56" bestFit="1" customWidth="1"/>
    <col min="2" max="2" width="26.109375" style="2" bestFit="1" customWidth="1"/>
    <col min="3" max="3" width="29" style="58" bestFit="1" customWidth="1"/>
    <col min="4" max="4" width="58.44140625" style="58" bestFit="1" customWidth="1"/>
    <col min="5" max="6" width="9.6640625" style="58" bestFit="1" customWidth="1"/>
    <col min="7" max="7" width="10.33203125" style="58" bestFit="1" customWidth="1"/>
    <col min="8" max="8" width="24.109375" style="58" bestFit="1" customWidth="1"/>
    <col min="9" max="9" width="23.5546875" style="2"/>
    <col min="10" max="10" width="32.109375" style="2" bestFit="1" customWidth="1"/>
    <col min="11" max="16384" width="23.5546875" style="2"/>
  </cols>
  <sheetData>
    <row r="1" spans="1:9" ht="13.8" x14ac:dyDescent="0.3">
      <c r="A1" s="186" t="s">
        <v>198</v>
      </c>
      <c r="B1" s="53" t="s">
        <v>0</v>
      </c>
      <c r="C1" s="162">
        <v>2026</v>
      </c>
      <c r="D1" s="162"/>
      <c r="E1" s="162"/>
      <c r="F1" s="162"/>
      <c r="G1" s="162"/>
      <c r="H1" s="162"/>
    </row>
    <row r="2" spans="1:9" ht="13.8" x14ac:dyDescent="0.3">
      <c r="A2" s="187"/>
      <c r="B2" s="53" t="s">
        <v>20</v>
      </c>
      <c r="C2" s="169">
        <v>46057</v>
      </c>
      <c r="D2" s="169"/>
      <c r="E2" s="169"/>
      <c r="F2" s="169"/>
      <c r="G2" s="169"/>
      <c r="H2" s="169"/>
    </row>
    <row r="3" spans="1:9" ht="13.8" x14ac:dyDescent="0.3">
      <c r="A3" s="187"/>
      <c r="B3" s="53" t="s">
        <v>1</v>
      </c>
      <c r="C3" s="162" t="s">
        <v>119</v>
      </c>
      <c r="D3" s="162"/>
      <c r="E3" s="162"/>
      <c r="F3" s="162"/>
      <c r="G3" s="162"/>
      <c r="H3" s="162"/>
    </row>
    <row r="4" spans="1:9" ht="13.8" x14ac:dyDescent="0.3">
      <c r="A4" s="187"/>
      <c r="B4" s="53" t="s">
        <v>213</v>
      </c>
      <c r="C4" s="162" t="s">
        <v>270</v>
      </c>
      <c r="D4" s="162"/>
      <c r="E4" s="162"/>
      <c r="F4" s="162"/>
      <c r="G4" s="162"/>
      <c r="H4" s="162"/>
    </row>
    <row r="5" spans="1:9" ht="13.8" x14ac:dyDescent="0.3">
      <c r="A5" s="187"/>
      <c r="B5" s="53" t="s">
        <v>2</v>
      </c>
      <c r="C5" s="162" t="s">
        <v>121</v>
      </c>
      <c r="D5" s="162"/>
      <c r="E5" s="162"/>
      <c r="F5" s="162"/>
      <c r="G5" s="162"/>
      <c r="H5" s="162"/>
    </row>
    <row r="6" spans="1:9" ht="13.8" x14ac:dyDescent="0.3">
      <c r="A6" s="187"/>
      <c r="B6" s="53"/>
      <c r="C6" s="59" t="s">
        <v>22</v>
      </c>
      <c r="D6" s="59" t="s">
        <v>199</v>
      </c>
      <c r="E6" s="60" t="s">
        <v>3</v>
      </c>
      <c r="F6" s="61" t="s">
        <v>25</v>
      </c>
      <c r="G6" s="61" t="s">
        <v>26</v>
      </c>
      <c r="H6" s="61" t="s">
        <v>26</v>
      </c>
    </row>
    <row r="7" spans="1:9" ht="13.8" x14ac:dyDescent="0.3">
      <c r="A7" s="187"/>
      <c r="B7" s="53" t="s">
        <v>223</v>
      </c>
      <c r="C7" s="62" t="s">
        <v>122</v>
      </c>
      <c r="D7" s="62" t="s">
        <v>124</v>
      </c>
      <c r="E7" s="63">
        <v>13000</v>
      </c>
      <c r="F7" s="64">
        <v>0.21</v>
      </c>
      <c r="G7" s="64">
        <f t="shared" ref="G7:G8" si="0">(E7*F7)</f>
        <v>2730</v>
      </c>
      <c r="H7" s="114">
        <f>SUM(G7:G8)</f>
        <v>10430</v>
      </c>
    </row>
    <row r="8" spans="1:9" ht="13.8" x14ac:dyDescent="0.3">
      <c r="A8" s="187"/>
      <c r="B8" s="53" t="s">
        <v>224</v>
      </c>
      <c r="C8" s="62" t="s">
        <v>123</v>
      </c>
      <c r="D8" s="62" t="s">
        <v>125</v>
      </c>
      <c r="E8" s="63">
        <v>35000</v>
      </c>
      <c r="F8" s="64">
        <v>0.22</v>
      </c>
      <c r="G8" s="64">
        <f t="shared" si="0"/>
        <v>7700</v>
      </c>
      <c r="H8" s="113"/>
    </row>
    <row r="9" spans="1:9" s="69" customFormat="1" ht="4.2" x14ac:dyDescent="0.15">
      <c r="A9" s="72"/>
      <c r="B9" s="68"/>
      <c r="C9" s="200"/>
      <c r="D9" s="201"/>
      <c r="E9" s="201"/>
      <c r="F9" s="201"/>
      <c r="G9" s="201"/>
      <c r="H9" s="201"/>
    </row>
    <row r="10" spans="1:9" ht="13.8" x14ac:dyDescent="0.3">
      <c r="A10" s="192" t="s">
        <v>175</v>
      </c>
      <c r="B10" s="53" t="s">
        <v>62</v>
      </c>
      <c r="C10" s="162" t="s">
        <v>63</v>
      </c>
      <c r="D10" s="162"/>
      <c r="E10" s="162"/>
      <c r="F10" s="162"/>
      <c r="G10" s="162"/>
      <c r="H10" s="162"/>
    </row>
    <row r="11" spans="1:9" ht="13.8" x14ac:dyDescent="0.3">
      <c r="A11" s="192"/>
      <c r="B11" s="53" t="s">
        <v>99</v>
      </c>
      <c r="C11" s="169">
        <v>46064</v>
      </c>
      <c r="D11" s="169"/>
      <c r="E11" s="169"/>
      <c r="F11" s="169"/>
      <c r="G11" s="169"/>
      <c r="H11" s="169"/>
    </row>
    <row r="12" spans="1:9" ht="13.8" x14ac:dyDescent="0.3">
      <c r="A12" s="192"/>
      <c r="B12" s="53" t="s">
        <v>75</v>
      </c>
      <c r="C12" s="162" t="s">
        <v>76</v>
      </c>
      <c r="D12" s="162"/>
      <c r="E12" s="162"/>
      <c r="F12" s="162"/>
      <c r="G12" s="162"/>
      <c r="H12" s="162"/>
    </row>
    <row r="13" spans="1:9" ht="13.8" x14ac:dyDescent="0.3">
      <c r="A13" s="192"/>
      <c r="B13" s="53" t="s">
        <v>177</v>
      </c>
      <c r="C13" s="162">
        <v>2026020802</v>
      </c>
      <c r="D13" s="162"/>
      <c r="E13" s="162"/>
      <c r="F13" s="162"/>
      <c r="G13" s="162"/>
      <c r="H13" s="162"/>
    </row>
    <row r="14" spans="1:9" s="69" customFormat="1" ht="4.2" x14ac:dyDescent="0.15">
      <c r="A14" s="72"/>
      <c r="B14" s="68"/>
      <c r="C14" s="163"/>
      <c r="D14" s="164"/>
      <c r="E14" s="164"/>
      <c r="F14" s="164"/>
      <c r="G14" s="164"/>
      <c r="H14" s="164"/>
    </row>
    <row r="15" spans="1:9" ht="13.8" x14ac:dyDescent="0.3">
      <c r="A15" s="168" t="s">
        <v>176</v>
      </c>
      <c r="B15" s="53" t="s">
        <v>67</v>
      </c>
      <c r="C15" s="162"/>
      <c r="D15" s="162"/>
      <c r="E15" s="162"/>
      <c r="F15" s="162"/>
      <c r="G15" s="162"/>
      <c r="H15" s="162"/>
      <c r="I15" s="65"/>
    </row>
    <row r="16" spans="1:9" ht="13.8" x14ac:dyDescent="0.3">
      <c r="A16" s="168"/>
      <c r="B16" s="53" t="s">
        <v>172</v>
      </c>
      <c r="C16" s="162"/>
      <c r="D16" s="162"/>
      <c r="E16" s="162"/>
      <c r="F16" s="162"/>
      <c r="G16" s="162"/>
      <c r="H16" s="162"/>
    </row>
    <row r="17" spans="1:8" ht="13.8" x14ac:dyDescent="0.3">
      <c r="A17" s="168"/>
      <c r="B17" s="53" t="s">
        <v>214</v>
      </c>
      <c r="C17" s="162" t="s">
        <v>303</v>
      </c>
      <c r="D17" s="162"/>
      <c r="E17" s="162"/>
      <c r="F17" s="162"/>
      <c r="G17" s="162"/>
      <c r="H17" s="162"/>
    </row>
    <row r="18" spans="1:8" s="69" customFormat="1" ht="4.2" x14ac:dyDescent="0.15">
      <c r="A18" s="73"/>
      <c r="B18" s="68"/>
      <c r="C18" s="163"/>
      <c r="D18" s="164"/>
      <c r="E18" s="164"/>
      <c r="F18" s="164"/>
      <c r="G18" s="164"/>
      <c r="H18" s="164"/>
    </row>
    <row r="19" spans="1:8" ht="13.8" x14ac:dyDescent="0.3">
      <c r="A19" s="177" t="s">
        <v>65</v>
      </c>
      <c r="B19" s="53" t="s">
        <v>65</v>
      </c>
      <c r="C19" s="162"/>
      <c r="D19" s="162"/>
      <c r="E19" s="162"/>
      <c r="F19" s="162"/>
      <c r="G19" s="162"/>
      <c r="H19" s="162"/>
    </row>
    <row r="20" spans="1:8" ht="13.8" x14ac:dyDescent="0.3">
      <c r="A20" s="177"/>
      <c r="B20" s="53" t="s">
        <v>173</v>
      </c>
      <c r="C20" s="162"/>
      <c r="D20" s="162"/>
      <c r="E20" s="162"/>
      <c r="F20" s="162"/>
      <c r="G20" s="162"/>
      <c r="H20" s="162"/>
    </row>
    <row r="21" spans="1:8" ht="13.8" x14ac:dyDescent="0.3">
      <c r="A21" s="177"/>
      <c r="B21" s="53" t="s">
        <v>171</v>
      </c>
      <c r="C21" s="162"/>
      <c r="D21" s="162"/>
      <c r="E21" s="162"/>
      <c r="F21" s="162"/>
      <c r="G21" s="162"/>
      <c r="H21" s="162"/>
    </row>
    <row r="22" spans="1:8" s="69" customFormat="1" ht="4.2" x14ac:dyDescent="0.15">
      <c r="A22" s="73"/>
      <c r="B22" s="68"/>
      <c r="C22" s="163"/>
      <c r="D22" s="164"/>
      <c r="E22" s="164"/>
      <c r="F22" s="164"/>
      <c r="G22" s="164"/>
      <c r="H22" s="164"/>
    </row>
    <row r="23" spans="1:8" ht="13.8" x14ac:dyDescent="0.3">
      <c r="A23" s="170" t="s">
        <v>180</v>
      </c>
      <c r="B23" s="53" t="s">
        <v>215</v>
      </c>
      <c r="C23" s="188" t="s">
        <v>90</v>
      </c>
      <c r="D23" s="162"/>
      <c r="E23" s="162"/>
      <c r="F23" s="162"/>
      <c r="G23" s="162"/>
      <c r="H23" s="162"/>
    </row>
    <row r="24" spans="1:8" ht="13.8" x14ac:dyDescent="0.3">
      <c r="A24" s="170"/>
      <c r="B24" s="53" t="s">
        <v>146</v>
      </c>
      <c r="C24" s="162"/>
      <c r="D24" s="162"/>
      <c r="E24" s="162"/>
      <c r="F24" s="162"/>
      <c r="G24" s="162"/>
      <c r="H24" s="162"/>
    </row>
    <row r="25" spans="1:8" ht="13.8" x14ac:dyDescent="0.3">
      <c r="A25" s="170"/>
      <c r="B25" s="53" t="s">
        <v>147</v>
      </c>
      <c r="C25" s="169">
        <v>46118</v>
      </c>
      <c r="D25" s="169"/>
      <c r="E25" s="169"/>
      <c r="F25" s="169"/>
      <c r="G25" s="169"/>
      <c r="H25" s="169"/>
    </row>
    <row r="26" spans="1:8" ht="13.8" x14ac:dyDescent="0.3">
      <c r="A26" s="170"/>
      <c r="B26" s="53" t="s">
        <v>68</v>
      </c>
      <c r="C26" s="169"/>
      <c r="D26" s="162"/>
      <c r="E26" s="162"/>
      <c r="F26" s="162"/>
      <c r="G26" s="162"/>
      <c r="H26" s="162"/>
    </row>
    <row r="27" spans="1:8" ht="13.8" x14ac:dyDescent="0.3">
      <c r="A27" s="170"/>
      <c r="B27" s="53" t="s">
        <v>69</v>
      </c>
      <c r="C27" s="169"/>
      <c r="D27" s="162"/>
      <c r="E27" s="162"/>
      <c r="F27" s="162"/>
      <c r="G27" s="162"/>
      <c r="H27" s="162"/>
    </row>
    <row r="28" spans="1:8" ht="15" customHeight="1" x14ac:dyDescent="0.3">
      <c r="A28" s="170"/>
      <c r="B28" s="171" t="s">
        <v>98</v>
      </c>
      <c r="C28" s="202" t="s">
        <v>426</v>
      </c>
      <c r="D28" s="203"/>
      <c r="E28" s="203"/>
      <c r="F28" s="203"/>
      <c r="G28" s="203"/>
      <c r="H28" s="204"/>
    </row>
    <row r="29" spans="1:8" ht="13.8" x14ac:dyDescent="0.3">
      <c r="A29" s="170"/>
      <c r="B29" s="172"/>
      <c r="C29" s="162"/>
      <c r="D29" s="162"/>
      <c r="E29" s="162"/>
      <c r="F29" s="162"/>
      <c r="G29" s="162"/>
      <c r="H29" s="162"/>
    </row>
    <row r="30" spans="1:8" s="69" customFormat="1" ht="18" x14ac:dyDescent="0.35">
      <c r="A30" s="72"/>
      <c r="B30" s="70"/>
      <c r="C30" s="205" t="s">
        <v>472</v>
      </c>
      <c r="D30" s="206"/>
      <c r="E30" s="206"/>
      <c r="F30" s="206"/>
      <c r="G30" s="206"/>
      <c r="H30" s="206"/>
    </row>
    <row r="31" spans="1:8" ht="13.8" x14ac:dyDescent="0.3">
      <c r="A31" s="180" t="s">
        <v>217</v>
      </c>
      <c r="B31" s="171" t="s">
        <v>137</v>
      </c>
      <c r="C31" s="162" t="s">
        <v>492</v>
      </c>
      <c r="D31" s="162"/>
      <c r="E31" s="162"/>
      <c r="F31" s="162"/>
      <c r="G31" s="162"/>
      <c r="H31" s="162"/>
    </row>
    <row r="32" spans="1:8" ht="13.8" x14ac:dyDescent="0.3">
      <c r="A32" s="180"/>
      <c r="B32" s="207"/>
      <c r="C32" s="162" t="s">
        <v>278</v>
      </c>
      <c r="D32" s="162"/>
      <c r="E32" s="162"/>
      <c r="F32" s="162"/>
      <c r="G32" s="162"/>
      <c r="H32" s="162"/>
    </row>
    <row r="33" spans="1:8" ht="13.8" x14ac:dyDescent="0.3">
      <c r="A33" s="180"/>
      <c r="B33" s="207"/>
      <c r="C33" s="162" t="s">
        <v>292</v>
      </c>
      <c r="D33" s="162"/>
      <c r="E33" s="162"/>
      <c r="F33" s="162"/>
      <c r="G33" s="162"/>
      <c r="H33" s="162"/>
    </row>
    <row r="34" spans="1:8" ht="13.8" x14ac:dyDescent="0.3">
      <c r="A34" s="180"/>
      <c r="B34" s="207"/>
      <c r="C34" s="162" t="s">
        <v>293</v>
      </c>
      <c r="D34" s="162"/>
      <c r="E34" s="162"/>
      <c r="F34" s="162"/>
      <c r="G34" s="162"/>
      <c r="H34" s="162"/>
    </row>
    <row r="35" spans="1:8" ht="13.8" x14ac:dyDescent="0.3">
      <c r="A35" s="180"/>
      <c r="B35" s="207"/>
      <c r="C35" s="162" t="s">
        <v>297</v>
      </c>
      <c r="D35" s="162"/>
      <c r="E35" s="162"/>
      <c r="F35" s="162"/>
      <c r="G35" s="162"/>
      <c r="H35" s="162"/>
    </row>
    <row r="36" spans="1:8" ht="13.8" x14ac:dyDescent="0.3">
      <c r="A36" s="180"/>
      <c r="B36" s="207"/>
      <c r="C36" s="162" t="s">
        <v>304</v>
      </c>
      <c r="D36" s="162"/>
      <c r="E36" s="162"/>
      <c r="F36" s="162"/>
      <c r="G36" s="162"/>
      <c r="H36" s="162"/>
    </row>
    <row r="37" spans="1:8" ht="13.8" x14ac:dyDescent="0.3">
      <c r="A37" s="180"/>
      <c r="B37" s="207"/>
      <c r="C37" s="162" t="s">
        <v>305</v>
      </c>
      <c r="D37" s="162"/>
      <c r="E37" s="162"/>
      <c r="F37" s="162"/>
      <c r="G37" s="162"/>
      <c r="H37" s="162"/>
    </row>
    <row r="38" spans="1:8" ht="13.8" x14ac:dyDescent="0.3">
      <c r="A38" s="180"/>
      <c r="B38" s="207"/>
      <c r="C38" s="162" t="s">
        <v>307</v>
      </c>
      <c r="D38" s="162"/>
      <c r="E38" s="162"/>
      <c r="F38" s="162"/>
      <c r="G38" s="162"/>
      <c r="H38" s="162"/>
    </row>
    <row r="39" spans="1:8" ht="13.8" x14ac:dyDescent="0.3">
      <c r="A39" s="180"/>
      <c r="B39" s="207"/>
      <c r="C39" s="162" t="s">
        <v>348</v>
      </c>
      <c r="D39" s="162"/>
      <c r="E39" s="162"/>
      <c r="F39" s="162"/>
      <c r="G39" s="162"/>
      <c r="H39" s="162"/>
    </row>
    <row r="40" spans="1:8" ht="13.8" x14ac:dyDescent="0.3">
      <c r="A40" s="180"/>
      <c r="B40" s="172"/>
      <c r="C40" s="162" t="s">
        <v>352</v>
      </c>
      <c r="D40" s="162"/>
      <c r="E40" s="162"/>
      <c r="F40" s="162"/>
      <c r="G40" s="162"/>
      <c r="H40" s="162"/>
    </row>
    <row r="41" spans="1:8" ht="13.8" x14ac:dyDescent="0.3">
      <c r="A41" s="180"/>
      <c r="B41" s="171" t="s">
        <v>216</v>
      </c>
      <c r="C41" s="162" t="s">
        <v>353</v>
      </c>
      <c r="D41" s="162"/>
      <c r="E41" s="162"/>
      <c r="F41" s="162"/>
      <c r="G41" s="162"/>
      <c r="H41" s="162"/>
    </row>
    <row r="42" spans="1:8" ht="13.8" x14ac:dyDescent="0.3">
      <c r="A42" s="180"/>
      <c r="B42" s="207"/>
      <c r="C42" s="162" t="s">
        <v>419</v>
      </c>
      <c r="D42" s="162"/>
      <c r="E42" s="162"/>
      <c r="F42" s="162"/>
      <c r="G42" s="162"/>
      <c r="H42" s="162"/>
    </row>
    <row r="43" spans="1:8" ht="13.8" x14ac:dyDescent="0.3">
      <c r="A43" s="180"/>
      <c r="B43" s="207"/>
      <c r="C43" s="162" t="s">
        <v>420</v>
      </c>
      <c r="D43" s="162"/>
      <c r="E43" s="162"/>
      <c r="F43" s="162"/>
      <c r="G43" s="162"/>
      <c r="H43" s="162"/>
    </row>
    <row r="44" spans="1:8" ht="13.8" x14ac:dyDescent="0.3">
      <c r="A44" s="180"/>
      <c r="B44" s="207"/>
      <c r="C44" s="162" t="s">
        <v>422</v>
      </c>
      <c r="D44" s="162"/>
      <c r="E44" s="162"/>
      <c r="F44" s="162"/>
      <c r="G44" s="162"/>
      <c r="H44" s="162"/>
    </row>
    <row r="45" spans="1:8" ht="13.8" x14ac:dyDescent="0.3">
      <c r="A45" s="180"/>
      <c r="B45" s="172"/>
      <c r="C45" s="162" t="s">
        <v>428</v>
      </c>
      <c r="D45" s="162"/>
      <c r="E45" s="162"/>
      <c r="F45" s="162"/>
      <c r="G45" s="162"/>
      <c r="H45" s="162"/>
    </row>
    <row r="46" spans="1:8" ht="13.8" x14ac:dyDescent="0.3">
      <c r="A46" s="180"/>
      <c r="B46" s="101"/>
      <c r="C46" s="162" t="s">
        <v>453</v>
      </c>
      <c r="D46" s="162"/>
      <c r="E46" s="162"/>
      <c r="F46" s="162"/>
      <c r="G46" s="162"/>
      <c r="H46" s="162"/>
    </row>
    <row r="47" spans="1:8" ht="13.8" x14ac:dyDescent="0.3">
      <c r="A47" s="180"/>
      <c r="B47" s="101"/>
      <c r="C47" s="162" t="s">
        <v>491</v>
      </c>
      <c r="D47" s="162"/>
      <c r="E47" s="162"/>
      <c r="F47" s="162"/>
      <c r="G47" s="162"/>
      <c r="H47" s="162"/>
    </row>
    <row r="48" spans="1:8" ht="13.8" x14ac:dyDescent="0.3">
      <c r="A48" s="180"/>
      <c r="B48" s="101"/>
      <c r="D48" s="57"/>
      <c r="E48" s="85"/>
      <c r="F48" s="85"/>
      <c r="G48" s="85"/>
      <c r="H48" s="85"/>
    </row>
    <row r="49" spans="1:11" ht="13.8" x14ac:dyDescent="0.3">
      <c r="A49" s="180"/>
      <c r="B49" s="101"/>
      <c r="D49" s="57"/>
      <c r="E49" s="85"/>
      <c r="F49" s="85"/>
      <c r="G49" s="85"/>
      <c r="H49" s="85"/>
    </row>
    <row r="50" spans="1:11" ht="13.8" x14ac:dyDescent="0.3">
      <c r="A50" s="180"/>
      <c r="B50" s="101"/>
      <c r="D50" s="57"/>
      <c r="E50" s="85"/>
      <c r="F50" s="85"/>
      <c r="G50" s="85"/>
      <c r="H50" s="85"/>
    </row>
    <row r="51" spans="1:11" s="58" customFormat="1" ht="12" customHeight="1" x14ac:dyDescent="0.25">
      <c r="A51" s="180"/>
      <c r="B51" s="171" t="s">
        <v>185</v>
      </c>
      <c r="C51" s="77" t="s">
        <v>243</v>
      </c>
      <c r="D51" s="57" t="s">
        <v>490</v>
      </c>
      <c r="E51" s="208">
        <v>6476.23</v>
      </c>
      <c r="F51" s="209"/>
      <c r="G51" s="209"/>
      <c r="H51" s="209"/>
    </row>
    <row r="52" spans="1:11" ht="15" customHeight="1" x14ac:dyDescent="0.3">
      <c r="A52" s="180"/>
      <c r="B52" s="172"/>
      <c r="C52" s="75"/>
      <c r="D52" s="76"/>
      <c r="E52" s="210"/>
      <c r="F52" s="210"/>
      <c r="G52" s="210"/>
      <c r="H52" s="210"/>
    </row>
    <row r="53" spans="1:11" s="69" customFormat="1" ht="4.2" x14ac:dyDescent="0.15">
      <c r="A53" s="72"/>
      <c r="B53" s="71"/>
      <c r="C53" s="163"/>
      <c r="D53" s="164"/>
      <c r="E53" s="164"/>
      <c r="F53" s="164"/>
      <c r="G53" s="164"/>
      <c r="H53" s="164"/>
    </row>
    <row r="54" spans="1:11" ht="13.8" x14ac:dyDescent="0.3">
      <c r="A54" s="176" t="s">
        <v>181</v>
      </c>
      <c r="B54" s="53" t="s">
        <v>218</v>
      </c>
      <c r="C54" s="162" t="str">
        <f>C3&amp;" ("&amp;C5&amp;") "&amp;"-"&amp;" "&amp;C4</f>
        <v>Dongguan Tondaus Meditech Co., LTD (SKIN MARKER) - PO-DTMCL-2026-001</v>
      </c>
      <c r="D54" s="162"/>
      <c r="E54" s="162"/>
      <c r="F54" s="162"/>
      <c r="G54" s="162"/>
      <c r="H54" s="162"/>
    </row>
    <row r="55" spans="1:11" ht="13.8" x14ac:dyDescent="0.3">
      <c r="A55" s="176"/>
      <c r="B55" s="53" t="s">
        <v>71</v>
      </c>
      <c r="C55" s="165" t="str">
        <f>"AFC"&amp;" ("&amp;C$5&amp;") "&amp;"-"&amp;" "&amp;C$4&amp;" - CHINA TO UAE"</f>
        <v>AFC (SKIN MARKER) - PO-DTMCL-2026-001 - CHINA TO UAE</v>
      </c>
      <c r="D55" s="166"/>
      <c r="E55" s="166"/>
      <c r="F55" s="166"/>
      <c r="G55" s="166"/>
      <c r="H55" s="167"/>
    </row>
    <row r="56" spans="1:11" ht="11.25" customHeight="1" x14ac:dyDescent="0.3">
      <c r="C56" s="165" t="str">
        <f>"FASTCONNECT"&amp;" ("&amp;C$5&amp;") "&amp;"-"&amp;" "&amp;C$4&amp;" - CHINA TO UAE"</f>
        <v>FASTCONNECT (SKIN MARKER) - PO-DTMCL-2026-001 - CHINA TO UAE</v>
      </c>
      <c r="D56" s="166"/>
      <c r="E56" s="166"/>
      <c r="F56" s="166"/>
      <c r="G56" s="166"/>
      <c r="H56" s="167"/>
    </row>
    <row r="57" spans="1:11" ht="12.75" customHeight="1" x14ac:dyDescent="0.3">
      <c r="C57" s="197" t="str">
        <f>"QQ"&amp;" ("&amp;C$5&amp;") "&amp;"-"&amp;" "&amp;C$4&amp;" - CHINA TO UAE"</f>
        <v>QQ (SKIN MARKER) - PO-DTMCL-2026-001 - CHINA TO UAE</v>
      </c>
      <c r="D57" s="198"/>
      <c r="E57" s="198"/>
      <c r="F57" s="198"/>
      <c r="G57" s="198"/>
      <c r="H57" s="199"/>
    </row>
    <row r="58" spans="1:11" ht="13.5" customHeight="1" x14ac:dyDescent="0.3">
      <c r="C58" s="197" t="str">
        <f>"Dalian Yuanjing International Logistics Co.,Ltd"&amp;" ("&amp;C$5&amp;") "&amp;"-"&amp;" "&amp;C$4&amp;" - CHINA TO UAE"</f>
        <v>Dalian Yuanjing International Logistics Co.,Ltd (SKIN MARKER) - PO-DTMCL-2026-001 - CHINA TO UAE</v>
      </c>
      <c r="D58" s="198"/>
      <c r="E58" s="198"/>
      <c r="F58" s="198"/>
      <c r="G58" s="198"/>
      <c r="H58" s="199"/>
    </row>
    <row r="60" spans="1:11" ht="13.8" x14ac:dyDescent="0.3">
      <c r="A60" s="2"/>
      <c r="B60" s="89" t="s">
        <v>387</v>
      </c>
      <c r="C60" s="2"/>
      <c r="D60" s="149" t="s">
        <v>389</v>
      </c>
    </row>
    <row r="61" spans="1:11" ht="13.8" x14ac:dyDescent="0.3">
      <c r="A61" s="136" t="s">
        <v>354</v>
      </c>
      <c r="B61" s="127">
        <v>2320</v>
      </c>
      <c r="C61" s="2"/>
      <c r="D61" s="58" t="s">
        <v>390</v>
      </c>
      <c r="E61" s="58" t="s">
        <v>391</v>
      </c>
      <c r="H61" s="58" t="s">
        <v>403</v>
      </c>
    </row>
    <row r="62" spans="1:11" ht="13.8" x14ac:dyDescent="0.3">
      <c r="A62" s="137" t="s">
        <v>355</v>
      </c>
      <c r="B62" s="127">
        <v>100</v>
      </c>
      <c r="C62" s="2"/>
      <c r="D62" s="58" t="s">
        <v>392</v>
      </c>
      <c r="E62" s="58" t="s">
        <v>393</v>
      </c>
    </row>
    <row r="63" spans="1:11" ht="13.8" x14ac:dyDescent="0.3">
      <c r="A63" s="137" t="s">
        <v>356</v>
      </c>
      <c r="B63" s="127">
        <v>250</v>
      </c>
      <c r="C63" s="2"/>
      <c r="D63" s="58" t="s">
        <v>394</v>
      </c>
      <c r="E63" s="58" t="s">
        <v>378</v>
      </c>
    </row>
    <row r="64" spans="1:11" ht="13.8" x14ac:dyDescent="0.3">
      <c r="A64" s="136" t="s">
        <v>357</v>
      </c>
      <c r="B64" s="127">
        <v>262.5</v>
      </c>
      <c r="C64" s="2"/>
      <c r="D64" s="58" t="s">
        <v>375</v>
      </c>
      <c r="E64" s="58" t="s">
        <v>395</v>
      </c>
      <c r="H64" s="106" t="s">
        <v>66</v>
      </c>
      <c r="I64" s="157">
        <f>B76</f>
        <v>5823.4</v>
      </c>
      <c r="J64" s="3" t="s">
        <v>399</v>
      </c>
      <c r="K64" s="157">
        <f>B79</f>
        <v>6241.0249999999996</v>
      </c>
    </row>
    <row r="65" spans="1:11" ht="13.8" x14ac:dyDescent="0.3">
      <c r="A65" s="145" t="s">
        <v>384</v>
      </c>
      <c r="B65" s="127">
        <v>928.5</v>
      </c>
      <c r="C65" s="2"/>
      <c r="D65" s="150" t="s">
        <v>364</v>
      </c>
      <c r="E65" s="151" t="s">
        <v>396</v>
      </c>
      <c r="H65" s="106" t="s">
        <v>400</v>
      </c>
      <c r="I65" s="3" t="s">
        <v>401</v>
      </c>
      <c r="J65" s="3"/>
      <c r="K65" s="3"/>
    </row>
    <row r="66" spans="1:11" ht="13.8" x14ac:dyDescent="0.3">
      <c r="A66" s="138" t="s">
        <v>365</v>
      </c>
      <c r="B66" s="143">
        <f>SUM(B61:B65)</f>
        <v>3861</v>
      </c>
      <c r="C66" s="2"/>
      <c r="H66" s="106" t="s">
        <v>404</v>
      </c>
      <c r="I66" s="126">
        <v>46122</v>
      </c>
      <c r="J66" s="3"/>
      <c r="K66" s="3"/>
    </row>
    <row r="67" spans="1:11" ht="13.8" x14ac:dyDescent="0.3">
      <c r="A67" s="2"/>
      <c r="C67" s="2"/>
      <c r="D67" s="89" t="s">
        <v>382</v>
      </c>
      <c r="H67" s="106" t="s">
        <v>405</v>
      </c>
      <c r="I67" s="126">
        <v>46111</v>
      </c>
      <c r="J67" s="3"/>
      <c r="K67" s="3"/>
    </row>
    <row r="68" spans="1:11" ht="13.8" x14ac:dyDescent="0.3">
      <c r="A68" s="140" t="s">
        <v>358</v>
      </c>
      <c r="B68" s="127">
        <v>350</v>
      </c>
      <c r="C68" s="2"/>
      <c r="D68" s="2" t="s">
        <v>380</v>
      </c>
      <c r="H68" s="106" t="s">
        <v>406</v>
      </c>
      <c r="I68" s="126">
        <v>46110</v>
      </c>
      <c r="J68" s="3"/>
      <c r="K68" s="3"/>
    </row>
    <row r="69" spans="1:11" ht="13.8" x14ac:dyDescent="0.3">
      <c r="A69" s="140" t="s">
        <v>359</v>
      </c>
      <c r="B69" s="127">
        <v>73.5</v>
      </c>
      <c r="C69" s="2"/>
      <c r="D69" s="2" t="s">
        <v>363</v>
      </c>
    </row>
    <row r="70" spans="1:11" ht="13.8" x14ac:dyDescent="0.3">
      <c r="A70" s="140" t="s">
        <v>360</v>
      </c>
      <c r="B70" s="127">
        <v>200</v>
      </c>
      <c r="C70" s="2"/>
      <c r="D70" s="2" t="s">
        <v>381</v>
      </c>
      <c r="H70" s="106" t="s">
        <v>409</v>
      </c>
      <c r="I70" s="3" t="str">
        <f>E65 &amp; " / 2,137.77 AED"</f>
        <v>582.28 USD / 2,137.77 AED</v>
      </c>
      <c r="J70" s="3"/>
      <c r="K70" s="3"/>
    </row>
    <row r="71" spans="1:11" ht="13.8" x14ac:dyDescent="0.3">
      <c r="A71" s="140" t="s">
        <v>361</v>
      </c>
      <c r="B71" s="127">
        <v>250</v>
      </c>
      <c r="C71" s="2"/>
      <c r="H71" s="106" t="s">
        <v>400</v>
      </c>
      <c r="I71" s="3" t="s">
        <v>402</v>
      </c>
      <c r="J71" s="3"/>
      <c r="K71" s="3"/>
    </row>
    <row r="72" spans="1:11" ht="13.8" x14ac:dyDescent="0.3">
      <c r="A72" s="141" t="s">
        <v>362</v>
      </c>
      <c r="B72" s="143">
        <f>SUM(B68:B71)</f>
        <v>873.5</v>
      </c>
      <c r="C72" s="2"/>
      <c r="D72" s="2" t="s">
        <v>385</v>
      </c>
      <c r="H72" s="106" t="s">
        <v>382</v>
      </c>
      <c r="I72" s="3" t="s">
        <v>380</v>
      </c>
      <c r="J72" s="3"/>
      <c r="K72" s="3"/>
    </row>
    <row r="73" spans="1:11" ht="12.75" customHeight="1" x14ac:dyDescent="0.3">
      <c r="H73" s="3"/>
      <c r="I73" s="3" t="s">
        <v>363</v>
      </c>
      <c r="J73" s="3"/>
      <c r="K73" s="3"/>
    </row>
    <row r="74" spans="1:11" ht="13.8" x14ac:dyDescent="0.3">
      <c r="A74" s="142" t="s">
        <v>363</v>
      </c>
      <c r="B74" s="144">
        <v>1088.9000000000001</v>
      </c>
      <c r="C74" s="2"/>
      <c r="H74" s="3"/>
      <c r="I74" s="3" t="s">
        <v>381</v>
      </c>
      <c r="J74" s="3"/>
      <c r="K74" s="3"/>
    </row>
    <row r="75" spans="1:11" ht="13.8" x14ac:dyDescent="0.3">
      <c r="A75" s="2"/>
      <c r="C75" s="2"/>
      <c r="H75" s="106" t="s">
        <v>407</v>
      </c>
      <c r="I75" s="126">
        <v>46122</v>
      </c>
      <c r="J75" s="3"/>
      <c r="K75" s="3"/>
    </row>
    <row r="76" spans="1:11" ht="13.8" x14ac:dyDescent="0.3">
      <c r="A76" s="89" t="s">
        <v>364</v>
      </c>
      <c r="B76" s="143">
        <f>SUM(B66,B72,B74)</f>
        <v>5823.4</v>
      </c>
      <c r="C76" s="2" t="s">
        <v>366</v>
      </c>
      <c r="H76" s="106"/>
      <c r="I76" s="126"/>
      <c r="J76" s="3"/>
      <c r="K76" s="3"/>
    </row>
    <row r="77" spans="1:11" ht="14.25" customHeight="1" x14ac:dyDescent="0.3">
      <c r="H77" s="106"/>
      <c r="I77" s="126"/>
      <c r="J77" s="3"/>
      <c r="K77" s="3"/>
    </row>
    <row r="78" spans="1:11" ht="13.8" x14ac:dyDescent="0.3">
      <c r="A78" s="139" t="s">
        <v>421</v>
      </c>
      <c r="B78" s="143">
        <v>417.625</v>
      </c>
      <c r="C78" s="2" t="s">
        <v>397</v>
      </c>
    </row>
    <row r="79" spans="1:11" ht="13.8" x14ac:dyDescent="0.3">
      <c r="A79" s="148" t="s">
        <v>367</v>
      </c>
      <c r="B79" s="143">
        <f>SUM(B76,B78)</f>
        <v>6241.0249999999996</v>
      </c>
      <c r="C79" s="2"/>
    </row>
    <row r="80" spans="1:11" ht="12.75" customHeight="1" x14ac:dyDescent="0.3"/>
    <row r="81" spans="1:9" ht="13.8" x14ac:dyDescent="0.3">
      <c r="A81" s="2" t="s">
        <v>386</v>
      </c>
    </row>
    <row r="82" spans="1:9" x14ac:dyDescent="0.3">
      <c r="H82" s="2"/>
    </row>
    <row r="83" spans="1:9" x14ac:dyDescent="0.3">
      <c r="H83" s="89"/>
      <c r="I83" s="156"/>
    </row>
  </sheetData>
  <mergeCells count="63">
    <mergeCell ref="C53:H53"/>
    <mergeCell ref="A54:A55"/>
    <mergeCell ref="C54:H54"/>
    <mergeCell ref="C55:H55"/>
    <mergeCell ref="A31:A52"/>
    <mergeCell ref="C40:H40"/>
    <mergeCell ref="C31:H31"/>
    <mergeCell ref="C38:H38"/>
    <mergeCell ref="C39:H39"/>
    <mergeCell ref="B51:B52"/>
    <mergeCell ref="E51:H51"/>
    <mergeCell ref="E52:H52"/>
    <mergeCell ref="C46:H46"/>
    <mergeCell ref="C47:H47"/>
    <mergeCell ref="C30:H30"/>
    <mergeCell ref="C36:H36"/>
    <mergeCell ref="B41:B45"/>
    <mergeCell ref="C41:H41"/>
    <mergeCell ref="C42:H42"/>
    <mergeCell ref="C43:H43"/>
    <mergeCell ref="C44:H44"/>
    <mergeCell ref="C45:H45"/>
    <mergeCell ref="B31:B40"/>
    <mergeCell ref="C35:H35"/>
    <mergeCell ref="C32:H32"/>
    <mergeCell ref="C33:H33"/>
    <mergeCell ref="C34:H34"/>
    <mergeCell ref="C37:H37"/>
    <mergeCell ref="A19:A21"/>
    <mergeCell ref="C19:H19"/>
    <mergeCell ref="C20:H20"/>
    <mergeCell ref="C21:H21"/>
    <mergeCell ref="C22:H22"/>
    <mergeCell ref="A23:A29"/>
    <mergeCell ref="C23:H23"/>
    <mergeCell ref="C24:H24"/>
    <mergeCell ref="C25:H25"/>
    <mergeCell ref="C26:H26"/>
    <mergeCell ref="C27:H27"/>
    <mergeCell ref="B28:B29"/>
    <mergeCell ref="C28:H28"/>
    <mergeCell ref="C29:H29"/>
    <mergeCell ref="C14:H14"/>
    <mergeCell ref="A15:A17"/>
    <mergeCell ref="C15:H15"/>
    <mergeCell ref="C16:H16"/>
    <mergeCell ref="C17:H17"/>
    <mergeCell ref="C57:H57"/>
    <mergeCell ref="C58:H58"/>
    <mergeCell ref="C56:H56"/>
    <mergeCell ref="A1:A8"/>
    <mergeCell ref="C1:H1"/>
    <mergeCell ref="C2:H2"/>
    <mergeCell ref="C3:H3"/>
    <mergeCell ref="C4:H4"/>
    <mergeCell ref="C5:H5"/>
    <mergeCell ref="C18:H18"/>
    <mergeCell ref="C9:H9"/>
    <mergeCell ref="A10:A13"/>
    <mergeCell ref="C10:H10"/>
    <mergeCell ref="C11:H11"/>
    <mergeCell ref="C12:H12"/>
    <mergeCell ref="C13:H13"/>
  </mergeCells>
  <conditionalFormatting sqref="C31:H50">
    <cfRule type="containsText" dxfId="25" priority="1" operator="containsText" text="#">
      <formula>NOT(ISERROR(SEARCH("#",C31)))</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7182-BABF-4041-9B1C-461DDC37BEC2}">
  <sheetPr>
    <tabColor rgb="FF00B0F0"/>
  </sheetPr>
  <dimension ref="A1:L114"/>
  <sheetViews>
    <sheetView zoomScale="90" zoomScaleNormal="90" workbookViewId="0">
      <selection activeCell="C51" sqref="C51:H51"/>
    </sheetView>
  </sheetViews>
  <sheetFormatPr defaultColWidth="9.109375" defaultRowHeight="13.8" x14ac:dyDescent="0.3"/>
  <cols>
    <col min="1" max="1" width="23.109375" style="2" bestFit="1" customWidth="1"/>
    <col min="2" max="2" width="41.109375" style="2" bestFit="1" customWidth="1"/>
    <col min="3" max="3" width="16" style="2" bestFit="1" customWidth="1"/>
    <col min="4" max="4" width="65.44140625" style="2" customWidth="1"/>
    <col min="5" max="5" width="38.6640625" style="2" bestFit="1" customWidth="1"/>
    <col min="6" max="6" width="19.44140625" style="2" bestFit="1" customWidth="1"/>
    <col min="7" max="7" width="16.109375" style="2" customWidth="1"/>
    <col min="8" max="8" width="13.109375" style="2" customWidth="1"/>
    <col min="9" max="9" width="24.109375" style="2" bestFit="1" customWidth="1"/>
    <col min="10" max="10" width="51.88671875" style="2" bestFit="1" customWidth="1"/>
    <col min="11" max="11" width="32.109375" style="2" customWidth="1"/>
    <col min="12" max="12" width="12.5546875" style="2" bestFit="1" customWidth="1"/>
    <col min="13" max="16384" width="9.109375" style="2"/>
  </cols>
  <sheetData>
    <row r="1" spans="1:8" x14ac:dyDescent="0.3">
      <c r="A1" s="186" t="s">
        <v>198</v>
      </c>
      <c r="B1" s="53" t="s">
        <v>0</v>
      </c>
      <c r="C1" s="225">
        <v>2026</v>
      </c>
      <c r="D1" s="225"/>
      <c r="E1" s="225"/>
      <c r="F1" s="225"/>
      <c r="G1" s="225"/>
      <c r="H1" s="225"/>
    </row>
    <row r="2" spans="1:8" x14ac:dyDescent="0.3">
      <c r="A2" s="187"/>
      <c r="B2" s="53" t="s">
        <v>20</v>
      </c>
      <c r="C2" s="226">
        <v>46093</v>
      </c>
      <c r="D2" s="226"/>
      <c r="E2" s="226"/>
      <c r="F2" s="226"/>
      <c r="G2" s="226"/>
      <c r="H2" s="226"/>
    </row>
    <row r="3" spans="1:8" x14ac:dyDescent="0.3">
      <c r="A3" s="187"/>
      <c r="B3" s="53" t="s">
        <v>1</v>
      </c>
      <c r="C3" s="225" t="s">
        <v>17</v>
      </c>
      <c r="D3" s="225"/>
      <c r="E3" s="225"/>
      <c r="F3" s="225"/>
      <c r="G3" s="225"/>
      <c r="H3" s="225"/>
    </row>
    <row r="4" spans="1:8" x14ac:dyDescent="0.3">
      <c r="A4" s="187"/>
      <c r="B4" s="53" t="s">
        <v>213</v>
      </c>
      <c r="C4" s="227" t="s">
        <v>328</v>
      </c>
      <c r="D4" s="227"/>
      <c r="E4" s="227"/>
      <c r="F4" s="227"/>
      <c r="G4" s="227"/>
      <c r="H4" s="227"/>
    </row>
    <row r="5" spans="1:8" x14ac:dyDescent="0.3">
      <c r="A5" s="187"/>
      <c r="B5" s="53" t="s">
        <v>2</v>
      </c>
      <c r="C5" s="225" t="s">
        <v>139</v>
      </c>
      <c r="D5" s="225"/>
      <c r="E5" s="225"/>
      <c r="F5" s="225"/>
      <c r="G5" s="225"/>
      <c r="H5" s="225"/>
    </row>
    <row r="6" spans="1:8" ht="14.4" thickBot="1" x14ac:dyDescent="0.35">
      <c r="A6" s="187"/>
      <c r="B6" s="53"/>
      <c r="C6" s="86" t="s">
        <v>22</v>
      </c>
      <c r="D6" s="86" t="s">
        <v>199</v>
      </c>
      <c r="E6" s="87" t="s">
        <v>3</v>
      </c>
      <c r="F6" s="88" t="s">
        <v>25</v>
      </c>
      <c r="G6" s="88" t="s">
        <v>26</v>
      </c>
      <c r="H6" s="117" t="s">
        <v>26</v>
      </c>
    </row>
    <row r="7" spans="1:8" ht="14.4" thickBot="1" x14ac:dyDescent="0.35">
      <c r="A7" s="187"/>
      <c r="B7" s="53" t="s">
        <v>223</v>
      </c>
      <c r="C7" s="128" t="s">
        <v>32</v>
      </c>
      <c r="D7" s="128" t="s">
        <v>329</v>
      </c>
      <c r="E7" s="129">
        <v>1400</v>
      </c>
      <c r="F7" s="130">
        <v>2.2000000000000002</v>
      </c>
      <c r="G7" s="131">
        <f>E7*F7</f>
        <v>3080.0000000000005</v>
      </c>
      <c r="H7" s="118">
        <f>SUM(G7:G14)</f>
        <v>29409.470000000005</v>
      </c>
    </row>
    <row r="8" spans="1:8" ht="14.4" thickBot="1" x14ac:dyDescent="0.35">
      <c r="A8" s="187"/>
      <c r="B8" s="53" t="s">
        <v>224</v>
      </c>
      <c r="C8" s="132" t="s">
        <v>30</v>
      </c>
      <c r="D8" s="132" t="s">
        <v>330</v>
      </c>
      <c r="E8" s="133">
        <v>11000</v>
      </c>
      <c r="F8" s="134">
        <v>2.2000000000000002</v>
      </c>
      <c r="G8" s="131">
        <f t="shared" ref="G8:G14" si="0">E8*F8</f>
        <v>24200.000000000004</v>
      </c>
      <c r="H8" s="119"/>
    </row>
    <row r="9" spans="1:8" ht="14.4" thickBot="1" x14ac:dyDescent="0.35">
      <c r="A9" s="187"/>
      <c r="B9" s="53" t="s">
        <v>225</v>
      </c>
      <c r="C9" s="132" t="s">
        <v>36</v>
      </c>
      <c r="D9" s="132" t="s">
        <v>37</v>
      </c>
      <c r="E9" s="133">
        <v>400</v>
      </c>
      <c r="F9" s="134">
        <v>2.2000000000000002</v>
      </c>
      <c r="G9" s="131">
        <f t="shared" si="0"/>
        <v>880.00000000000011</v>
      </c>
      <c r="H9" s="119"/>
    </row>
    <row r="10" spans="1:8" ht="14.4" thickBot="1" x14ac:dyDescent="0.35">
      <c r="A10" s="187"/>
      <c r="B10" s="53" t="s">
        <v>226</v>
      </c>
      <c r="C10" s="132" t="s">
        <v>331</v>
      </c>
      <c r="D10" s="132" t="s">
        <v>332</v>
      </c>
      <c r="E10" s="135">
        <v>4</v>
      </c>
      <c r="F10" s="134">
        <v>113.3</v>
      </c>
      <c r="G10" s="131">
        <f t="shared" si="0"/>
        <v>453.2</v>
      </c>
      <c r="H10" s="119"/>
    </row>
    <row r="11" spans="1:8" ht="14.4" thickBot="1" x14ac:dyDescent="0.35">
      <c r="A11" s="187"/>
      <c r="B11" s="53" t="s">
        <v>227</v>
      </c>
      <c r="C11" s="132" t="s">
        <v>40</v>
      </c>
      <c r="D11" s="132" t="s">
        <v>333</v>
      </c>
      <c r="E11" s="135">
        <v>4</v>
      </c>
      <c r="F11" s="134">
        <v>135.96</v>
      </c>
      <c r="G11" s="131">
        <f t="shared" si="0"/>
        <v>543.84</v>
      </c>
      <c r="H11" s="119"/>
    </row>
    <row r="12" spans="1:8" ht="14.4" thickBot="1" x14ac:dyDescent="0.35">
      <c r="A12" s="187"/>
      <c r="B12" s="53" t="s">
        <v>228</v>
      </c>
      <c r="C12" s="132" t="s">
        <v>334</v>
      </c>
      <c r="D12" s="132" t="s">
        <v>335</v>
      </c>
      <c r="E12" s="135">
        <v>75</v>
      </c>
      <c r="F12" s="134">
        <v>1.1299999999999999</v>
      </c>
      <c r="G12" s="131">
        <f t="shared" si="0"/>
        <v>84.749999999999986</v>
      </c>
      <c r="H12" s="119"/>
    </row>
    <row r="13" spans="1:8" ht="14.4" thickBot="1" x14ac:dyDescent="0.35">
      <c r="A13" s="187"/>
      <c r="B13" s="53" t="s">
        <v>229</v>
      </c>
      <c r="C13" s="132" t="s">
        <v>336</v>
      </c>
      <c r="D13" s="132" t="s">
        <v>337</v>
      </c>
      <c r="E13" s="135">
        <v>1</v>
      </c>
      <c r="F13" s="134">
        <v>31.72</v>
      </c>
      <c r="G13" s="131">
        <f t="shared" si="0"/>
        <v>31.72</v>
      </c>
      <c r="H13" s="119"/>
    </row>
    <row r="14" spans="1:8" ht="14.4" thickBot="1" x14ac:dyDescent="0.35">
      <c r="A14" s="187"/>
      <c r="B14" s="53" t="s">
        <v>237</v>
      </c>
      <c r="C14" s="132" t="s">
        <v>338</v>
      </c>
      <c r="D14" s="132" t="s">
        <v>339</v>
      </c>
      <c r="E14" s="135">
        <v>6</v>
      </c>
      <c r="F14" s="134">
        <v>22.66</v>
      </c>
      <c r="G14" s="131">
        <f t="shared" si="0"/>
        <v>135.96</v>
      </c>
      <c r="H14" s="120"/>
    </row>
    <row r="15" spans="1:8" ht="15" customHeight="1" x14ac:dyDescent="0.3">
      <c r="A15" s="93"/>
      <c r="B15" s="53"/>
      <c r="C15" s="217" t="s">
        <v>263</v>
      </c>
      <c r="D15" s="218"/>
      <c r="E15" s="218"/>
      <c r="F15" s="218"/>
      <c r="G15" s="218"/>
      <c r="H15" s="218"/>
    </row>
    <row r="16" spans="1:8" s="69" customFormat="1" ht="4.2" x14ac:dyDescent="0.15">
      <c r="A16" s="72"/>
      <c r="B16" s="68"/>
      <c r="C16" s="200"/>
      <c r="D16" s="201"/>
      <c r="E16" s="201"/>
      <c r="F16" s="201"/>
      <c r="G16" s="201"/>
      <c r="H16" s="201"/>
    </row>
    <row r="17" spans="1:8" ht="12" customHeight="1" x14ac:dyDescent="0.3">
      <c r="A17" s="222" t="s">
        <v>175</v>
      </c>
      <c r="B17" s="53" t="s">
        <v>241</v>
      </c>
      <c r="C17" s="108" t="s">
        <v>325</v>
      </c>
      <c r="D17" s="115">
        <f>H7-G17</f>
        <v>9409.4700000000048</v>
      </c>
      <c r="E17" s="116"/>
      <c r="F17" s="108" t="s">
        <v>326</v>
      </c>
      <c r="G17" s="115">
        <v>20000</v>
      </c>
      <c r="H17" s="116"/>
    </row>
    <row r="18" spans="1:8" ht="12" customHeight="1" x14ac:dyDescent="0.3">
      <c r="A18" s="223"/>
      <c r="B18" s="53" t="s">
        <v>62</v>
      </c>
      <c r="C18" s="162" t="s">
        <v>63</v>
      </c>
      <c r="D18" s="162"/>
      <c r="E18" s="162"/>
      <c r="F18" s="162" t="s">
        <v>63</v>
      </c>
      <c r="G18" s="162"/>
      <c r="H18" s="162"/>
    </row>
    <row r="19" spans="1:8" ht="12.75" customHeight="1" x14ac:dyDescent="0.3">
      <c r="A19" s="223"/>
      <c r="B19" s="53" t="s">
        <v>99</v>
      </c>
      <c r="C19" s="169">
        <v>46098</v>
      </c>
      <c r="D19" s="169"/>
      <c r="E19" s="169"/>
      <c r="F19" s="169">
        <v>46107</v>
      </c>
      <c r="G19" s="169"/>
      <c r="H19" s="169"/>
    </row>
    <row r="20" spans="1:8" ht="12.75" customHeight="1" x14ac:dyDescent="0.3">
      <c r="A20" s="223"/>
      <c r="B20" s="53" t="s">
        <v>75</v>
      </c>
      <c r="C20" s="165" t="s">
        <v>350</v>
      </c>
      <c r="D20" s="166"/>
      <c r="E20" s="167"/>
      <c r="F20" s="162" t="s">
        <v>350</v>
      </c>
      <c r="G20" s="162"/>
      <c r="H20" s="162"/>
    </row>
    <row r="21" spans="1:8" ht="12.75" customHeight="1" x14ac:dyDescent="0.3">
      <c r="A21" s="224"/>
      <c r="B21" s="53" t="s">
        <v>177</v>
      </c>
      <c r="C21" s="228" t="s">
        <v>414</v>
      </c>
      <c r="D21" s="229"/>
      <c r="E21" s="229"/>
      <c r="F21" s="229"/>
      <c r="G21" s="229"/>
      <c r="H21" s="230"/>
    </row>
    <row r="22" spans="1:8" s="69" customFormat="1" ht="4.2" x14ac:dyDescent="0.15">
      <c r="A22" s="72"/>
      <c r="B22" s="68"/>
      <c r="C22" s="163"/>
      <c r="D22" s="164"/>
      <c r="E22" s="164"/>
      <c r="F22" s="164"/>
      <c r="G22" s="164"/>
      <c r="H22" s="164"/>
    </row>
    <row r="23" spans="1:8" x14ac:dyDescent="0.3">
      <c r="A23" s="168" t="s">
        <v>176</v>
      </c>
      <c r="B23" s="53" t="s">
        <v>67</v>
      </c>
      <c r="C23" s="162"/>
      <c r="D23" s="162"/>
      <c r="E23" s="162"/>
      <c r="F23" s="162"/>
      <c r="G23" s="162"/>
      <c r="H23" s="162"/>
    </row>
    <row r="24" spans="1:8" x14ac:dyDescent="0.3">
      <c r="A24" s="168"/>
      <c r="B24" s="53" t="s">
        <v>172</v>
      </c>
      <c r="C24" s="162"/>
      <c r="D24" s="162"/>
      <c r="E24" s="162"/>
      <c r="F24" s="162"/>
      <c r="G24" s="162"/>
      <c r="H24" s="162"/>
    </row>
    <row r="25" spans="1:8" x14ac:dyDescent="0.3">
      <c r="A25" s="168"/>
      <c r="B25" s="53" t="s">
        <v>214</v>
      </c>
      <c r="C25" s="162"/>
      <c r="D25" s="162"/>
      <c r="E25" s="162"/>
      <c r="F25" s="162"/>
      <c r="G25" s="162"/>
      <c r="H25" s="162"/>
    </row>
    <row r="26" spans="1:8" s="69" customFormat="1" ht="4.2" x14ac:dyDescent="0.15">
      <c r="A26" s="73"/>
      <c r="B26" s="68"/>
      <c r="C26" s="163"/>
      <c r="D26" s="164"/>
      <c r="E26" s="164"/>
      <c r="F26" s="164"/>
      <c r="G26" s="164"/>
      <c r="H26" s="164"/>
    </row>
    <row r="27" spans="1:8" x14ac:dyDescent="0.3">
      <c r="A27" s="177" t="s">
        <v>65</v>
      </c>
      <c r="B27" s="53" t="s">
        <v>65</v>
      </c>
      <c r="C27" s="162"/>
      <c r="D27" s="162"/>
      <c r="E27" s="162"/>
      <c r="F27" s="162"/>
      <c r="G27" s="162"/>
      <c r="H27" s="162"/>
    </row>
    <row r="28" spans="1:8" x14ac:dyDescent="0.3">
      <c r="A28" s="177"/>
      <c r="B28" s="53" t="s">
        <v>173</v>
      </c>
      <c r="C28" s="162"/>
      <c r="D28" s="162"/>
      <c r="E28" s="162"/>
      <c r="F28" s="162"/>
      <c r="G28" s="162"/>
      <c r="H28" s="162"/>
    </row>
    <row r="29" spans="1:8" x14ac:dyDescent="0.3">
      <c r="A29" s="177"/>
      <c r="B29" s="53" t="s">
        <v>254</v>
      </c>
      <c r="C29" s="219"/>
      <c r="D29" s="220"/>
      <c r="E29" s="220"/>
      <c r="F29" s="221"/>
      <c r="G29" s="85"/>
      <c r="H29" s="85"/>
    </row>
    <row r="30" spans="1:8" x14ac:dyDescent="0.3">
      <c r="A30" s="177"/>
      <c r="B30" s="53" t="s">
        <v>171</v>
      </c>
      <c r="C30" s="162"/>
      <c r="D30" s="162"/>
      <c r="E30" s="162"/>
      <c r="F30" s="162"/>
      <c r="G30" s="162"/>
      <c r="H30" s="162"/>
    </row>
    <row r="31" spans="1:8" s="66" customFormat="1" ht="5.4" x14ac:dyDescent="0.15">
      <c r="A31" s="74"/>
      <c r="B31" s="67"/>
      <c r="C31" s="231"/>
      <c r="D31" s="232"/>
      <c r="E31" s="232"/>
      <c r="F31" s="232"/>
      <c r="G31" s="232"/>
      <c r="H31" s="232"/>
    </row>
    <row r="32" spans="1:8" x14ac:dyDescent="0.3">
      <c r="A32" s="170" t="s">
        <v>180</v>
      </c>
      <c r="B32" s="53" t="s">
        <v>215</v>
      </c>
      <c r="C32" s="162" t="s">
        <v>90</v>
      </c>
      <c r="D32" s="162"/>
      <c r="E32" s="162"/>
      <c r="F32" s="162"/>
      <c r="G32" s="162"/>
      <c r="H32" s="162"/>
    </row>
    <row r="33" spans="1:8" x14ac:dyDescent="0.3">
      <c r="A33" s="170"/>
      <c r="B33" s="53" t="s">
        <v>146</v>
      </c>
      <c r="C33" s="169" t="s">
        <v>416</v>
      </c>
      <c r="D33" s="169"/>
      <c r="E33" s="169"/>
      <c r="F33" s="169"/>
      <c r="G33" s="169"/>
      <c r="H33" s="169"/>
    </row>
    <row r="34" spans="1:8" x14ac:dyDescent="0.3">
      <c r="A34" s="170"/>
      <c r="B34" s="53" t="s">
        <v>147</v>
      </c>
      <c r="C34" s="214">
        <v>46118</v>
      </c>
      <c r="D34" s="215"/>
      <c r="E34" s="215"/>
      <c r="F34" s="215"/>
      <c r="G34" s="215"/>
      <c r="H34" s="216"/>
    </row>
    <row r="35" spans="1:8" x14ac:dyDescent="0.3">
      <c r="A35" s="170"/>
      <c r="B35" s="53" t="s">
        <v>68</v>
      </c>
      <c r="C35" s="169"/>
      <c r="D35" s="162"/>
      <c r="E35" s="162"/>
      <c r="F35" s="162"/>
      <c r="G35" s="162"/>
      <c r="H35" s="162"/>
    </row>
    <row r="36" spans="1:8" x14ac:dyDescent="0.3">
      <c r="A36" s="170"/>
      <c r="B36" s="53" t="s">
        <v>69</v>
      </c>
      <c r="C36" s="169"/>
      <c r="D36" s="162"/>
      <c r="E36" s="162"/>
      <c r="F36" s="162"/>
      <c r="G36" s="162"/>
      <c r="H36" s="162"/>
    </row>
    <row r="37" spans="1:8" x14ac:dyDescent="0.3">
      <c r="A37" s="170"/>
      <c r="B37" s="53" t="s">
        <v>98</v>
      </c>
      <c r="C37" s="162" t="s">
        <v>426</v>
      </c>
      <c r="D37" s="162"/>
      <c r="E37" s="162"/>
      <c r="F37" s="162"/>
      <c r="G37" s="162"/>
      <c r="H37" s="162"/>
    </row>
    <row r="38" spans="1:8" s="69" customFormat="1" ht="4.2" x14ac:dyDescent="0.15">
      <c r="A38" s="72"/>
      <c r="B38" s="70"/>
      <c r="C38" s="163"/>
      <c r="D38" s="164"/>
      <c r="E38" s="164"/>
      <c r="F38" s="164"/>
      <c r="G38" s="164"/>
      <c r="H38" s="164"/>
    </row>
    <row r="39" spans="1:8" x14ac:dyDescent="0.3">
      <c r="A39" s="180" t="s">
        <v>217</v>
      </c>
      <c r="B39" s="171" t="s">
        <v>137</v>
      </c>
      <c r="C39" s="162" t="s">
        <v>494</v>
      </c>
      <c r="D39" s="162"/>
      <c r="E39" s="162"/>
      <c r="F39" s="162"/>
      <c r="G39" s="162"/>
      <c r="H39" s="162"/>
    </row>
    <row r="40" spans="1:8" x14ac:dyDescent="0.3">
      <c r="A40" s="180"/>
      <c r="B40" s="207"/>
      <c r="C40" s="165" t="s">
        <v>346</v>
      </c>
      <c r="D40" s="166"/>
      <c r="E40" s="166"/>
      <c r="F40" s="166"/>
      <c r="G40" s="166"/>
      <c r="H40" s="167"/>
    </row>
    <row r="41" spans="1:8" x14ac:dyDescent="0.3">
      <c r="A41" s="180"/>
      <c r="B41" s="207"/>
      <c r="C41" s="165" t="s">
        <v>349</v>
      </c>
      <c r="D41" s="166"/>
      <c r="E41" s="166"/>
      <c r="F41" s="166"/>
      <c r="G41" s="166"/>
      <c r="H41" s="167"/>
    </row>
    <row r="42" spans="1:8" x14ac:dyDescent="0.3">
      <c r="A42" s="180"/>
      <c r="B42" s="207"/>
      <c r="C42" s="165" t="s">
        <v>415</v>
      </c>
      <c r="D42" s="166"/>
      <c r="E42" s="166"/>
      <c r="F42" s="166"/>
      <c r="G42" s="166"/>
      <c r="H42" s="167"/>
    </row>
    <row r="43" spans="1:8" x14ac:dyDescent="0.3">
      <c r="A43" s="180"/>
      <c r="B43" s="207"/>
      <c r="C43" s="165" t="s">
        <v>423</v>
      </c>
      <c r="D43" s="166"/>
      <c r="E43" s="166"/>
      <c r="F43" s="166"/>
      <c r="G43" s="166"/>
      <c r="H43" s="167"/>
    </row>
    <row r="44" spans="1:8" x14ac:dyDescent="0.3">
      <c r="A44" s="180"/>
      <c r="B44" s="207"/>
      <c r="C44" s="165" t="s">
        <v>425</v>
      </c>
      <c r="D44" s="166"/>
      <c r="E44" s="166"/>
      <c r="F44" s="166"/>
      <c r="G44" s="166"/>
      <c r="H44" s="167"/>
    </row>
    <row r="45" spans="1:8" x14ac:dyDescent="0.3">
      <c r="A45" s="180"/>
      <c r="B45" s="207"/>
      <c r="C45" s="165" t="s">
        <v>452</v>
      </c>
      <c r="D45" s="166"/>
      <c r="E45" s="166"/>
      <c r="F45" s="166"/>
      <c r="G45" s="166"/>
      <c r="H45" s="167"/>
    </row>
    <row r="46" spans="1:8" x14ac:dyDescent="0.3">
      <c r="A46" s="180"/>
      <c r="B46" s="207"/>
      <c r="C46" s="165" t="s">
        <v>493</v>
      </c>
      <c r="D46" s="166"/>
      <c r="E46" s="166"/>
      <c r="F46" s="166"/>
      <c r="G46" s="166"/>
      <c r="H46" s="167"/>
    </row>
    <row r="47" spans="1:8" x14ac:dyDescent="0.3">
      <c r="A47" s="180"/>
      <c r="B47" s="172"/>
      <c r="C47" s="85"/>
      <c r="D47" s="85"/>
      <c r="E47" s="85"/>
      <c r="F47" s="85"/>
      <c r="G47" s="85"/>
      <c r="H47" s="85"/>
    </row>
    <row r="48" spans="1:8" x14ac:dyDescent="0.3">
      <c r="A48" s="180"/>
      <c r="B48" s="171" t="s">
        <v>216</v>
      </c>
      <c r="C48" s="57"/>
      <c r="D48" s="99"/>
      <c r="E48" s="99"/>
      <c r="F48" s="99"/>
      <c r="G48" s="99"/>
      <c r="H48" s="100"/>
    </row>
    <row r="49" spans="1:8" x14ac:dyDescent="0.3">
      <c r="A49" s="180"/>
      <c r="B49" s="207"/>
      <c r="C49" s="165"/>
      <c r="D49" s="166"/>
      <c r="E49" s="166"/>
      <c r="F49" s="166"/>
      <c r="G49" s="166"/>
      <c r="H49" s="167"/>
    </row>
    <row r="50" spans="1:8" x14ac:dyDescent="0.3">
      <c r="A50" s="180"/>
      <c r="B50" s="207"/>
      <c r="C50" s="165"/>
      <c r="D50" s="166"/>
      <c r="E50" s="166"/>
      <c r="F50" s="166"/>
      <c r="G50" s="166"/>
      <c r="H50" s="167"/>
    </row>
    <row r="51" spans="1:8" x14ac:dyDescent="0.3">
      <c r="A51" s="180"/>
      <c r="B51" s="172"/>
      <c r="C51" s="165"/>
      <c r="D51" s="166"/>
      <c r="E51" s="166"/>
      <c r="F51" s="166"/>
      <c r="G51" s="166"/>
      <c r="H51" s="167"/>
    </row>
    <row r="52" spans="1:8" x14ac:dyDescent="0.3">
      <c r="A52" s="180"/>
      <c r="B52" s="101"/>
      <c r="C52" s="165"/>
      <c r="D52" s="166"/>
      <c r="E52" s="166"/>
      <c r="F52" s="166"/>
      <c r="G52" s="166"/>
      <c r="H52" s="167"/>
    </row>
    <row r="53" spans="1:8" x14ac:dyDescent="0.3">
      <c r="A53" s="180"/>
      <c r="B53" s="101"/>
      <c r="C53" s="165"/>
      <c r="D53" s="166"/>
      <c r="E53" s="166"/>
      <c r="F53" s="166"/>
      <c r="G53" s="166"/>
      <c r="H53" s="167"/>
    </row>
    <row r="54" spans="1:8" x14ac:dyDescent="0.3">
      <c r="A54" s="180"/>
      <c r="B54" s="101"/>
      <c r="C54" s="165"/>
      <c r="D54" s="166"/>
      <c r="E54" s="166"/>
      <c r="F54" s="166"/>
      <c r="G54" s="166"/>
      <c r="H54" s="167"/>
    </row>
    <row r="55" spans="1:8" x14ac:dyDescent="0.3">
      <c r="A55" s="180"/>
      <c r="B55" s="101"/>
      <c r="C55" s="165"/>
      <c r="D55" s="166"/>
      <c r="E55" s="166"/>
      <c r="F55" s="166"/>
      <c r="G55" s="166"/>
      <c r="H55" s="167"/>
    </row>
    <row r="56" spans="1:8" x14ac:dyDescent="0.3">
      <c r="A56" s="180"/>
      <c r="B56" s="101"/>
      <c r="C56" s="165"/>
      <c r="D56" s="166"/>
      <c r="E56" s="166"/>
      <c r="F56" s="166"/>
      <c r="G56" s="166"/>
      <c r="H56" s="167"/>
    </row>
    <row r="57" spans="1:8" x14ac:dyDescent="0.3">
      <c r="A57" s="180"/>
      <c r="B57" s="101"/>
      <c r="C57" s="165"/>
      <c r="D57" s="166"/>
      <c r="E57" s="166"/>
      <c r="F57" s="166"/>
      <c r="G57" s="166"/>
      <c r="H57" s="167"/>
    </row>
    <row r="58" spans="1:8" x14ac:dyDescent="0.3">
      <c r="A58" s="180"/>
      <c r="B58" s="101"/>
      <c r="C58" s="165"/>
      <c r="D58" s="166"/>
      <c r="E58" s="166"/>
      <c r="F58" s="166"/>
      <c r="G58" s="166"/>
      <c r="H58" s="167"/>
    </row>
    <row r="59" spans="1:8" x14ac:dyDescent="0.3">
      <c r="A59" s="180"/>
      <c r="B59" s="101"/>
      <c r="C59" s="165"/>
      <c r="D59" s="166"/>
      <c r="E59" s="166"/>
      <c r="F59" s="166"/>
      <c r="G59" s="166"/>
      <c r="H59" s="167"/>
    </row>
    <row r="60" spans="1:8" x14ac:dyDescent="0.3">
      <c r="A60" s="180"/>
      <c r="B60" s="101"/>
      <c r="C60" s="165"/>
      <c r="D60" s="166"/>
      <c r="E60" s="166"/>
      <c r="F60" s="166"/>
      <c r="G60" s="166"/>
      <c r="H60" s="167"/>
    </row>
    <row r="61" spans="1:8" x14ac:dyDescent="0.3">
      <c r="A61" s="180"/>
      <c r="B61" s="101"/>
      <c r="C61" s="162"/>
      <c r="D61" s="162"/>
      <c r="E61" s="162"/>
      <c r="F61" s="162"/>
      <c r="G61" s="162"/>
      <c r="H61" s="162"/>
    </row>
    <row r="62" spans="1:8" x14ac:dyDescent="0.3">
      <c r="A62" s="180"/>
      <c r="B62" s="171" t="s">
        <v>185</v>
      </c>
    </row>
    <row r="63" spans="1:8" x14ac:dyDescent="0.3">
      <c r="A63" s="180"/>
      <c r="B63" s="172"/>
      <c r="C63" s="75" t="s">
        <v>243</v>
      </c>
      <c r="D63" s="76" t="s">
        <v>489</v>
      </c>
      <c r="E63" s="211">
        <v>27711.23</v>
      </c>
      <c r="F63" s="212"/>
      <c r="G63" s="212"/>
      <c r="H63" s="213"/>
    </row>
    <row r="64" spans="1:8" s="69" customFormat="1" ht="4.2" x14ac:dyDescent="0.15">
      <c r="A64" s="72"/>
      <c r="B64" s="71"/>
      <c r="C64" s="233"/>
      <c r="D64" s="234"/>
      <c r="E64" s="234"/>
      <c r="F64" s="234"/>
      <c r="G64" s="234"/>
      <c r="H64" s="234"/>
    </row>
    <row r="65" spans="1:12" x14ac:dyDescent="0.3">
      <c r="A65" s="176" t="s">
        <v>181</v>
      </c>
      <c r="B65" s="53" t="s">
        <v>218</v>
      </c>
      <c r="C65" s="162" t="str">
        <f>C3&amp;" ("&amp;C5&amp;") "&amp;"-"&amp;" "&amp;C4</f>
        <v>Jiangmen Dacheng Medical Equipment Co., Ltd (BLANKET/MACHINE SPARE PARTS) - PO/IOB-2026/001</v>
      </c>
      <c r="D65" s="162"/>
      <c r="E65" s="162"/>
      <c r="F65" s="162"/>
      <c r="G65" s="162"/>
      <c r="H65" s="162"/>
    </row>
    <row r="66" spans="1:12" x14ac:dyDescent="0.3">
      <c r="A66" s="176"/>
      <c r="B66" s="53" t="s">
        <v>71</v>
      </c>
      <c r="C66" s="165" t="str">
        <f>"AFC"&amp;" ("&amp;C$5&amp;") "&amp;"-"&amp;" "&amp;C$4&amp;" - CHINA TO UAE"</f>
        <v>AFC (BLANKET/MACHINE SPARE PARTS) - PO/IOB-2026/001 - CHINA TO UAE</v>
      </c>
      <c r="D66" s="166"/>
      <c r="E66" s="166"/>
      <c r="F66" s="166"/>
      <c r="G66" s="166"/>
      <c r="H66" s="167"/>
    </row>
    <row r="67" spans="1:12" x14ac:dyDescent="0.3">
      <c r="C67" s="165" t="str">
        <f>"Evergreen International Logistics Corp."&amp;" ("&amp;C$5&amp;") "&amp;"-"&amp;" "&amp;C$4&amp;" - CHINA TO UAE"</f>
        <v>Evergreen International Logistics Corp. (BLANKET/MACHINE SPARE PARTS) - PO/IOB-2026/001 - CHINA TO UAE</v>
      </c>
      <c r="D67" s="166"/>
      <c r="E67" s="166"/>
      <c r="F67" s="166"/>
      <c r="G67" s="166"/>
      <c r="H67" s="167"/>
    </row>
    <row r="69" spans="1:12" x14ac:dyDescent="0.3">
      <c r="C69" s="89" t="s">
        <v>410</v>
      </c>
      <c r="E69" s="89" t="s">
        <v>373</v>
      </c>
      <c r="I69" s="2" t="s">
        <v>403</v>
      </c>
    </row>
    <row r="70" spans="1:12" x14ac:dyDescent="0.3">
      <c r="B70" s="136" t="s">
        <v>354</v>
      </c>
      <c r="C70" s="152">
        <v>12035</v>
      </c>
      <c r="E70" s="146" t="s">
        <v>374</v>
      </c>
      <c r="F70" s="2" t="s">
        <v>377</v>
      </c>
    </row>
    <row r="71" spans="1:12" x14ac:dyDescent="0.3">
      <c r="B71" s="137" t="s">
        <v>355</v>
      </c>
      <c r="C71" s="152">
        <v>100</v>
      </c>
      <c r="E71" s="2" t="s">
        <v>383</v>
      </c>
      <c r="F71" s="2" t="s">
        <v>376</v>
      </c>
      <c r="I71" s="106" t="s">
        <v>66</v>
      </c>
      <c r="J71" s="157">
        <f>C85</f>
        <v>26231.91</v>
      </c>
      <c r="K71" s="3" t="s">
        <v>399</v>
      </c>
      <c r="L71" s="157">
        <f>C88</f>
        <v>37596.520000000004</v>
      </c>
    </row>
    <row r="72" spans="1:12" x14ac:dyDescent="0.3">
      <c r="B72" s="137" t="s">
        <v>356</v>
      </c>
      <c r="C72" s="152">
        <v>350</v>
      </c>
      <c r="E72" s="2" t="s">
        <v>375</v>
      </c>
      <c r="F72" s="2" t="s">
        <v>378</v>
      </c>
      <c r="I72" s="106" t="s">
        <v>400</v>
      </c>
      <c r="J72" s="3" t="s">
        <v>401</v>
      </c>
      <c r="K72" s="3"/>
      <c r="L72" s="3"/>
    </row>
    <row r="73" spans="1:12" x14ac:dyDescent="0.3">
      <c r="B73" s="136" t="s">
        <v>357</v>
      </c>
      <c r="C73" s="152">
        <v>250</v>
      </c>
      <c r="E73" s="147" t="s">
        <v>364</v>
      </c>
      <c r="F73" s="2" t="s">
        <v>379</v>
      </c>
      <c r="I73" s="106" t="s">
        <v>404</v>
      </c>
      <c r="J73" s="126">
        <v>46122</v>
      </c>
      <c r="K73" s="3"/>
      <c r="L73" s="3"/>
    </row>
    <row r="74" spans="1:12" x14ac:dyDescent="0.3">
      <c r="B74" s="145" t="s">
        <v>384</v>
      </c>
      <c r="C74" s="152">
        <v>6823.41</v>
      </c>
      <c r="I74" s="3"/>
      <c r="J74" s="3"/>
      <c r="K74" s="3"/>
      <c r="L74" s="3"/>
    </row>
    <row r="75" spans="1:12" x14ac:dyDescent="0.3">
      <c r="B75" s="138" t="s">
        <v>365</v>
      </c>
      <c r="C75" s="153">
        <f>SUM(C70:C74)</f>
        <v>19558.41</v>
      </c>
      <c r="E75" s="89" t="s">
        <v>382</v>
      </c>
      <c r="I75" s="3"/>
      <c r="J75" s="3"/>
      <c r="K75" s="3"/>
      <c r="L75" s="3"/>
    </row>
    <row r="76" spans="1:12" x14ac:dyDescent="0.3">
      <c r="C76" s="154"/>
      <c r="E76" s="2" t="s">
        <v>380</v>
      </c>
      <c r="I76" s="106" t="s">
        <v>398</v>
      </c>
      <c r="J76" s="3" t="str">
        <f>F73 &amp; " / 29,586.90 AED"</f>
        <v>8,070 USD / 29,586.90 AED</v>
      </c>
      <c r="K76" s="3"/>
      <c r="L76" s="3"/>
    </row>
    <row r="77" spans="1:12" x14ac:dyDescent="0.3">
      <c r="B77" s="140" t="s">
        <v>358</v>
      </c>
      <c r="C77" s="152">
        <v>450</v>
      </c>
      <c r="E77" s="2" t="s">
        <v>363</v>
      </c>
      <c r="I77" s="106" t="s">
        <v>400</v>
      </c>
      <c r="J77" s="3" t="s">
        <v>402</v>
      </c>
      <c r="K77" s="3"/>
      <c r="L77" s="3"/>
    </row>
    <row r="78" spans="1:12" x14ac:dyDescent="0.3">
      <c r="B78" s="140" t="s">
        <v>359</v>
      </c>
      <c r="C78" s="152">
        <v>73.5</v>
      </c>
      <c r="E78" s="2" t="s">
        <v>381</v>
      </c>
      <c r="I78" s="106" t="s">
        <v>382</v>
      </c>
      <c r="J78" s="3" t="s">
        <v>380</v>
      </c>
      <c r="K78" s="3"/>
      <c r="L78" s="3"/>
    </row>
    <row r="79" spans="1:12" x14ac:dyDescent="0.3">
      <c r="B79" s="140" t="s">
        <v>360</v>
      </c>
      <c r="C79" s="152">
        <v>300</v>
      </c>
      <c r="I79" s="3"/>
      <c r="J79" s="3" t="s">
        <v>363</v>
      </c>
      <c r="K79" s="3"/>
      <c r="L79" s="3"/>
    </row>
    <row r="80" spans="1:12" x14ac:dyDescent="0.3">
      <c r="B80" s="140" t="s">
        <v>361</v>
      </c>
      <c r="C80" s="152">
        <v>250</v>
      </c>
      <c r="E80" s="2" t="s">
        <v>385</v>
      </c>
      <c r="I80" s="3"/>
      <c r="J80" s="3" t="s">
        <v>381</v>
      </c>
      <c r="K80" s="3"/>
      <c r="L80" s="3"/>
    </row>
    <row r="81" spans="2:12" x14ac:dyDescent="0.3">
      <c r="B81" s="141" t="s">
        <v>362</v>
      </c>
      <c r="C81" s="153">
        <f>SUM(C77:C80)</f>
        <v>1073.5</v>
      </c>
      <c r="I81" s="106" t="s">
        <v>407</v>
      </c>
      <c r="J81" s="126">
        <v>46112</v>
      </c>
      <c r="K81" s="3"/>
      <c r="L81" s="3"/>
    </row>
    <row r="82" spans="2:12" x14ac:dyDescent="0.3">
      <c r="C82" s="154"/>
      <c r="I82" s="106" t="s">
        <v>405</v>
      </c>
      <c r="J82" s="126">
        <v>46108</v>
      </c>
      <c r="K82" s="3"/>
      <c r="L82" s="3"/>
    </row>
    <row r="83" spans="2:12" x14ac:dyDescent="0.3">
      <c r="B83" s="142" t="s">
        <v>363</v>
      </c>
      <c r="C83" s="155">
        <v>5600</v>
      </c>
      <c r="I83" s="106" t="s">
        <v>406</v>
      </c>
      <c r="J83" s="126">
        <v>46109</v>
      </c>
      <c r="K83" s="3"/>
      <c r="L83" s="3"/>
    </row>
    <row r="84" spans="2:12" x14ac:dyDescent="0.3">
      <c r="C84" s="154"/>
      <c r="I84" s="3"/>
      <c r="J84" s="3"/>
      <c r="K84" s="3"/>
      <c r="L84" s="3"/>
    </row>
    <row r="85" spans="2:12" x14ac:dyDescent="0.3">
      <c r="B85" s="89" t="s">
        <v>364</v>
      </c>
      <c r="C85" s="153">
        <f>SUM(C75,C81,C83)</f>
        <v>26231.91</v>
      </c>
      <c r="D85" s="2" t="s">
        <v>366</v>
      </c>
      <c r="I85" s="106" t="s">
        <v>408</v>
      </c>
      <c r="J85" s="126">
        <v>46124</v>
      </c>
      <c r="K85" s="3"/>
      <c r="L85" s="3"/>
    </row>
    <row r="86" spans="2:12" x14ac:dyDescent="0.3">
      <c r="C86" s="154"/>
    </row>
    <row r="87" spans="2:12" x14ac:dyDescent="0.3">
      <c r="B87" s="139" t="s">
        <v>368</v>
      </c>
      <c r="C87" s="153">
        <v>11364.61</v>
      </c>
      <c r="D87" s="2" t="s">
        <v>388</v>
      </c>
    </row>
    <row r="88" spans="2:12" x14ac:dyDescent="0.3">
      <c r="B88" s="148" t="s">
        <v>367</v>
      </c>
      <c r="C88" s="153">
        <f>SUM(C85,C87)</f>
        <v>37596.520000000004</v>
      </c>
    </row>
    <row r="89" spans="2:12" x14ac:dyDescent="0.3">
      <c r="C89" s="154"/>
    </row>
    <row r="90" spans="2:12" x14ac:dyDescent="0.3">
      <c r="B90" s="2" t="s">
        <v>386</v>
      </c>
      <c r="C90" s="154"/>
    </row>
    <row r="91" spans="2:12" x14ac:dyDescent="0.3">
      <c r="C91" s="154"/>
      <c r="I91" s="89"/>
      <c r="J91" s="156"/>
    </row>
    <row r="92" spans="2:12" x14ac:dyDescent="0.3">
      <c r="C92" s="154"/>
      <c r="I92" s="89"/>
      <c r="J92" s="156"/>
    </row>
    <row r="93" spans="2:12" x14ac:dyDescent="0.3">
      <c r="C93" s="154"/>
    </row>
    <row r="94" spans="2:12" x14ac:dyDescent="0.3">
      <c r="C94" s="89" t="s">
        <v>411</v>
      </c>
    </row>
    <row r="95" spans="2:12" x14ac:dyDescent="0.3">
      <c r="B95" s="136" t="s">
        <v>412</v>
      </c>
      <c r="C95" s="152">
        <v>20240</v>
      </c>
    </row>
    <row r="96" spans="2:12" x14ac:dyDescent="0.3">
      <c r="B96" s="137" t="s">
        <v>355</v>
      </c>
      <c r="C96" s="152">
        <v>100</v>
      </c>
    </row>
    <row r="97" spans="2:4" x14ac:dyDescent="0.3">
      <c r="B97" s="137" t="s">
        <v>356</v>
      </c>
      <c r="C97" s="152">
        <v>350</v>
      </c>
    </row>
    <row r="98" spans="2:4" x14ac:dyDescent="0.3">
      <c r="B98" s="136" t="s">
        <v>357</v>
      </c>
      <c r="C98" s="152">
        <v>249.73</v>
      </c>
      <c r="D98" s="2" t="s">
        <v>413</v>
      </c>
    </row>
    <row r="99" spans="2:4" x14ac:dyDescent="0.3">
      <c r="B99" s="138" t="s">
        <v>365</v>
      </c>
      <c r="C99" s="153">
        <f>SUM(C95:C98)</f>
        <v>20939.73</v>
      </c>
    </row>
    <row r="100" spans="2:4" x14ac:dyDescent="0.3">
      <c r="C100" s="154"/>
    </row>
    <row r="101" spans="2:4" x14ac:dyDescent="0.3">
      <c r="B101" s="140" t="s">
        <v>358</v>
      </c>
      <c r="C101" s="152">
        <v>450</v>
      </c>
    </row>
    <row r="102" spans="2:4" x14ac:dyDescent="0.3">
      <c r="B102" s="140" t="s">
        <v>359</v>
      </c>
      <c r="C102" s="152">
        <v>73.5</v>
      </c>
    </row>
    <row r="103" spans="2:4" x14ac:dyDescent="0.3">
      <c r="B103" s="140" t="s">
        <v>360</v>
      </c>
      <c r="C103" s="152">
        <v>300</v>
      </c>
    </row>
    <row r="104" spans="2:4" x14ac:dyDescent="0.3">
      <c r="B104" s="140" t="s">
        <v>361</v>
      </c>
      <c r="C104" s="152">
        <v>250</v>
      </c>
    </row>
    <row r="105" spans="2:4" x14ac:dyDescent="0.3">
      <c r="B105" s="141" t="s">
        <v>362</v>
      </c>
      <c r="C105" s="153">
        <f>SUM(C101:C104)</f>
        <v>1073.5</v>
      </c>
    </row>
    <row r="106" spans="2:4" x14ac:dyDescent="0.3">
      <c r="C106" s="154"/>
    </row>
    <row r="107" spans="2:4" x14ac:dyDescent="0.3">
      <c r="B107" s="142" t="s">
        <v>363</v>
      </c>
      <c r="C107" s="155">
        <v>5600</v>
      </c>
    </row>
    <row r="108" spans="2:4" x14ac:dyDescent="0.3">
      <c r="C108" s="154"/>
    </row>
    <row r="109" spans="2:4" x14ac:dyDescent="0.3">
      <c r="B109" s="89" t="s">
        <v>364</v>
      </c>
      <c r="C109" s="153">
        <f>SUM(C99,C105,C107)</f>
        <v>27613.23</v>
      </c>
    </row>
    <row r="110" spans="2:4" x14ac:dyDescent="0.3">
      <c r="C110" s="154"/>
    </row>
    <row r="111" spans="2:4" x14ac:dyDescent="0.3">
      <c r="B111" s="2" t="s">
        <v>386</v>
      </c>
      <c r="C111" s="153"/>
    </row>
    <row r="112" spans="2:4" x14ac:dyDescent="0.3">
      <c r="C112" s="153"/>
    </row>
    <row r="113" spans="3:3" x14ac:dyDescent="0.3">
      <c r="C113" s="154"/>
    </row>
    <row r="114" spans="3:3" x14ac:dyDescent="0.3">
      <c r="C114" s="154"/>
    </row>
  </sheetData>
  <mergeCells count="67">
    <mergeCell ref="C67:H67"/>
    <mergeCell ref="C41:H41"/>
    <mergeCell ref="C18:E18"/>
    <mergeCell ref="F18:H18"/>
    <mergeCell ref="C19:E19"/>
    <mergeCell ref="F19:H19"/>
    <mergeCell ref="C20:E20"/>
    <mergeCell ref="F20:H20"/>
    <mergeCell ref="C21:H21"/>
    <mergeCell ref="C38:H38"/>
    <mergeCell ref="C31:H31"/>
    <mergeCell ref="C64:H64"/>
    <mergeCell ref="C52:H52"/>
    <mergeCell ref="C55:H55"/>
    <mergeCell ref="C54:H54"/>
    <mergeCell ref="C53:H53"/>
    <mergeCell ref="A1:A14"/>
    <mergeCell ref="C1:H1"/>
    <mergeCell ref="C2:H2"/>
    <mergeCell ref="C3:H3"/>
    <mergeCell ref="C4:H4"/>
    <mergeCell ref="C5:H5"/>
    <mergeCell ref="C15:H15"/>
    <mergeCell ref="C26:H26"/>
    <mergeCell ref="A27:A30"/>
    <mergeCell ref="C27:H27"/>
    <mergeCell ref="C28:H28"/>
    <mergeCell ref="C30:H30"/>
    <mergeCell ref="C29:F29"/>
    <mergeCell ref="C22:H22"/>
    <mergeCell ref="A23:A25"/>
    <mergeCell ref="C23:H23"/>
    <mergeCell ref="C24:H24"/>
    <mergeCell ref="C25:H25"/>
    <mergeCell ref="A17:A21"/>
    <mergeCell ref="C16:H16"/>
    <mergeCell ref="B62:B63"/>
    <mergeCell ref="E63:H63"/>
    <mergeCell ref="C57:H57"/>
    <mergeCell ref="A32:A37"/>
    <mergeCell ref="C32:H32"/>
    <mergeCell ref="C33:H33"/>
    <mergeCell ref="C35:H35"/>
    <mergeCell ref="C36:H36"/>
    <mergeCell ref="C37:H37"/>
    <mergeCell ref="C34:H34"/>
    <mergeCell ref="C42:H42"/>
    <mergeCell ref="C43:H43"/>
    <mergeCell ref="C44:H44"/>
    <mergeCell ref="C45:H45"/>
    <mergeCell ref="C46:H46"/>
    <mergeCell ref="A65:A66"/>
    <mergeCell ref="C65:H65"/>
    <mergeCell ref="C66:H66"/>
    <mergeCell ref="C56:H56"/>
    <mergeCell ref="C58:H58"/>
    <mergeCell ref="C59:H59"/>
    <mergeCell ref="C60:H60"/>
    <mergeCell ref="C61:H61"/>
    <mergeCell ref="A39:A63"/>
    <mergeCell ref="B39:B47"/>
    <mergeCell ref="C39:H39"/>
    <mergeCell ref="C40:H40"/>
    <mergeCell ref="B48:B51"/>
    <mergeCell ref="C49:H49"/>
    <mergeCell ref="C50:H50"/>
    <mergeCell ref="C51:H51"/>
  </mergeCells>
  <phoneticPr fontId="3" type="noConversion"/>
  <conditionalFormatting sqref="C40:C46 C47:H48 C49:C61">
    <cfRule type="containsText" dxfId="24" priority="2" operator="containsText" text="#">
      <formula>NOT(ISERROR(SEARCH("#",C40)))</formula>
    </cfRule>
  </conditionalFormatting>
  <conditionalFormatting sqref="C39:H39">
    <cfRule type="containsText" dxfId="23" priority="1" operator="containsText" text="#">
      <formula>NOT(ISERROR(SEARCH("#",C39)))</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30EF5-FAF5-49A0-BB9A-0813273A3951}">
  <sheetPr>
    <tabColor rgb="FFFFFF00"/>
  </sheetPr>
  <dimension ref="A1:H62"/>
  <sheetViews>
    <sheetView zoomScale="90" zoomScaleNormal="90" workbookViewId="0">
      <selection activeCell="E58" sqref="E58:H58"/>
    </sheetView>
  </sheetViews>
  <sheetFormatPr defaultColWidth="23.5546875" defaultRowHeight="13.8" x14ac:dyDescent="0.3"/>
  <cols>
    <col min="1" max="1" width="23.44140625" style="2" bestFit="1" customWidth="1"/>
    <col min="2" max="2" width="26.109375" style="2" bestFit="1" customWidth="1"/>
    <col min="3" max="3" width="24.5546875" style="2" bestFit="1" customWidth="1"/>
    <col min="4" max="4" width="23.109375" style="2" bestFit="1" customWidth="1"/>
    <col min="5" max="5" width="5.44140625" style="2" bestFit="1" customWidth="1"/>
    <col min="6" max="6" width="26.88671875" style="2" bestFit="1" customWidth="1"/>
    <col min="7" max="7" width="9.109375" style="2" bestFit="1" customWidth="1"/>
    <col min="8" max="8" width="47.109375" style="2" customWidth="1"/>
    <col min="9" max="16384" width="23.5546875" style="2"/>
  </cols>
  <sheetData>
    <row r="1" spans="1:8" x14ac:dyDescent="0.3">
      <c r="A1" s="186" t="s">
        <v>198</v>
      </c>
      <c r="B1" s="53" t="s">
        <v>0</v>
      </c>
      <c r="C1" s="162">
        <v>2026</v>
      </c>
      <c r="D1" s="162"/>
      <c r="E1" s="162"/>
      <c r="F1" s="162"/>
      <c r="G1" s="162"/>
      <c r="H1" s="162"/>
    </row>
    <row r="2" spans="1:8" x14ac:dyDescent="0.3">
      <c r="A2" s="187"/>
      <c r="B2" s="53" t="s">
        <v>20</v>
      </c>
      <c r="C2" s="169">
        <v>46086</v>
      </c>
      <c r="D2" s="169"/>
      <c r="E2" s="169"/>
      <c r="F2" s="169"/>
      <c r="G2" s="169"/>
      <c r="H2" s="169"/>
    </row>
    <row r="3" spans="1:8" x14ac:dyDescent="0.3">
      <c r="A3" s="187"/>
      <c r="B3" s="53" t="s">
        <v>1</v>
      </c>
      <c r="C3" s="162" t="s">
        <v>240</v>
      </c>
      <c r="D3" s="162"/>
      <c r="E3" s="162"/>
      <c r="F3" s="162"/>
      <c r="G3" s="162"/>
      <c r="H3" s="162"/>
    </row>
    <row r="4" spans="1:8" x14ac:dyDescent="0.3">
      <c r="A4" s="187"/>
      <c r="B4" s="53" t="s">
        <v>213</v>
      </c>
      <c r="C4" s="188" t="s">
        <v>308</v>
      </c>
      <c r="D4" s="188"/>
      <c r="E4" s="188"/>
      <c r="F4" s="188"/>
      <c r="G4" s="188"/>
      <c r="H4" s="188"/>
    </row>
    <row r="5" spans="1:8" x14ac:dyDescent="0.3">
      <c r="A5" s="187"/>
      <c r="B5" s="53" t="s">
        <v>2</v>
      </c>
      <c r="C5" s="162" t="s">
        <v>238</v>
      </c>
      <c r="D5" s="162"/>
      <c r="E5" s="162"/>
      <c r="F5" s="162"/>
      <c r="G5" s="162"/>
      <c r="H5" s="162"/>
    </row>
    <row r="6" spans="1:8" x14ac:dyDescent="0.3">
      <c r="A6" s="187"/>
      <c r="B6" s="53"/>
      <c r="C6" s="59" t="s">
        <v>22</v>
      </c>
      <c r="D6" s="59" t="s">
        <v>199</v>
      </c>
      <c r="E6" s="60" t="s">
        <v>3</v>
      </c>
      <c r="F6" s="61" t="s">
        <v>25</v>
      </c>
      <c r="G6" s="61" t="s">
        <v>26</v>
      </c>
      <c r="H6" s="111" t="s">
        <v>26</v>
      </c>
    </row>
    <row r="7" spans="1:8" x14ac:dyDescent="0.3">
      <c r="A7" s="187"/>
      <c r="B7" s="53" t="s">
        <v>223</v>
      </c>
      <c r="C7" s="109" t="s">
        <v>309</v>
      </c>
      <c r="D7" s="62" t="s">
        <v>318</v>
      </c>
      <c r="E7" s="91">
        <v>350</v>
      </c>
      <c r="F7" s="90">
        <v>12</v>
      </c>
      <c r="G7" s="110">
        <f>E7*F7</f>
        <v>4200</v>
      </c>
      <c r="H7" s="114">
        <f>SUM(G7:G15)</f>
        <v>45865</v>
      </c>
    </row>
    <row r="8" spans="1:8" x14ac:dyDescent="0.3">
      <c r="A8" s="187"/>
      <c r="B8" s="53" t="s">
        <v>224</v>
      </c>
      <c r="C8" s="109" t="s">
        <v>310</v>
      </c>
      <c r="D8" s="62" t="s">
        <v>319</v>
      </c>
      <c r="E8" s="91">
        <v>900</v>
      </c>
      <c r="F8" s="90">
        <v>12</v>
      </c>
      <c r="G8" s="110">
        <f t="shared" ref="G8:G12" si="0">E8*F8</f>
        <v>10800</v>
      </c>
      <c r="H8" s="112"/>
    </row>
    <row r="9" spans="1:8" x14ac:dyDescent="0.3">
      <c r="A9" s="187"/>
      <c r="B9" s="53" t="s">
        <v>225</v>
      </c>
      <c r="C9" s="109" t="s">
        <v>311</v>
      </c>
      <c r="D9" s="62" t="s">
        <v>320</v>
      </c>
      <c r="E9" s="91">
        <v>440</v>
      </c>
      <c r="F9" s="90">
        <v>12</v>
      </c>
      <c r="G9" s="110">
        <f t="shared" si="0"/>
        <v>5280</v>
      </c>
      <c r="H9" s="112"/>
    </row>
    <row r="10" spans="1:8" x14ac:dyDescent="0.3">
      <c r="A10" s="187"/>
      <c r="B10" s="53" t="s">
        <v>226</v>
      </c>
      <c r="C10" s="109" t="s">
        <v>312</v>
      </c>
      <c r="D10" s="62" t="s">
        <v>321</v>
      </c>
      <c r="E10" s="91">
        <v>600</v>
      </c>
      <c r="F10" s="90">
        <v>9</v>
      </c>
      <c r="G10" s="110">
        <f t="shared" si="0"/>
        <v>5400</v>
      </c>
      <c r="H10" s="112"/>
    </row>
    <row r="11" spans="1:8" x14ac:dyDescent="0.3">
      <c r="A11" s="187"/>
      <c r="B11" s="53" t="s">
        <v>227</v>
      </c>
      <c r="C11" s="109" t="s">
        <v>313</v>
      </c>
      <c r="D11" s="62" t="s">
        <v>322</v>
      </c>
      <c r="E11" s="91">
        <v>875</v>
      </c>
      <c r="F11" s="90">
        <v>9</v>
      </c>
      <c r="G11" s="110">
        <f t="shared" si="0"/>
        <v>7875</v>
      </c>
      <c r="H11" s="112"/>
    </row>
    <row r="12" spans="1:8" ht="36" x14ac:dyDescent="0.3">
      <c r="A12" s="187"/>
      <c r="B12" s="53" t="s">
        <v>228</v>
      </c>
      <c r="C12" s="78" t="s">
        <v>314</v>
      </c>
      <c r="D12" s="78" t="s">
        <v>323</v>
      </c>
      <c r="E12" s="91">
        <v>15</v>
      </c>
      <c r="F12" s="90">
        <v>600</v>
      </c>
      <c r="G12" s="110">
        <f t="shared" si="0"/>
        <v>9000</v>
      </c>
      <c r="H12" s="112"/>
    </row>
    <row r="13" spans="1:8" ht="36" x14ac:dyDescent="0.3">
      <c r="A13" s="187"/>
      <c r="B13" s="53" t="s">
        <v>229</v>
      </c>
      <c r="C13" s="78" t="s">
        <v>315</v>
      </c>
      <c r="D13" s="78" t="s">
        <v>323</v>
      </c>
      <c r="E13" s="92">
        <v>5</v>
      </c>
      <c r="F13" s="90">
        <v>400</v>
      </c>
      <c r="G13" s="110">
        <f>E13*F13</f>
        <v>2000</v>
      </c>
      <c r="H13" s="112"/>
    </row>
    <row r="14" spans="1:8" x14ac:dyDescent="0.3">
      <c r="A14" s="187"/>
      <c r="B14" s="53" t="s">
        <v>237</v>
      </c>
      <c r="C14" s="75" t="s">
        <v>316</v>
      </c>
      <c r="D14" s="62" t="s">
        <v>324</v>
      </c>
      <c r="E14" s="91">
        <v>5</v>
      </c>
      <c r="F14" s="90">
        <v>190</v>
      </c>
      <c r="G14" s="110">
        <f>E14*F14</f>
        <v>950</v>
      </c>
      <c r="H14" s="112"/>
    </row>
    <row r="15" spans="1:8" x14ac:dyDescent="0.3">
      <c r="A15" s="187"/>
      <c r="B15" s="53" t="s">
        <v>244</v>
      </c>
      <c r="C15" s="78" t="s">
        <v>317</v>
      </c>
      <c r="D15" s="78" t="s">
        <v>317</v>
      </c>
      <c r="E15" s="91">
        <v>2</v>
      </c>
      <c r="F15" s="90">
        <v>180</v>
      </c>
      <c r="G15" s="110">
        <f t="shared" ref="G15" si="1">E15*F15</f>
        <v>360</v>
      </c>
      <c r="H15" s="113"/>
    </row>
    <row r="16" spans="1:8" s="69" customFormat="1" ht="4.2" x14ac:dyDescent="0.15">
      <c r="A16" s="72"/>
      <c r="B16" s="68"/>
      <c r="C16" s="189"/>
      <c r="D16" s="190"/>
      <c r="E16" s="190"/>
      <c r="F16" s="190"/>
      <c r="G16" s="190"/>
      <c r="H16" s="191"/>
    </row>
    <row r="17" spans="1:8" x14ac:dyDescent="0.3">
      <c r="A17" s="192" t="s">
        <v>175</v>
      </c>
      <c r="B17" s="53" t="s">
        <v>241</v>
      </c>
      <c r="C17" s="108" t="s">
        <v>325</v>
      </c>
      <c r="D17" s="115">
        <f>H7-G17</f>
        <v>13865</v>
      </c>
      <c r="E17" s="116"/>
      <c r="F17" s="108" t="s">
        <v>326</v>
      </c>
      <c r="G17" s="115">
        <f>32000</f>
        <v>32000</v>
      </c>
      <c r="H17" s="116"/>
    </row>
    <row r="18" spans="1:8" x14ac:dyDescent="0.3">
      <c r="A18" s="192"/>
      <c r="B18" s="89" t="s">
        <v>62</v>
      </c>
      <c r="C18" s="162" t="s">
        <v>63</v>
      </c>
      <c r="D18" s="162"/>
      <c r="E18" s="162"/>
      <c r="F18" s="162" t="s">
        <v>63</v>
      </c>
      <c r="G18" s="162"/>
      <c r="H18" s="162"/>
    </row>
    <row r="19" spans="1:8" x14ac:dyDescent="0.3">
      <c r="A19" s="192"/>
      <c r="B19" s="53" t="s">
        <v>99</v>
      </c>
      <c r="C19" s="169">
        <v>46098</v>
      </c>
      <c r="D19" s="169"/>
      <c r="E19" s="169"/>
      <c r="F19" s="169">
        <v>46118</v>
      </c>
      <c r="G19" s="169"/>
      <c r="H19" s="169"/>
    </row>
    <row r="20" spans="1:8" x14ac:dyDescent="0.3">
      <c r="A20" s="192"/>
      <c r="B20" s="53" t="s">
        <v>75</v>
      </c>
      <c r="C20" s="165" t="s">
        <v>350</v>
      </c>
      <c r="D20" s="166"/>
      <c r="E20" s="167"/>
      <c r="F20" s="162" t="s">
        <v>76</v>
      </c>
      <c r="G20" s="162"/>
      <c r="H20" s="162"/>
    </row>
    <row r="21" spans="1:8" x14ac:dyDescent="0.3">
      <c r="A21" s="192"/>
      <c r="B21" s="53" t="s">
        <v>177</v>
      </c>
      <c r="C21" s="193" t="s">
        <v>417</v>
      </c>
      <c r="D21" s="194"/>
      <c r="E21" s="194"/>
      <c r="F21" s="194"/>
      <c r="G21" s="194"/>
      <c r="H21" s="195"/>
    </row>
    <row r="22" spans="1:8" s="69" customFormat="1" ht="4.2" x14ac:dyDescent="0.15">
      <c r="A22" s="72"/>
      <c r="B22" s="68"/>
      <c r="C22" s="163"/>
      <c r="D22" s="164"/>
      <c r="E22" s="164"/>
      <c r="F22" s="164"/>
      <c r="G22" s="164"/>
      <c r="H22" s="164"/>
    </row>
    <row r="23" spans="1:8" x14ac:dyDescent="0.3">
      <c r="A23" s="168" t="s">
        <v>176</v>
      </c>
      <c r="B23" s="53" t="s">
        <v>67</v>
      </c>
      <c r="C23" s="169">
        <f>C19+20+7</f>
        <v>46125</v>
      </c>
      <c r="D23" s="162"/>
      <c r="E23" s="162"/>
      <c r="F23" s="162"/>
      <c r="G23" s="162"/>
      <c r="H23" s="162"/>
    </row>
    <row r="24" spans="1:8" x14ac:dyDescent="0.3">
      <c r="A24" s="168"/>
      <c r="B24" s="53" t="s">
        <v>172</v>
      </c>
      <c r="C24" s="162"/>
      <c r="D24" s="162"/>
      <c r="E24" s="162"/>
      <c r="F24" s="162"/>
      <c r="G24" s="162"/>
      <c r="H24" s="162"/>
    </row>
    <row r="25" spans="1:8" x14ac:dyDescent="0.3">
      <c r="A25" s="168"/>
      <c r="B25" s="53" t="s">
        <v>214</v>
      </c>
      <c r="C25" s="162" t="s">
        <v>429</v>
      </c>
      <c r="D25" s="162"/>
      <c r="E25" s="162"/>
      <c r="F25" s="162"/>
      <c r="G25" s="162"/>
      <c r="H25" s="162"/>
    </row>
    <row r="26" spans="1:8" s="69" customFormat="1" ht="4.2" x14ac:dyDescent="0.15">
      <c r="A26" s="73"/>
      <c r="B26" s="68"/>
      <c r="C26" s="163"/>
      <c r="D26" s="164"/>
      <c r="E26" s="164"/>
      <c r="F26" s="164"/>
      <c r="G26" s="164"/>
      <c r="H26" s="164"/>
    </row>
    <row r="27" spans="1:8" x14ac:dyDescent="0.3">
      <c r="A27" s="177" t="s">
        <v>65</v>
      </c>
      <c r="B27" s="53" t="s">
        <v>65</v>
      </c>
      <c r="C27" s="162"/>
      <c r="D27" s="162"/>
      <c r="E27" s="162"/>
      <c r="F27" s="162"/>
      <c r="G27" s="162"/>
      <c r="H27" s="162"/>
    </row>
    <row r="28" spans="1:8" x14ac:dyDescent="0.3">
      <c r="A28" s="177"/>
      <c r="B28" s="53" t="s">
        <v>173</v>
      </c>
      <c r="C28" s="162"/>
      <c r="D28" s="162"/>
      <c r="E28" s="162"/>
      <c r="F28" s="162"/>
      <c r="G28" s="162"/>
      <c r="H28" s="162"/>
    </row>
    <row r="29" spans="1:8" x14ac:dyDescent="0.3">
      <c r="A29" s="177"/>
      <c r="B29" s="53" t="s">
        <v>254</v>
      </c>
      <c r="C29" s="85"/>
      <c r="D29" s="85"/>
      <c r="E29" s="85"/>
      <c r="F29" s="85"/>
      <c r="G29" s="85"/>
      <c r="H29" s="85"/>
    </row>
    <row r="30" spans="1:8" x14ac:dyDescent="0.3">
      <c r="A30" s="177"/>
      <c r="B30" s="53" t="s">
        <v>171</v>
      </c>
      <c r="C30" s="162"/>
      <c r="D30" s="162"/>
      <c r="E30" s="162"/>
      <c r="F30" s="162"/>
      <c r="G30" s="162"/>
      <c r="H30" s="162"/>
    </row>
    <row r="31" spans="1:8" s="69" customFormat="1" ht="4.2" x14ac:dyDescent="0.15">
      <c r="A31" s="73"/>
      <c r="B31" s="68"/>
      <c r="C31" s="163"/>
      <c r="D31" s="164"/>
      <c r="E31" s="164"/>
      <c r="F31" s="164"/>
      <c r="G31" s="164"/>
      <c r="H31" s="164"/>
    </row>
    <row r="32" spans="1:8" x14ac:dyDescent="0.3">
      <c r="A32" s="170" t="s">
        <v>180</v>
      </c>
      <c r="B32" s="53" t="s">
        <v>215</v>
      </c>
      <c r="C32" s="162"/>
      <c r="D32" s="162"/>
      <c r="E32" s="162"/>
      <c r="F32" s="162"/>
      <c r="G32" s="162"/>
      <c r="H32" s="162"/>
    </row>
    <row r="33" spans="1:8" x14ac:dyDescent="0.3">
      <c r="A33" s="170"/>
      <c r="B33" s="53" t="s">
        <v>146</v>
      </c>
      <c r="C33" s="169"/>
      <c r="D33" s="169"/>
      <c r="E33" s="169"/>
      <c r="F33" s="169"/>
      <c r="G33" s="169"/>
      <c r="H33" s="169"/>
    </row>
    <row r="34" spans="1:8" x14ac:dyDescent="0.3">
      <c r="A34" s="170"/>
      <c r="B34" s="53" t="s">
        <v>147</v>
      </c>
      <c r="C34" s="169">
        <v>46127</v>
      </c>
      <c r="D34" s="169"/>
      <c r="E34" s="169"/>
      <c r="F34" s="169"/>
      <c r="G34" s="169"/>
      <c r="H34" s="169"/>
    </row>
    <row r="35" spans="1:8" x14ac:dyDescent="0.3">
      <c r="A35" s="170"/>
      <c r="B35" s="53" t="s">
        <v>68</v>
      </c>
      <c r="C35" s="169">
        <v>46155</v>
      </c>
      <c r="D35" s="162"/>
      <c r="E35" s="162"/>
      <c r="F35" s="162"/>
      <c r="G35" s="162"/>
      <c r="H35" s="162"/>
    </row>
    <row r="36" spans="1:8" x14ac:dyDescent="0.3">
      <c r="A36" s="170"/>
      <c r="B36" s="53" t="s">
        <v>69</v>
      </c>
      <c r="C36" s="169"/>
      <c r="D36" s="162"/>
      <c r="E36" s="162"/>
      <c r="F36" s="162"/>
      <c r="G36" s="162"/>
      <c r="H36" s="162"/>
    </row>
    <row r="37" spans="1:8" ht="15" customHeight="1" x14ac:dyDescent="0.3">
      <c r="A37" s="170"/>
      <c r="B37" s="171" t="s">
        <v>98</v>
      </c>
      <c r="C37" s="173" t="s">
        <v>471</v>
      </c>
      <c r="D37" s="174"/>
      <c r="E37" s="174"/>
      <c r="F37" s="174"/>
      <c r="G37" s="174"/>
      <c r="H37" s="175"/>
    </row>
    <row r="38" spans="1:8" x14ac:dyDescent="0.3">
      <c r="A38" s="170"/>
      <c r="B38" s="172"/>
      <c r="C38" s="162"/>
      <c r="D38" s="162"/>
      <c r="E38" s="162"/>
      <c r="F38" s="162"/>
      <c r="G38" s="162"/>
      <c r="H38" s="162"/>
    </row>
    <row r="39" spans="1:8" s="69" customFormat="1" ht="18" customHeight="1" x14ac:dyDescent="0.35">
      <c r="A39" s="72"/>
      <c r="B39" s="70"/>
      <c r="C39" s="178" t="s">
        <v>473</v>
      </c>
      <c r="D39" s="179"/>
      <c r="E39" s="179"/>
      <c r="F39" s="179"/>
      <c r="G39" s="179"/>
      <c r="H39" s="179"/>
    </row>
    <row r="40" spans="1:8" x14ac:dyDescent="0.3">
      <c r="A40" s="180" t="s">
        <v>217</v>
      </c>
      <c r="B40" s="183" t="s">
        <v>242</v>
      </c>
      <c r="C40" s="165" t="s">
        <v>457</v>
      </c>
      <c r="D40" s="166"/>
      <c r="E40" s="166"/>
      <c r="F40" s="166"/>
      <c r="G40" s="166"/>
      <c r="H40" s="167"/>
    </row>
    <row r="41" spans="1:8" x14ac:dyDescent="0.3">
      <c r="A41" s="180"/>
      <c r="B41" s="184"/>
      <c r="C41" s="165" t="s">
        <v>463</v>
      </c>
      <c r="D41" s="166"/>
      <c r="E41" s="166"/>
      <c r="F41" s="166"/>
      <c r="G41" s="166"/>
      <c r="H41" s="167"/>
    </row>
    <row r="42" spans="1:8" x14ac:dyDescent="0.3">
      <c r="A42" s="180"/>
      <c r="B42" s="184"/>
      <c r="C42" s="165" t="s">
        <v>327</v>
      </c>
      <c r="D42" s="166"/>
      <c r="E42" s="166"/>
      <c r="F42" s="166"/>
      <c r="G42" s="166"/>
      <c r="H42" s="167"/>
    </row>
    <row r="43" spans="1:8" x14ac:dyDescent="0.3">
      <c r="A43" s="180"/>
      <c r="B43" s="184"/>
      <c r="C43" s="57" t="s">
        <v>347</v>
      </c>
      <c r="D43" s="99"/>
      <c r="E43" s="99"/>
      <c r="F43" s="99"/>
      <c r="G43" s="99"/>
      <c r="H43" s="100"/>
    </row>
    <row r="44" spans="1:8" x14ac:dyDescent="0.3">
      <c r="A44" s="180"/>
      <c r="B44" s="184"/>
      <c r="C44" s="57" t="s">
        <v>418</v>
      </c>
      <c r="D44" s="99"/>
      <c r="E44" s="99"/>
      <c r="F44" s="99"/>
      <c r="G44" s="99"/>
      <c r="H44" s="100"/>
    </row>
    <row r="45" spans="1:8" x14ac:dyDescent="0.3">
      <c r="A45" s="180"/>
      <c r="B45" s="184"/>
      <c r="C45" s="57" t="s">
        <v>437</v>
      </c>
      <c r="D45" s="99"/>
      <c r="E45" s="99"/>
      <c r="F45" s="99"/>
      <c r="G45" s="99"/>
      <c r="H45" s="100"/>
    </row>
    <row r="46" spans="1:8" x14ac:dyDescent="0.3">
      <c r="A46" s="180"/>
      <c r="B46" s="184"/>
      <c r="C46" s="165" t="s">
        <v>438</v>
      </c>
      <c r="D46" s="166"/>
      <c r="E46" s="166"/>
      <c r="F46" s="166"/>
      <c r="G46" s="166"/>
      <c r="H46" s="167"/>
    </row>
    <row r="47" spans="1:8" x14ac:dyDescent="0.3">
      <c r="A47" s="180"/>
      <c r="B47" s="184"/>
      <c r="C47" s="165" t="s">
        <v>455</v>
      </c>
      <c r="D47" s="166"/>
      <c r="E47" s="166"/>
      <c r="F47" s="166"/>
      <c r="G47" s="166"/>
      <c r="H47" s="167"/>
    </row>
    <row r="48" spans="1:8" x14ac:dyDescent="0.3">
      <c r="A48" s="180"/>
      <c r="B48" s="185"/>
      <c r="C48" s="165" t="s">
        <v>456</v>
      </c>
      <c r="D48" s="166"/>
      <c r="E48" s="166"/>
      <c r="F48" s="166"/>
      <c r="G48" s="166"/>
      <c r="H48" s="167"/>
    </row>
    <row r="49" spans="1:8" x14ac:dyDescent="0.3">
      <c r="A49" s="180"/>
      <c r="B49" s="102"/>
      <c r="C49" s="165" t="s">
        <v>462</v>
      </c>
      <c r="D49" s="166"/>
      <c r="E49" s="166"/>
      <c r="F49" s="166"/>
      <c r="G49" s="166"/>
      <c r="H49" s="167"/>
    </row>
    <row r="50" spans="1:8" x14ac:dyDescent="0.3">
      <c r="A50" s="180"/>
      <c r="B50" s="102"/>
      <c r="C50" s="165"/>
      <c r="D50" s="166"/>
      <c r="E50" s="166"/>
      <c r="F50" s="166"/>
      <c r="G50" s="166"/>
      <c r="H50" s="167"/>
    </row>
    <row r="51" spans="1:8" x14ac:dyDescent="0.3">
      <c r="A51" s="180"/>
      <c r="B51" s="102"/>
      <c r="C51" s="165"/>
      <c r="D51" s="166"/>
      <c r="E51" s="166"/>
      <c r="F51" s="166"/>
      <c r="G51" s="166"/>
      <c r="H51" s="167"/>
    </row>
    <row r="52" spans="1:8" x14ac:dyDescent="0.3">
      <c r="A52" s="180"/>
      <c r="B52" s="102"/>
      <c r="C52" s="165"/>
      <c r="D52" s="166"/>
      <c r="E52" s="166"/>
      <c r="F52" s="166"/>
      <c r="G52" s="166"/>
      <c r="H52" s="167"/>
    </row>
    <row r="53" spans="1:8" x14ac:dyDescent="0.3">
      <c r="A53" s="180"/>
      <c r="B53" s="102"/>
      <c r="C53" s="165"/>
      <c r="D53" s="166"/>
      <c r="E53" s="166"/>
      <c r="F53" s="166"/>
      <c r="G53" s="166"/>
      <c r="H53" s="167"/>
    </row>
    <row r="54" spans="1:8" x14ac:dyDescent="0.3">
      <c r="A54" s="180"/>
      <c r="B54" s="102"/>
      <c r="C54" s="165"/>
      <c r="D54" s="166"/>
      <c r="E54" s="166"/>
      <c r="F54" s="166"/>
      <c r="G54" s="166"/>
      <c r="H54" s="167"/>
    </row>
    <row r="55" spans="1:8" x14ac:dyDescent="0.3">
      <c r="A55" s="180"/>
      <c r="B55" s="102"/>
      <c r="C55" s="165"/>
      <c r="D55" s="166"/>
      <c r="E55" s="166"/>
      <c r="F55" s="166"/>
      <c r="G55" s="166"/>
      <c r="H55" s="167"/>
    </row>
    <row r="56" spans="1:8" x14ac:dyDescent="0.3">
      <c r="A56" s="180"/>
      <c r="B56" s="102"/>
      <c r="C56" s="165"/>
      <c r="D56" s="166"/>
      <c r="E56" s="166"/>
      <c r="F56" s="166"/>
      <c r="G56" s="166"/>
      <c r="H56" s="167"/>
    </row>
    <row r="57" spans="1:8" s="58" customFormat="1" ht="12" customHeight="1" x14ac:dyDescent="0.25">
      <c r="A57" s="180"/>
      <c r="B57" s="171" t="s">
        <v>185</v>
      </c>
      <c r="C57" s="77"/>
      <c r="D57" s="161" t="str">
        <f>"DIFF: "&amp;E58-E57</f>
        <v>DIFF: 1570</v>
      </c>
      <c r="E57" s="181">
        <f>8159.73+973.5+4100</f>
        <v>13233.23</v>
      </c>
      <c r="F57" s="181"/>
      <c r="G57" s="181"/>
      <c r="H57" s="181"/>
    </row>
    <row r="58" spans="1:8" ht="15" customHeight="1" x14ac:dyDescent="0.3">
      <c r="A58" s="180"/>
      <c r="B58" s="172"/>
      <c r="C58" s="75" t="s">
        <v>243</v>
      </c>
      <c r="D58" s="76" t="s">
        <v>269</v>
      </c>
      <c r="E58" s="182">
        <f>9729.73+973.5+4100</f>
        <v>14803.23</v>
      </c>
      <c r="F58" s="182"/>
      <c r="G58" s="182"/>
      <c r="H58" s="182"/>
    </row>
    <row r="59" spans="1:8" s="69" customFormat="1" ht="4.2" x14ac:dyDescent="0.15">
      <c r="A59" s="72"/>
      <c r="B59" s="71"/>
      <c r="C59" s="163"/>
      <c r="D59" s="164"/>
      <c r="E59" s="164"/>
      <c r="F59" s="164"/>
      <c r="G59" s="164"/>
      <c r="H59" s="164"/>
    </row>
    <row r="60" spans="1:8" x14ac:dyDescent="0.3">
      <c r="A60" s="176" t="s">
        <v>181</v>
      </c>
      <c r="B60" s="53" t="s">
        <v>218</v>
      </c>
      <c r="C60" s="162" t="str">
        <f>C3&amp;" ("&amp;C5&amp;") "&amp;"-"&amp;" "&amp;C4</f>
        <v>Dalian Labtek Science &amp; Development Co., LTD (LABTEK MACHINES AND SLEEVES) - PO/DLSD-2026/001</v>
      </c>
      <c r="D60" s="162"/>
      <c r="E60" s="162"/>
      <c r="F60" s="162"/>
      <c r="G60" s="162"/>
      <c r="H60" s="162"/>
    </row>
    <row r="61" spans="1:8" x14ac:dyDescent="0.3">
      <c r="A61" s="176"/>
      <c r="B61" s="53" t="s">
        <v>71</v>
      </c>
      <c r="C61" s="162" t="str">
        <f>"AFC"&amp;" ("&amp;C5&amp;") "&amp;"-"&amp;" "&amp;C4&amp;" - CHINA TO UAE"</f>
        <v>AFC (LABTEK MACHINES AND SLEEVES) - PO/DLSD-2026/001 - CHINA TO UAE</v>
      </c>
      <c r="D61" s="162"/>
      <c r="E61" s="162"/>
      <c r="F61" s="162"/>
      <c r="G61" s="162"/>
      <c r="H61" s="162"/>
    </row>
    <row r="62" spans="1:8" x14ac:dyDescent="0.3">
      <c r="C62" s="162"/>
      <c r="D62" s="162"/>
      <c r="E62" s="162"/>
      <c r="F62" s="162"/>
      <c r="G62" s="162"/>
      <c r="H62" s="162"/>
    </row>
  </sheetData>
  <mergeCells count="60">
    <mergeCell ref="C16:H16"/>
    <mergeCell ref="A17:A21"/>
    <mergeCell ref="F18:H18"/>
    <mergeCell ref="F19:H19"/>
    <mergeCell ref="F20:H20"/>
    <mergeCell ref="C21:H21"/>
    <mergeCell ref="C18:E18"/>
    <mergeCell ref="C19:E19"/>
    <mergeCell ref="C20:E20"/>
    <mergeCell ref="A1:A15"/>
    <mergeCell ref="C1:H1"/>
    <mergeCell ref="C2:H2"/>
    <mergeCell ref="C3:H3"/>
    <mergeCell ref="C4:H4"/>
    <mergeCell ref="C5:H5"/>
    <mergeCell ref="A60:A61"/>
    <mergeCell ref="A27:A30"/>
    <mergeCell ref="C27:H27"/>
    <mergeCell ref="C28:H28"/>
    <mergeCell ref="C30:H30"/>
    <mergeCell ref="C55:H55"/>
    <mergeCell ref="C61:H61"/>
    <mergeCell ref="C39:H39"/>
    <mergeCell ref="C59:H59"/>
    <mergeCell ref="A40:A58"/>
    <mergeCell ref="B57:B58"/>
    <mergeCell ref="E57:H57"/>
    <mergeCell ref="E58:H58"/>
    <mergeCell ref="B40:B48"/>
    <mergeCell ref="C56:H56"/>
    <mergeCell ref="C54:H54"/>
    <mergeCell ref="C22:H22"/>
    <mergeCell ref="C60:H60"/>
    <mergeCell ref="A23:A25"/>
    <mergeCell ref="C23:H23"/>
    <mergeCell ref="C24:H24"/>
    <mergeCell ref="C25:H25"/>
    <mergeCell ref="C31:H31"/>
    <mergeCell ref="A32:A38"/>
    <mergeCell ref="C32:H32"/>
    <mergeCell ref="C33:H33"/>
    <mergeCell ref="C34:H34"/>
    <mergeCell ref="C35:H35"/>
    <mergeCell ref="C36:H36"/>
    <mergeCell ref="B37:B38"/>
    <mergeCell ref="C37:H37"/>
    <mergeCell ref="C38:H38"/>
    <mergeCell ref="C62:H62"/>
    <mergeCell ref="C26:H26"/>
    <mergeCell ref="C50:H50"/>
    <mergeCell ref="C51:H51"/>
    <mergeCell ref="C52:H52"/>
    <mergeCell ref="C53:H53"/>
    <mergeCell ref="C40:H40"/>
    <mergeCell ref="C41:H41"/>
    <mergeCell ref="C42:H42"/>
    <mergeCell ref="C46:H46"/>
    <mergeCell ref="C47:H47"/>
    <mergeCell ref="C48:H48"/>
    <mergeCell ref="C49:H49"/>
  </mergeCells>
  <phoneticPr fontId="3" type="noConversion"/>
  <conditionalFormatting sqref="C40:C56">
    <cfRule type="containsText" dxfId="22" priority="1" operator="containsText" text="#">
      <formula>NOT(ISERROR(SEARCH("#",C40)))</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B2231-B110-4C2F-84CE-2AFB420AA352}">
  <sheetPr>
    <tabColor rgb="FF99FF33"/>
  </sheetPr>
  <dimension ref="A1:I51"/>
  <sheetViews>
    <sheetView zoomScale="90" zoomScaleNormal="90" workbookViewId="0">
      <selection activeCell="C50" sqref="C50:H50"/>
    </sheetView>
  </sheetViews>
  <sheetFormatPr defaultColWidth="9.109375" defaultRowHeight="23.4" x14ac:dyDescent="0.3"/>
  <cols>
    <col min="1" max="1" width="23.44140625" style="56" bestFit="1" customWidth="1"/>
    <col min="2" max="2" width="26.109375" style="2" bestFit="1" customWidth="1"/>
    <col min="3" max="3" width="26.6640625" style="58" customWidth="1"/>
    <col min="4" max="4" width="24" style="58" bestFit="1" customWidth="1"/>
    <col min="5" max="5" width="5.44140625" style="58" bestFit="1" customWidth="1"/>
    <col min="6" max="6" width="8.5546875" style="58" bestFit="1" customWidth="1"/>
    <col min="7" max="8" width="9.109375" style="58" bestFit="1" customWidth="1"/>
    <col min="9" max="16384" width="9.109375" style="2"/>
  </cols>
  <sheetData>
    <row r="1" spans="1:9" ht="13.8" x14ac:dyDescent="0.3">
      <c r="A1" s="235" t="s">
        <v>198</v>
      </c>
      <c r="B1" s="53" t="s">
        <v>0</v>
      </c>
      <c r="C1" s="162">
        <v>2026</v>
      </c>
      <c r="D1" s="162"/>
      <c r="E1" s="162"/>
      <c r="F1" s="162"/>
      <c r="G1" s="162"/>
      <c r="H1" s="162"/>
    </row>
    <row r="2" spans="1:9" ht="13.8" x14ac:dyDescent="0.3">
      <c r="A2" s="235"/>
      <c r="B2" s="53" t="s">
        <v>20</v>
      </c>
      <c r="C2" s="169">
        <v>46111</v>
      </c>
      <c r="D2" s="169"/>
      <c r="E2" s="169"/>
      <c r="F2" s="169"/>
      <c r="G2" s="169"/>
      <c r="H2" s="169"/>
    </row>
    <row r="3" spans="1:9" ht="13.8" x14ac:dyDescent="0.3">
      <c r="A3" s="235"/>
      <c r="B3" s="53" t="s">
        <v>1</v>
      </c>
      <c r="C3" s="162" t="s">
        <v>7</v>
      </c>
      <c r="D3" s="162"/>
      <c r="E3" s="162"/>
      <c r="F3" s="162"/>
      <c r="G3" s="162"/>
      <c r="H3" s="162"/>
    </row>
    <row r="4" spans="1:9" ht="13.8" x14ac:dyDescent="0.3">
      <c r="A4" s="235"/>
      <c r="B4" s="53" t="s">
        <v>213</v>
      </c>
      <c r="C4" s="162" t="s">
        <v>431</v>
      </c>
      <c r="D4" s="162"/>
      <c r="E4" s="162"/>
      <c r="F4" s="162"/>
      <c r="G4" s="162"/>
      <c r="H4" s="162"/>
    </row>
    <row r="5" spans="1:9" ht="13.8" x14ac:dyDescent="0.3">
      <c r="A5" s="235"/>
      <c r="B5" s="53" t="s">
        <v>2</v>
      </c>
      <c r="C5" s="162" t="s">
        <v>5</v>
      </c>
      <c r="D5" s="162"/>
      <c r="E5" s="162"/>
      <c r="F5" s="162"/>
      <c r="G5" s="162"/>
      <c r="H5" s="162"/>
    </row>
    <row r="6" spans="1:9" ht="13.8" x14ac:dyDescent="0.3">
      <c r="A6" s="235"/>
      <c r="B6" s="53"/>
      <c r="C6" s="59" t="s">
        <v>22</v>
      </c>
      <c r="D6" s="59" t="s">
        <v>199</v>
      </c>
      <c r="E6" s="60" t="s">
        <v>3</v>
      </c>
      <c r="F6" s="61" t="s">
        <v>25</v>
      </c>
      <c r="G6" s="61" t="s">
        <v>26</v>
      </c>
      <c r="H6" s="61" t="s">
        <v>26</v>
      </c>
    </row>
    <row r="7" spans="1:9" ht="13.8" x14ac:dyDescent="0.3">
      <c r="A7" s="235"/>
      <c r="B7" s="53" t="s">
        <v>223</v>
      </c>
      <c r="C7" s="62" t="s">
        <v>432</v>
      </c>
      <c r="D7" s="62" t="s">
        <v>433</v>
      </c>
      <c r="E7" s="63">
        <v>5000</v>
      </c>
      <c r="F7" s="64">
        <v>0.22</v>
      </c>
      <c r="G7" s="64">
        <f>E7*F7</f>
        <v>1100</v>
      </c>
      <c r="H7" s="242">
        <f>SUM(G7:G8)</f>
        <v>2420</v>
      </c>
    </row>
    <row r="8" spans="1:9" ht="13.8" x14ac:dyDescent="0.3">
      <c r="A8" s="235"/>
      <c r="B8" s="53" t="s">
        <v>224</v>
      </c>
      <c r="C8" s="62" t="s">
        <v>23</v>
      </c>
      <c r="D8" s="62" t="s">
        <v>24</v>
      </c>
      <c r="E8" s="63">
        <v>6000</v>
      </c>
      <c r="F8" s="64">
        <v>0.22</v>
      </c>
      <c r="G8" s="64">
        <f>E8*F8</f>
        <v>1320</v>
      </c>
      <c r="H8" s="243"/>
    </row>
    <row r="9" spans="1:9" s="69" customFormat="1" ht="4.2" x14ac:dyDescent="0.15">
      <c r="A9" s="72"/>
      <c r="B9" s="68"/>
      <c r="C9" s="200"/>
      <c r="D9" s="201"/>
      <c r="E9" s="201"/>
      <c r="F9" s="201"/>
      <c r="G9" s="201"/>
      <c r="H9" s="201"/>
    </row>
    <row r="10" spans="1:9" ht="13.8" x14ac:dyDescent="0.3">
      <c r="A10" s="192" t="s">
        <v>175</v>
      </c>
      <c r="B10" s="53" t="s">
        <v>62</v>
      </c>
      <c r="C10" s="162" t="s">
        <v>63</v>
      </c>
      <c r="D10" s="162"/>
      <c r="E10" s="162"/>
      <c r="F10" s="162"/>
      <c r="G10" s="162"/>
      <c r="H10" s="162"/>
    </row>
    <row r="11" spans="1:9" ht="13.8" x14ac:dyDescent="0.3">
      <c r="A11" s="192"/>
      <c r="B11" s="53" t="s">
        <v>99</v>
      </c>
      <c r="C11" s="169">
        <v>46115</v>
      </c>
      <c r="D11" s="169"/>
      <c r="E11" s="169"/>
      <c r="F11" s="169"/>
      <c r="G11" s="169"/>
      <c r="H11" s="169"/>
    </row>
    <row r="12" spans="1:9" ht="13.8" x14ac:dyDescent="0.3">
      <c r="A12" s="192"/>
      <c r="B12" s="53" t="s">
        <v>75</v>
      </c>
      <c r="C12" s="162" t="s">
        <v>439</v>
      </c>
      <c r="D12" s="162"/>
      <c r="E12" s="162"/>
      <c r="F12" s="162"/>
      <c r="G12" s="162"/>
      <c r="H12" s="162"/>
    </row>
    <row r="13" spans="1:9" ht="13.8" x14ac:dyDescent="0.3">
      <c r="A13" s="192"/>
      <c r="B13" s="53" t="s">
        <v>177</v>
      </c>
      <c r="C13" s="188" t="s">
        <v>440</v>
      </c>
      <c r="D13" s="188"/>
      <c r="E13" s="188"/>
      <c r="F13" s="188"/>
      <c r="G13" s="188"/>
      <c r="H13" s="188"/>
    </row>
    <row r="14" spans="1:9" s="69" customFormat="1" ht="4.2" x14ac:dyDescent="0.15">
      <c r="A14" s="72"/>
      <c r="B14" s="68"/>
      <c r="C14" s="163"/>
      <c r="D14" s="164"/>
      <c r="E14" s="164"/>
      <c r="F14" s="164"/>
      <c r="G14" s="164"/>
      <c r="H14" s="164"/>
    </row>
    <row r="15" spans="1:9" ht="13.8" x14ac:dyDescent="0.3">
      <c r="A15" s="168" t="s">
        <v>176</v>
      </c>
      <c r="B15" s="53" t="s">
        <v>67</v>
      </c>
      <c r="C15" s="162"/>
      <c r="D15" s="162"/>
      <c r="E15" s="162"/>
      <c r="F15" s="162"/>
      <c r="G15" s="162"/>
      <c r="H15" s="162"/>
      <c r="I15" s="65"/>
    </row>
    <row r="16" spans="1:9" ht="13.8" x14ac:dyDescent="0.3">
      <c r="A16" s="168"/>
      <c r="B16" s="53" t="s">
        <v>172</v>
      </c>
      <c r="C16" s="162"/>
      <c r="D16" s="162"/>
      <c r="E16" s="162"/>
      <c r="F16" s="162"/>
      <c r="G16" s="162"/>
      <c r="H16" s="162"/>
    </row>
    <row r="17" spans="1:8" ht="13.8" x14ac:dyDescent="0.3">
      <c r="A17" s="168"/>
      <c r="B17" s="53" t="s">
        <v>214</v>
      </c>
      <c r="C17" s="162"/>
      <c r="D17" s="162"/>
      <c r="E17" s="162"/>
      <c r="F17" s="162"/>
      <c r="G17" s="162"/>
      <c r="H17" s="162"/>
    </row>
    <row r="18" spans="1:8" s="69" customFormat="1" ht="4.2" x14ac:dyDescent="0.15">
      <c r="A18" s="73"/>
      <c r="B18" s="68"/>
      <c r="C18" s="163"/>
      <c r="D18" s="164"/>
      <c r="E18" s="164"/>
      <c r="F18" s="164"/>
      <c r="G18" s="164"/>
      <c r="H18" s="164"/>
    </row>
    <row r="19" spans="1:8" ht="13.8" x14ac:dyDescent="0.3">
      <c r="A19" s="177" t="s">
        <v>65</v>
      </c>
      <c r="B19" s="53" t="s">
        <v>65</v>
      </c>
      <c r="C19" s="162"/>
      <c r="D19" s="162"/>
      <c r="E19" s="162"/>
      <c r="F19" s="162"/>
      <c r="G19" s="162"/>
      <c r="H19" s="162"/>
    </row>
    <row r="20" spans="1:8" ht="13.8" x14ac:dyDescent="0.3">
      <c r="A20" s="177"/>
      <c r="B20" s="53" t="s">
        <v>173</v>
      </c>
      <c r="C20" s="162"/>
      <c r="D20" s="162"/>
      <c r="E20" s="162"/>
      <c r="F20" s="162"/>
      <c r="G20" s="162"/>
      <c r="H20" s="162"/>
    </row>
    <row r="21" spans="1:8" ht="13.8" x14ac:dyDescent="0.3">
      <c r="A21" s="177"/>
      <c r="B21" s="53" t="s">
        <v>171</v>
      </c>
      <c r="C21" s="162"/>
      <c r="D21" s="162"/>
      <c r="E21" s="162"/>
      <c r="F21" s="162"/>
      <c r="G21" s="162"/>
      <c r="H21" s="162"/>
    </row>
    <row r="22" spans="1:8" s="66" customFormat="1" ht="5.4" x14ac:dyDescent="0.15">
      <c r="A22" s="74"/>
      <c r="B22" s="67"/>
      <c r="C22" s="231"/>
      <c r="D22" s="232"/>
      <c r="E22" s="232"/>
      <c r="F22" s="232"/>
      <c r="G22" s="232"/>
      <c r="H22" s="232"/>
    </row>
    <row r="23" spans="1:8" ht="13.8" x14ac:dyDescent="0.3">
      <c r="A23" s="170" t="s">
        <v>180</v>
      </c>
      <c r="B23" s="53" t="s">
        <v>215</v>
      </c>
      <c r="C23" s="162"/>
      <c r="D23" s="162"/>
      <c r="E23" s="162"/>
      <c r="F23" s="162"/>
      <c r="G23" s="162"/>
      <c r="H23" s="162"/>
    </row>
    <row r="24" spans="1:8" ht="13.8" x14ac:dyDescent="0.3">
      <c r="A24" s="170"/>
      <c r="B24" s="53" t="s">
        <v>146</v>
      </c>
      <c r="C24" s="169"/>
      <c r="D24" s="169"/>
      <c r="E24" s="169"/>
      <c r="F24" s="169"/>
      <c r="G24" s="169"/>
      <c r="H24" s="169"/>
    </row>
    <row r="25" spans="1:8" ht="13.8" x14ac:dyDescent="0.3">
      <c r="A25" s="170"/>
      <c r="B25" s="53" t="s">
        <v>147</v>
      </c>
      <c r="C25" s="169" t="s">
        <v>427</v>
      </c>
      <c r="D25" s="169"/>
      <c r="E25" s="169"/>
      <c r="F25" s="169"/>
      <c r="G25" s="169"/>
      <c r="H25" s="169"/>
    </row>
    <row r="26" spans="1:8" ht="13.8" x14ac:dyDescent="0.3">
      <c r="A26" s="170"/>
      <c r="B26" s="53" t="s">
        <v>68</v>
      </c>
      <c r="C26" s="169"/>
      <c r="D26" s="162"/>
      <c r="E26" s="162"/>
      <c r="F26" s="162"/>
      <c r="G26" s="162"/>
      <c r="H26" s="162"/>
    </row>
    <row r="27" spans="1:8" ht="13.8" x14ac:dyDescent="0.3">
      <c r="A27" s="170"/>
      <c r="B27" s="53" t="s">
        <v>69</v>
      </c>
      <c r="C27" s="162"/>
      <c r="D27" s="162"/>
      <c r="E27" s="162"/>
      <c r="F27" s="162"/>
      <c r="G27" s="162"/>
      <c r="H27" s="162"/>
    </row>
    <row r="28" spans="1:8" ht="13.8" x14ac:dyDescent="0.3">
      <c r="A28" s="170"/>
      <c r="B28" s="53" t="s">
        <v>98</v>
      </c>
      <c r="C28" s="162" t="s">
        <v>290</v>
      </c>
      <c r="D28" s="162"/>
      <c r="E28" s="162"/>
      <c r="F28" s="162"/>
      <c r="G28" s="162"/>
      <c r="H28" s="162"/>
    </row>
    <row r="29" spans="1:8" s="69" customFormat="1" ht="4.2" x14ac:dyDescent="0.15">
      <c r="A29" s="72"/>
      <c r="B29" s="70"/>
      <c r="C29" s="163"/>
      <c r="D29" s="164"/>
      <c r="E29" s="164"/>
      <c r="F29" s="164"/>
      <c r="G29" s="164"/>
      <c r="H29" s="164"/>
    </row>
    <row r="30" spans="1:8" ht="13.8" x14ac:dyDescent="0.3">
      <c r="A30" s="180" t="s">
        <v>217</v>
      </c>
      <c r="B30" s="171" t="s">
        <v>137</v>
      </c>
      <c r="C30" s="165" t="s">
        <v>460</v>
      </c>
      <c r="D30" s="166"/>
      <c r="E30" s="166"/>
      <c r="F30" s="166"/>
      <c r="G30" s="166"/>
      <c r="H30" s="167"/>
    </row>
    <row r="31" spans="1:8" ht="13.8" x14ac:dyDescent="0.3">
      <c r="A31" s="180"/>
      <c r="B31" s="207"/>
      <c r="C31" s="165" t="s">
        <v>434</v>
      </c>
      <c r="D31" s="166"/>
      <c r="E31" s="166"/>
      <c r="F31" s="166"/>
      <c r="G31" s="166"/>
      <c r="H31" s="167"/>
    </row>
    <row r="32" spans="1:8" ht="13.8" x14ac:dyDescent="0.3">
      <c r="A32" s="180"/>
      <c r="B32" s="207"/>
      <c r="C32" s="165" t="s">
        <v>441</v>
      </c>
      <c r="D32" s="166"/>
      <c r="E32" s="166"/>
      <c r="F32" s="166"/>
      <c r="G32" s="166"/>
      <c r="H32" s="167"/>
    </row>
    <row r="33" spans="1:8" ht="13.8" x14ac:dyDescent="0.3">
      <c r="A33" s="180"/>
      <c r="B33" s="207"/>
      <c r="C33" s="165" t="s">
        <v>461</v>
      </c>
      <c r="D33" s="166"/>
      <c r="E33" s="166"/>
      <c r="F33" s="166"/>
      <c r="G33" s="166"/>
      <c r="H33" s="167"/>
    </row>
    <row r="34" spans="1:8" ht="13.8" x14ac:dyDescent="0.3">
      <c r="A34" s="180"/>
      <c r="B34" s="207"/>
    </row>
    <row r="35" spans="1:8" ht="13.8" x14ac:dyDescent="0.3">
      <c r="A35" s="180"/>
      <c r="B35" s="207"/>
      <c r="C35" s="165"/>
      <c r="D35" s="166"/>
      <c r="E35" s="166"/>
      <c r="F35" s="166"/>
      <c r="G35" s="166"/>
      <c r="H35" s="167"/>
    </row>
    <row r="36" spans="1:8" ht="13.8" x14ac:dyDescent="0.3">
      <c r="A36" s="180"/>
      <c r="B36" s="207"/>
      <c r="C36" s="162"/>
      <c r="D36" s="162"/>
      <c r="E36" s="162"/>
      <c r="F36" s="162"/>
      <c r="G36" s="162"/>
      <c r="H36" s="162"/>
    </row>
    <row r="37" spans="1:8" ht="13.8" x14ac:dyDescent="0.3">
      <c r="A37" s="180"/>
      <c r="B37" s="172"/>
      <c r="C37" s="165"/>
      <c r="D37" s="166"/>
      <c r="E37" s="166"/>
      <c r="F37" s="166"/>
      <c r="G37" s="166"/>
      <c r="H37" s="167"/>
    </row>
    <row r="38" spans="1:8" ht="13.8" x14ac:dyDescent="0.3">
      <c r="A38" s="180"/>
      <c r="B38" s="171" t="s">
        <v>216</v>
      </c>
      <c r="C38" s="162"/>
      <c r="D38" s="162"/>
      <c r="E38" s="162"/>
      <c r="F38" s="162"/>
      <c r="G38" s="162"/>
      <c r="H38" s="162"/>
    </row>
    <row r="39" spans="1:8" ht="13.8" x14ac:dyDescent="0.3">
      <c r="A39" s="180"/>
      <c r="B39" s="207"/>
      <c r="C39" s="162"/>
      <c r="D39" s="162"/>
      <c r="E39" s="162"/>
      <c r="F39" s="162"/>
      <c r="G39" s="162"/>
      <c r="H39" s="162"/>
    </row>
    <row r="40" spans="1:8" ht="13.8" x14ac:dyDescent="0.3">
      <c r="A40" s="180"/>
      <c r="B40" s="207"/>
      <c r="C40" s="162"/>
      <c r="D40" s="162"/>
      <c r="E40" s="162"/>
      <c r="F40" s="162"/>
      <c r="G40" s="162"/>
      <c r="H40" s="162"/>
    </row>
    <row r="41" spans="1:8" ht="13.8" x14ac:dyDescent="0.3">
      <c r="A41" s="180"/>
      <c r="B41" s="207"/>
      <c r="C41" s="162"/>
      <c r="D41" s="162"/>
      <c r="E41" s="162"/>
      <c r="F41" s="162"/>
      <c r="G41" s="162"/>
      <c r="H41" s="162"/>
    </row>
    <row r="42" spans="1:8" ht="13.8" x14ac:dyDescent="0.3">
      <c r="A42" s="180"/>
      <c r="B42" s="207"/>
      <c r="C42" s="165"/>
      <c r="D42" s="166"/>
      <c r="E42" s="166"/>
      <c r="F42" s="166"/>
      <c r="G42" s="166"/>
      <c r="H42" s="167"/>
    </row>
    <row r="43" spans="1:8" ht="13.8" x14ac:dyDescent="0.3">
      <c r="A43" s="180"/>
      <c r="B43" s="207"/>
      <c r="C43" s="165"/>
      <c r="D43" s="166"/>
      <c r="E43" s="166"/>
      <c r="F43" s="166"/>
      <c r="G43" s="166"/>
      <c r="H43" s="167"/>
    </row>
    <row r="44" spans="1:8" ht="13.8" x14ac:dyDescent="0.3">
      <c r="A44" s="180"/>
      <c r="B44" s="207"/>
      <c r="C44" s="236"/>
      <c r="D44" s="237"/>
      <c r="E44" s="237"/>
      <c r="F44" s="237"/>
      <c r="G44" s="237"/>
      <c r="H44" s="238"/>
    </row>
    <row r="45" spans="1:8" ht="13.8" x14ac:dyDescent="0.3">
      <c r="A45" s="180"/>
      <c r="B45" s="207"/>
      <c r="C45" s="236"/>
      <c r="D45" s="237"/>
      <c r="E45" s="237"/>
      <c r="F45" s="237"/>
      <c r="G45" s="237"/>
      <c r="H45" s="238"/>
    </row>
    <row r="46" spans="1:8" ht="13.8" x14ac:dyDescent="0.3">
      <c r="A46" s="180"/>
      <c r="B46" s="172"/>
      <c r="C46" s="239"/>
      <c r="D46" s="240"/>
      <c r="E46" s="240"/>
      <c r="F46" s="240"/>
      <c r="G46" s="240"/>
      <c r="H46" s="241"/>
    </row>
    <row r="47" spans="1:8" ht="13.8" x14ac:dyDescent="0.3">
      <c r="A47" s="180"/>
      <c r="B47" s="171" t="s">
        <v>185</v>
      </c>
      <c r="C47" s="75"/>
      <c r="D47" s="76"/>
      <c r="E47" s="244"/>
      <c r="F47" s="210"/>
      <c r="G47" s="210"/>
      <c r="H47" s="210"/>
    </row>
    <row r="48" spans="1:8" ht="13.8" x14ac:dyDescent="0.3">
      <c r="A48" s="180"/>
      <c r="B48" s="172"/>
      <c r="C48" s="75" t="s">
        <v>243</v>
      </c>
      <c r="D48" s="76"/>
      <c r="E48" s="245"/>
      <c r="F48" s="246"/>
      <c r="G48" s="246"/>
      <c r="H48" s="246"/>
    </row>
    <row r="49" spans="1:8" s="69" customFormat="1" ht="4.2" x14ac:dyDescent="0.15">
      <c r="A49" s="72"/>
      <c r="B49" s="71"/>
      <c r="C49" s="163"/>
      <c r="D49" s="164"/>
      <c r="E49" s="164"/>
      <c r="F49" s="164"/>
      <c r="G49" s="164"/>
      <c r="H49" s="164"/>
    </row>
    <row r="50" spans="1:8" ht="13.8" x14ac:dyDescent="0.3">
      <c r="A50" s="176" t="s">
        <v>181</v>
      </c>
      <c r="B50" s="53" t="s">
        <v>218</v>
      </c>
      <c r="C50" s="162" t="str">
        <f>C3&amp;" ("&amp;C5&amp;") "&amp;"-"&amp;" "&amp;C4</f>
        <v>Tianjin Grand Paper Industry Co., Ltd (ULTRASOUND GEL) - PO-TGP-2026-001</v>
      </c>
      <c r="D50" s="162"/>
      <c r="E50" s="162"/>
      <c r="F50" s="162"/>
      <c r="G50" s="162"/>
      <c r="H50" s="162"/>
    </row>
    <row r="51" spans="1:8" ht="13.8" x14ac:dyDescent="0.3">
      <c r="A51" s="176"/>
      <c r="B51" s="53" t="s">
        <v>71</v>
      </c>
      <c r="C51" s="165" t="str">
        <f>"AFC"&amp;" ("&amp;C$5&amp;") "&amp;"-"&amp;" "&amp;C$4&amp;" - CHINA TO UAE"</f>
        <v>AFC (ULTRASOUND GEL) - PO-TGP-2026-001 - CHINA TO UAE</v>
      </c>
      <c r="D51" s="166"/>
      <c r="E51" s="166"/>
      <c r="F51" s="166"/>
      <c r="G51" s="166"/>
      <c r="H51" s="167"/>
    </row>
  </sheetData>
  <mergeCells count="58">
    <mergeCell ref="C51:H51"/>
    <mergeCell ref="C1:H1"/>
    <mergeCell ref="B30:B37"/>
    <mergeCell ref="H7:H8"/>
    <mergeCell ref="E47:H47"/>
    <mergeCell ref="E48:H48"/>
    <mergeCell ref="B38:B46"/>
    <mergeCell ref="C25:H25"/>
    <mergeCell ref="C26:H26"/>
    <mergeCell ref="C27:H27"/>
    <mergeCell ref="C28:H28"/>
    <mergeCell ref="C29:H29"/>
    <mergeCell ref="C20:H20"/>
    <mergeCell ref="C21:H21"/>
    <mergeCell ref="C17:H17"/>
    <mergeCell ref="C18:H18"/>
    <mergeCell ref="C49:H49"/>
    <mergeCell ref="C50:H50"/>
    <mergeCell ref="C46:H46"/>
    <mergeCell ref="C2:H2"/>
    <mergeCell ref="C3:H3"/>
    <mergeCell ref="C4:H4"/>
    <mergeCell ref="C5:H5"/>
    <mergeCell ref="C9:H9"/>
    <mergeCell ref="C10:H10"/>
    <mergeCell ref="C11:H11"/>
    <mergeCell ref="C12:H12"/>
    <mergeCell ref="C13:H13"/>
    <mergeCell ref="C14:H14"/>
    <mergeCell ref="C22:H22"/>
    <mergeCell ref="C23:H23"/>
    <mergeCell ref="C16:H16"/>
    <mergeCell ref="C24:H24"/>
    <mergeCell ref="C15:H15"/>
    <mergeCell ref="C41:H41"/>
    <mergeCell ref="C42:H42"/>
    <mergeCell ref="C19:H19"/>
    <mergeCell ref="C37:H37"/>
    <mergeCell ref="C35:H35"/>
    <mergeCell ref="B47:B48"/>
    <mergeCell ref="C33:H33"/>
    <mergeCell ref="C31:H31"/>
    <mergeCell ref="C32:H32"/>
    <mergeCell ref="C30:H30"/>
    <mergeCell ref="C38:H38"/>
    <mergeCell ref="C39:H39"/>
    <mergeCell ref="C40:H40"/>
    <mergeCell ref="C45:H45"/>
    <mergeCell ref="C44:H44"/>
    <mergeCell ref="C43:H43"/>
    <mergeCell ref="C36:H36"/>
    <mergeCell ref="A50:A51"/>
    <mergeCell ref="A1:A8"/>
    <mergeCell ref="A10:A13"/>
    <mergeCell ref="A15:A17"/>
    <mergeCell ref="A19:A21"/>
    <mergeCell ref="A23:A28"/>
    <mergeCell ref="A30:A48"/>
  </mergeCells>
  <conditionalFormatting sqref="C30:C33">
    <cfRule type="containsText" dxfId="21" priority="1" operator="containsText" text="#">
      <formula>NOT(ISERROR(SEARCH("#",C30)))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C8B2-17C7-4758-9429-05A5B925D4AF}">
  <sheetPr>
    <tabColor rgb="FF9999FF"/>
  </sheetPr>
  <dimension ref="A1:H56"/>
  <sheetViews>
    <sheetView zoomScale="90" zoomScaleNormal="90" workbookViewId="0">
      <selection activeCell="M39" sqref="M39"/>
    </sheetView>
  </sheetViews>
  <sheetFormatPr defaultRowHeight="14.4" x14ac:dyDescent="0.3"/>
  <cols>
    <col min="1" max="1" width="23.109375" bestFit="1" customWidth="1"/>
    <col min="2" max="2" width="24.44140625" bestFit="1" customWidth="1"/>
    <col min="3" max="3" width="10.33203125" bestFit="1" customWidth="1"/>
    <col min="4" max="4" width="24.44140625" bestFit="1" customWidth="1"/>
    <col min="5" max="5" width="7.88671875" bestFit="1" customWidth="1"/>
    <col min="6" max="6" width="15.88671875" bestFit="1" customWidth="1"/>
    <col min="8" max="8" width="37.44140625" customWidth="1"/>
  </cols>
  <sheetData>
    <row r="1" spans="1:8" x14ac:dyDescent="0.3">
      <c r="A1" s="235" t="s">
        <v>198</v>
      </c>
      <c r="B1" s="53" t="s">
        <v>0</v>
      </c>
      <c r="C1" s="162">
        <v>2026</v>
      </c>
      <c r="D1" s="162"/>
      <c r="E1" s="162"/>
      <c r="F1" s="162"/>
      <c r="G1" s="162"/>
      <c r="H1" s="162"/>
    </row>
    <row r="2" spans="1:8" x14ac:dyDescent="0.3">
      <c r="A2" s="235"/>
      <c r="B2" s="53" t="s">
        <v>20</v>
      </c>
      <c r="C2" s="169">
        <v>46115</v>
      </c>
      <c r="D2" s="169"/>
      <c r="E2" s="169"/>
      <c r="F2" s="169"/>
      <c r="G2" s="169"/>
      <c r="H2" s="169"/>
    </row>
    <row r="3" spans="1:8" x14ac:dyDescent="0.3">
      <c r="A3" s="235"/>
      <c r="B3" s="53" t="s">
        <v>1</v>
      </c>
      <c r="C3" s="162" t="s">
        <v>442</v>
      </c>
      <c r="D3" s="162"/>
      <c r="E3" s="162"/>
      <c r="F3" s="162"/>
      <c r="G3" s="162"/>
      <c r="H3" s="162"/>
    </row>
    <row r="4" spans="1:8" x14ac:dyDescent="0.3">
      <c r="A4" s="235"/>
      <c r="B4" s="53" t="s">
        <v>213</v>
      </c>
      <c r="C4" s="162" t="s">
        <v>443</v>
      </c>
      <c r="D4" s="162"/>
      <c r="E4" s="162"/>
      <c r="F4" s="162"/>
      <c r="G4" s="162"/>
      <c r="H4" s="162"/>
    </row>
    <row r="5" spans="1:8" x14ac:dyDescent="0.3">
      <c r="A5" s="235"/>
      <c r="B5" s="53" t="s">
        <v>2</v>
      </c>
      <c r="C5" s="162" t="s">
        <v>110</v>
      </c>
      <c r="D5" s="162"/>
      <c r="E5" s="162"/>
      <c r="F5" s="162"/>
      <c r="G5" s="162"/>
      <c r="H5" s="162"/>
    </row>
    <row r="6" spans="1:8" x14ac:dyDescent="0.3">
      <c r="A6" s="235"/>
      <c r="B6" s="53"/>
      <c r="C6" s="59" t="s">
        <v>22</v>
      </c>
      <c r="D6" s="59" t="s">
        <v>199</v>
      </c>
      <c r="E6" s="60" t="s">
        <v>3</v>
      </c>
      <c r="F6" s="61" t="s">
        <v>25</v>
      </c>
      <c r="G6" s="61" t="s">
        <v>26</v>
      </c>
      <c r="H6" s="61" t="s">
        <v>26</v>
      </c>
    </row>
    <row r="7" spans="1:8" x14ac:dyDescent="0.3">
      <c r="A7" s="235"/>
      <c r="B7" s="53" t="s">
        <v>223</v>
      </c>
      <c r="C7" s="62" t="s">
        <v>444</v>
      </c>
      <c r="D7" s="62" t="s">
        <v>445</v>
      </c>
      <c r="E7" s="63">
        <v>6500</v>
      </c>
      <c r="F7" s="158">
        <v>0.79800000000000004</v>
      </c>
      <c r="G7" s="64">
        <f>E7*F7</f>
        <v>5187</v>
      </c>
      <c r="H7" s="242">
        <f>SUM(G7:G11)-G12</f>
        <v>64504.25</v>
      </c>
    </row>
    <row r="8" spans="1:8" x14ac:dyDescent="0.3">
      <c r="A8" s="235"/>
      <c r="B8" s="53" t="s">
        <v>224</v>
      </c>
      <c r="C8" s="62" t="s">
        <v>446</v>
      </c>
      <c r="D8" s="62" t="s">
        <v>447</v>
      </c>
      <c r="E8" s="63">
        <v>10000</v>
      </c>
      <c r="F8" s="158">
        <v>1.3</v>
      </c>
      <c r="G8" s="64">
        <f t="shared" ref="G8:G10" si="0">E8*F8</f>
        <v>13000</v>
      </c>
      <c r="H8" s="257"/>
    </row>
    <row r="9" spans="1:8" x14ac:dyDescent="0.3">
      <c r="A9" s="235"/>
      <c r="B9" s="53" t="s">
        <v>225</v>
      </c>
      <c r="C9" s="62" t="s">
        <v>448</v>
      </c>
      <c r="D9" s="62" t="s">
        <v>449</v>
      </c>
      <c r="E9" s="63">
        <v>10800</v>
      </c>
      <c r="F9" s="158">
        <v>1.98</v>
      </c>
      <c r="G9" s="64">
        <f t="shared" si="0"/>
        <v>21384</v>
      </c>
      <c r="H9" s="257"/>
    </row>
    <row r="10" spans="1:8" x14ac:dyDescent="0.3">
      <c r="A10" s="235"/>
      <c r="B10" s="53" t="s">
        <v>226</v>
      </c>
      <c r="C10" s="62" t="s">
        <v>450</v>
      </c>
      <c r="D10" s="62" t="s">
        <v>451</v>
      </c>
      <c r="E10" s="63">
        <v>10920</v>
      </c>
      <c r="F10" s="158">
        <v>2.15</v>
      </c>
      <c r="G10" s="64">
        <f t="shared" si="0"/>
        <v>23478</v>
      </c>
      <c r="H10" s="257"/>
    </row>
    <row r="11" spans="1:8" ht="23.4" x14ac:dyDescent="0.3">
      <c r="A11" s="159"/>
      <c r="B11" s="53" t="s">
        <v>227</v>
      </c>
      <c r="C11" s="62" t="s">
        <v>464</v>
      </c>
      <c r="D11" s="62" t="s">
        <v>465</v>
      </c>
      <c r="E11" s="63">
        <v>5000</v>
      </c>
      <c r="F11" s="158">
        <v>0.39500000000000002</v>
      </c>
      <c r="G11" s="64">
        <f>E11*F11</f>
        <v>1975</v>
      </c>
      <c r="H11" s="257"/>
    </row>
    <row r="12" spans="1:8" ht="15.75" customHeight="1" x14ac:dyDescent="0.3">
      <c r="A12" s="159"/>
      <c r="F12" s="160" t="s">
        <v>468</v>
      </c>
      <c r="G12" s="160">
        <v>519.75</v>
      </c>
      <c r="H12" s="243"/>
    </row>
    <row r="13" spans="1:8" x14ac:dyDescent="0.3">
      <c r="A13" s="72"/>
      <c r="B13" s="68"/>
      <c r="C13" s="200"/>
      <c r="D13" s="201"/>
      <c r="E13" s="201"/>
      <c r="F13" s="201"/>
      <c r="G13" s="201"/>
      <c r="H13" s="201"/>
    </row>
    <row r="14" spans="1:8" x14ac:dyDescent="0.3">
      <c r="A14" s="192" t="s">
        <v>175</v>
      </c>
      <c r="B14" s="53" t="s">
        <v>466</v>
      </c>
      <c r="C14" s="252">
        <v>22529.25</v>
      </c>
      <c r="D14" s="253"/>
      <c r="E14" s="252">
        <f>H7-C14</f>
        <v>41975</v>
      </c>
      <c r="F14" s="237"/>
      <c r="G14" s="237"/>
      <c r="H14" s="238"/>
    </row>
    <row r="15" spans="1:8" x14ac:dyDescent="0.3">
      <c r="A15" s="192"/>
      <c r="B15" s="53" t="s">
        <v>62</v>
      </c>
      <c r="C15" s="236" t="s">
        <v>478</v>
      </c>
      <c r="D15" s="238"/>
      <c r="E15" s="236" t="s">
        <v>467</v>
      </c>
      <c r="F15" s="237"/>
      <c r="G15" s="237"/>
      <c r="H15" s="238"/>
    </row>
    <row r="16" spans="1:8" x14ac:dyDescent="0.3">
      <c r="A16" s="192"/>
      <c r="B16" s="53" t="s">
        <v>99</v>
      </c>
      <c r="C16" s="254">
        <v>46126</v>
      </c>
      <c r="D16" s="255"/>
      <c r="E16" s="254"/>
      <c r="F16" s="256"/>
      <c r="G16" s="256"/>
      <c r="H16" s="255"/>
    </row>
    <row r="17" spans="1:8" x14ac:dyDescent="0.3">
      <c r="A17" s="192"/>
      <c r="B17" s="53" t="s">
        <v>75</v>
      </c>
      <c r="C17" s="236" t="s">
        <v>76</v>
      </c>
      <c r="D17" s="238"/>
      <c r="E17" s="236"/>
      <c r="F17" s="237"/>
      <c r="G17" s="237"/>
      <c r="H17" s="238"/>
    </row>
    <row r="18" spans="1:8" x14ac:dyDescent="0.3">
      <c r="A18" s="192"/>
      <c r="B18" s="53" t="s">
        <v>177</v>
      </c>
      <c r="C18" s="249" t="s">
        <v>479</v>
      </c>
      <c r="D18" s="250"/>
      <c r="E18" s="250"/>
      <c r="F18" s="250"/>
      <c r="G18" s="250"/>
      <c r="H18" s="251"/>
    </row>
    <row r="19" spans="1:8" x14ac:dyDescent="0.3">
      <c r="A19" s="72"/>
      <c r="B19" s="68"/>
      <c r="C19" s="163"/>
      <c r="D19" s="164"/>
      <c r="E19" s="164"/>
      <c r="F19" s="164"/>
      <c r="G19" s="164"/>
      <c r="H19" s="164"/>
    </row>
    <row r="20" spans="1:8" x14ac:dyDescent="0.3">
      <c r="A20" s="168" t="s">
        <v>176</v>
      </c>
      <c r="B20" s="53" t="s">
        <v>67</v>
      </c>
      <c r="C20" s="162"/>
      <c r="D20" s="162"/>
      <c r="E20" s="162"/>
      <c r="F20" s="162"/>
      <c r="G20" s="162"/>
      <c r="H20" s="162"/>
    </row>
    <row r="21" spans="1:8" x14ac:dyDescent="0.3">
      <c r="A21" s="168"/>
      <c r="B21" s="53" t="s">
        <v>172</v>
      </c>
      <c r="C21" s="162"/>
      <c r="D21" s="162"/>
      <c r="E21" s="162"/>
      <c r="F21" s="162"/>
      <c r="G21" s="162"/>
      <c r="H21" s="162"/>
    </row>
    <row r="22" spans="1:8" x14ac:dyDescent="0.3">
      <c r="A22" s="168"/>
      <c r="B22" s="53" t="s">
        <v>214</v>
      </c>
      <c r="C22" s="162"/>
      <c r="D22" s="162"/>
      <c r="E22" s="162"/>
      <c r="F22" s="162"/>
      <c r="G22" s="162"/>
      <c r="H22" s="162"/>
    </row>
    <row r="23" spans="1:8" x14ac:dyDescent="0.3">
      <c r="A23" s="73"/>
      <c r="B23" s="68"/>
      <c r="C23" s="163"/>
      <c r="D23" s="164"/>
      <c r="E23" s="164"/>
      <c r="F23" s="164"/>
      <c r="G23" s="164"/>
      <c r="H23" s="164"/>
    </row>
    <row r="24" spans="1:8" x14ac:dyDescent="0.3">
      <c r="A24" s="177" t="s">
        <v>65</v>
      </c>
      <c r="B24" s="53" t="s">
        <v>65</v>
      </c>
      <c r="C24" s="162"/>
      <c r="D24" s="162"/>
      <c r="E24" s="162"/>
      <c r="F24" s="162"/>
      <c r="G24" s="162"/>
      <c r="H24" s="162"/>
    </row>
    <row r="25" spans="1:8" x14ac:dyDescent="0.3">
      <c r="A25" s="177"/>
      <c r="B25" s="53" t="s">
        <v>173</v>
      </c>
      <c r="C25" s="162"/>
      <c r="D25" s="162"/>
      <c r="E25" s="162"/>
      <c r="F25" s="162"/>
      <c r="G25" s="162"/>
      <c r="H25" s="162"/>
    </row>
    <row r="26" spans="1:8" x14ac:dyDescent="0.3">
      <c r="A26" s="177"/>
      <c r="B26" s="53" t="s">
        <v>171</v>
      </c>
      <c r="C26" s="162"/>
      <c r="D26" s="162"/>
      <c r="E26" s="162"/>
      <c r="F26" s="162"/>
      <c r="G26" s="162"/>
      <c r="H26" s="162"/>
    </row>
    <row r="27" spans="1:8" x14ac:dyDescent="0.3">
      <c r="A27" s="74"/>
      <c r="B27" s="67"/>
      <c r="C27" s="231"/>
      <c r="D27" s="232"/>
      <c r="E27" s="232"/>
      <c r="F27" s="232"/>
      <c r="G27" s="232"/>
      <c r="H27" s="232"/>
    </row>
    <row r="28" spans="1:8" x14ac:dyDescent="0.3">
      <c r="A28" s="170" t="s">
        <v>180</v>
      </c>
      <c r="B28" s="53" t="s">
        <v>215</v>
      </c>
      <c r="C28" s="162"/>
      <c r="D28" s="162"/>
      <c r="E28" s="162"/>
      <c r="F28" s="162"/>
      <c r="G28" s="162"/>
      <c r="H28" s="162"/>
    </row>
    <row r="29" spans="1:8" x14ac:dyDescent="0.3">
      <c r="A29" s="170"/>
      <c r="B29" s="53" t="s">
        <v>146</v>
      </c>
      <c r="C29" s="169"/>
      <c r="D29" s="169"/>
      <c r="E29" s="169"/>
      <c r="F29" s="169"/>
      <c r="G29" s="169"/>
      <c r="H29" s="169"/>
    </row>
    <row r="30" spans="1:8" x14ac:dyDescent="0.3">
      <c r="A30" s="170"/>
      <c r="B30" s="53" t="s">
        <v>147</v>
      </c>
      <c r="C30" s="169" t="s">
        <v>427</v>
      </c>
      <c r="D30" s="169"/>
      <c r="E30" s="169"/>
      <c r="F30" s="169"/>
      <c r="G30" s="169"/>
      <c r="H30" s="169"/>
    </row>
    <row r="31" spans="1:8" x14ac:dyDescent="0.3">
      <c r="A31" s="170"/>
      <c r="B31" s="53" t="s">
        <v>68</v>
      </c>
      <c r="C31" s="169"/>
      <c r="D31" s="162"/>
      <c r="E31" s="162"/>
      <c r="F31" s="162"/>
      <c r="G31" s="162"/>
      <c r="H31" s="162"/>
    </row>
    <row r="32" spans="1:8" x14ac:dyDescent="0.3">
      <c r="A32" s="170"/>
      <c r="B32" s="53" t="s">
        <v>69</v>
      </c>
      <c r="C32" s="162"/>
      <c r="D32" s="162"/>
      <c r="E32" s="162"/>
      <c r="F32" s="162"/>
      <c r="G32" s="162"/>
      <c r="H32" s="162"/>
    </row>
    <row r="33" spans="1:8" x14ac:dyDescent="0.3">
      <c r="A33" s="170"/>
      <c r="B33" s="53" t="s">
        <v>98</v>
      </c>
      <c r="C33" s="162" t="s">
        <v>290</v>
      </c>
      <c r="D33" s="162"/>
      <c r="E33" s="162"/>
      <c r="F33" s="162"/>
      <c r="G33" s="162"/>
      <c r="H33" s="162"/>
    </row>
    <row r="34" spans="1:8" ht="19.8" x14ac:dyDescent="0.4">
      <c r="A34" s="72"/>
      <c r="B34" s="70"/>
      <c r="C34" s="247" t="s">
        <v>474</v>
      </c>
      <c r="D34" s="248"/>
      <c r="E34" s="248"/>
      <c r="F34" s="248"/>
      <c r="G34" s="248"/>
      <c r="H34" s="248"/>
    </row>
    <row r="35" spans="1:8" x14ac:dyDescent="0.3">
      <c r="A35" s="180" t="s">
        <v>217</v>
      </c>
      <c r="B35" s="171" t="s">
        <v>137</v>
      </c>
      <c r="C35" s="165" t="s">
        <v>477</v>
      </c>
      <c r="D35" s="166"/>
      <c r="E35" s="166"/>
      <c r="F35" s="166"/>
      <c r="G35" s="166"/>
      <c r="H35" s="167"/>
    </row>
    <row r="36" spans="1:8" x14ac:dyDescent="0.3">
      <c r="A36" s="180"/>
      <c r="B36" s="207"/>
      <c r="C36" s="165" t="s">
        <v>454</v>
      </c>
      <c r="D36" s="166"/>
      <c r="E36" s="166"/>
      <c r="F36" s="166"/>
      <c r="G36" s="166"/>
      <c r="H36" s="167"/>
    </row>
    <row r="37" spans="1:8" x14ac:dyDescent="0.3">
      <c r="A37" s="180"/>
      <c r="B37" s="207"/>
      <c r="C37" s="165" t="s">
        <v>476</v>
      </c>
      <c r="D37" s="166"/>
      <c r="E37" s="166"/>
      <c r="F37" s="166"/>
      <c r="G37" s="166"/>
      <c r="H37" s="167"/>
    </row>
    <row r="38" spans="1:8" x14ac:dyDescent="0.3">
      <c r="A38" s="180"/>
      <c r="B38" s="207"/>
      <c r="C38" s="162"/>
      <c r="D38" s="162"/>
      <c r="E38" s="162"/>
      <c r="F38" s="162"/>
      <c r="G38" s="162"/>
      <c r="H38" s="162"/>
    </row>
    <row r="39" spans="1:8" x14ac:dyDescent="0.3">
      <c r="A39" s="180"/>
      <c r="B39" s="207"/>
      <c r="C39" s="165"/>
      <c r="D39" s="166"/>
      <c r="E39" s="166"/>
      <c r="F39" s="166"/>
      <c r="G39" s="166"/>
      <c r="H39" s="167"/>
    </row>
    <row r="40" spans="1:8" x14ac:dyDescent="0.3">
      <c r="A40" s="180"/>
      <c r="B40" s="207"/>
      <c r="C40" s="165"/>
      <c r="D40" s="166"/>
      <c r="E40" s="166"/>
      <c r="F40" s="166"/>
      <c r="G40" s="166"/>
      <c r="H40" s="167"/>
    </row>
    <row r="41" spans="1:8" x14ac:dyDescent="0.3">
      <c r="A41" s="180"/>
      <c r="B41" s="207"/>
      <c r="C41" s="162"/>
      <c r="D41" s="162"/>
      <c r="E41" s="162"/>
      <c r="F41" s="162"/>
      <c r="G41" s="162"/>
      <c r="H41" s="162"/>
    </row>
    <row r="42" spans="1:8" x14ac:dyDescent="0.3">
      <c r="A42" s="180"/>
      <c r="B42" s="172"/>
      <c r="C42" s="165"/>
      <c r="D42" s="166"/>
      <c r="E42" s="166"/>
      <c r="F42" s="166"/>
      <c r="G42" s="166"/>
      <c r="H42" s="167"/>
    </row>
    <row r="43" spans="1:8" x14ac:dyDescent="0.3">
      <c r="A43" s="180"/>
      <c r="B43" s="171" t="s">
        <v>216</v>
      </c>
      <c r="C43" s="162"/>
      <c r="D43" s="162"/>
      <c r="E43" s="162"/>
      <c r="F43" s="162"/>
      <c r="G43" s="162"/>
      <c r="H43" s="162"/>
    </row>
    <row r="44" spans="1:8" x14ac:dyDescent="0.3">
      <c r="A44" s="180"/>
      <c r="B44" s="207"/>
      <c r="C44" s="162"/>
      <c r="D44" s="162"/>
      <c r="E44" s="162"/>
      <c r="F44" s="162"/>
      <c r="G44" s="162"/>
      <c r="H44" s="162"/>
    </row>
    <row r="45" spans="1:8" x14ac:dyDescent="0.3">
      <c r="A45" s="180"/>
      <c r="B45" s="207"/>
      <c r="C45" s="162"/>
      <c r="D45" s="162"/>
      <c r="E45" s="162"/>
      <c r="F45" s="162"/>
      <c r="G45" s="162"/>
      <c r="H45" s="162"/>
    </row>
    <row r="46" spans="1:8" x14ac:dyDescent="0.3">
      <c r="A46" s="180"/>
      <c r="B46" s="207"/>
      <c r="C46" s="162"/>
      <c r="D46" s="162"/>
      <c r="E46" s="162"/>
      <c r="F46" s="162"/>
      <c r="G46" s="162"/>
      <c r="H46" s="162"/>
    </row>
    <row r="47" spans="1:8" x14ac:dyDescent="0.3">
      <c r="A47" s="180"/>
      <c r="B47" s="207"/>
      <c r="C47" s="165"/>
      <c r="D47" s="166"/>
      <c r="E47" s="166"/>
      <c r="F47" s="166"/>
      <c r="G47" s="166"/>
      <c r="H47" s="167"/>
    </row>
    <row r="48" spans="1:8" x14ac:dyDescent="0.3">
      <c r="A48" s="180"/>
      <c r="B48" s="207"/>
      <c r="C48" s="165"/>
      <c r="D48" s="166"/>
      <c r="E48" s="166"/>
      <c r="F48" s="166"/>
      <c r="G48" s="166"/>
      <c r="H48" s="167"/>
    </row>
    <row r="49" spans="1:8" x14ac:dyDescent="0.3">
      <c r="A49" s="180"/>
      <c r="B49" s="207"/>
      <c r="C49" s="236"/>
      <c r="D49" s="237"/>
      <c r="E49" s="237"/>
      <c r="F49" s="237"/>
      <c r="G49" s="237"/>
      <c r="H49" s="238"/>
    </row>
    <row r="50" spans="1:8" x14ac:dyDescent="0.3">
      <c r="A50" s="180"/>
      <c r="B50" s="207"/>
      <c r="C50" s="236"/>
      <c r="D50" s="237"/>
      <c r="E50" s="237"/>
      <c r="F50" s="237"/>
      <c r="G50" s="237"/>
      <c r="H50" s="238"/>
    </row>
    <row r="51" spans="1:8" x14ac:dyDescent="0.3">
      <c r="A51" s="180"/>
      <c r="B51" s="172"/>
      <c r="C51" s="239"/>
      <c r="D51" s="240"/>
      <c r="E51" s="240"/>
      <c r="F51" s="240"/>
      <c r="G51" s="240"/>
      <c r="H51" s="241"/>
    </row>
    <row r="52" spans="1:8" x14ac:dyDescent="0.3">
      <c r="A52" s="180"/>
      <c r="B52" s="171" t="s">
        <v>185</v>
      </c>
      <c r="C52" s="75"/>
      <c r="D52" s="76"/>
      <c r="E52" s="244"/>
      <c r="F52" s="210"/>
      <c r="G52" s="210"/>
      <c r="H52" s="210"/>
    </row>
    <row r="53" spans="1:8" x14ac:dyDescent="0.3">
      <c r="A53" s="180"/>
      <c r="B53" s="172"/>
      <c r="C53" s="75" t="s">
        <v>243</v>
      </c>
      <c r="D53" s="76"/>
      <c r="E53" s="245"/>
      <c r="F53" s="246"/>
      <c r="G53" s="246"/>
      <c r="H53" s="246"/>
    </row>
    <row r="54" spans="1:8" x14ac:dyDescent="0.3">
      <c r="A54" s="72"/>
      <c r="B54" s="71"/>
      <c r="C54" s="163"/>
      <c r="D54" s="164"/>
      <c r="E54" s="164"/>
      <c r="F54" s="164"/>
      <c r="G54" s="164"/>
      <c r="H54" s="164"/>
    </row>
    <row r="55" spans="1:8" x14ac:dyDescent="0.3">
      <c r="A55" s="176" t="s">
        <v>181</v>
      </c>
      <c r="B55" s="53" t="s">
        <v>218</v>
      </c>
      <c r="C55" s="162" t="str">
        <f>C3&amp;" ("&amp;C5&amp;") "&amp;"-"&amp;" "&amp;C4</f>
        <v>JIUJIANG HUADA MEDICAL DRESSING CO., LTD. (GAUZE) - PO/JHMD-2026/001</v>
      </c>
      <c r="D55" s="162"/>
      <c r="E55" s="162"/>
      <c r="F55" s="162"/>
      <c r="G55" s="162"/>
      <c r="H55" s="162"/>
    </row>
    <row r="56" spans="1:8" x14ac:dyDescent="0.3">
      <c r="A56" s="176"/>
      <c r="B56" s="53" t="s">
        <v>71</v>
      </c>
      <c r="C56" s="165" t="str">
        <f>"AFC"&amp;" ("&amp;C$5&amp;") "&amp;"-"&amp;" "&amp;C$4&amp;" - CHINA TO UAE"</f>
        <v>AFC (GAUZE) - PO/JHMD-2026/001 - CHINA TO UAE</v>
      </c>
      <c r="D56" s="166"/>
      <c r="E56" s="166"/>
      <c r="F56" s="166"/>
      <c r="G56" s="166"/>
      <c r="H56" s="167"/>
    </row>
  </sheetData>
  <mergeCells count="64">
    <mergeCell ref="A1:A10"/>
    <mergeCell ref="C1:H1"/>
    <mergeCell ref="C2:H2"/>
    <mergeCell ref="C3:H3"/>
    <mergeCell ref="C4:H4"/>
    <mergeCell ref="C5:H5"/>
    <mergeCell ref="H7:H12"/>
    <mergeCell ref="C23:H23"/>
    <mergeCell ref="C13:H13"/>
    <mergeCell ref="A14:A18"/>
    <mergeCell ref="C19:H19"/>
    <mergeCell ref="A20:A22"/>
    <mergeCell ref="C20:H20"/>
    <mergeCell ref="C21:H21"/>
    <mergeCell ref="C22:H22"/>
    <mergeCell ref="C14:D14"/>
    <mergeCell ref="C16:D16"/>
    <mergeCell ref="C17:D17"/>
    <mergeCell ref="E14:H14"/>
    <mergeCell ref="E16:H16"/>
    <mergeCell ref="E17:H17"/>
    <mergeCell ref="C15:D15"/>
    <mergeCell ref="E15:H15"/>
    <mergeCell ref="A24:A26"/>
    <mergeCell ref="C24:H24"/>
    <mergeCell ref="C25:H25"/>
    <mergeCell ref="C26:H26"/>
    <mergeCell ref="C27:H27"/>
    <mergeCell ref="A28:A33"/>
    <mergeCell ref="C28:H28"/>
    <mergeCell ref="C29:H29"/>
    <mergeCell ref="C30:H30"/>
    <mergeCell ref="C31:H31"/>
    <mergeCell ref="C32:H32"/>
    <mergeCell ref="C33:H33"/>
    <mergeCell ref="A35:A53"/>
    <mergeCell ref="B35:B42"/>
    <mergeCell ref="C35:H35"/>
    <mergeCell ref="C36:H36"/>
    <mergeCell ref="C37:H37"/>
    <mergeCell ref="C38:H38"/>
    <mergeCell ref="C39:H39"/>
    <mergeCell ref="C40:H40"/>
    <mergeCell ref="C45:H45"/>
    <mergeCell ref="C46:H46"/>
    <mergeCell ref="C47:H47"/>
    <mergeCell ref="C48:H48"/>
    <mergeCell ref="C44:H44"/>
    <mergeCell ref="C34:H34"/>
    <mergeCell ref="C18:H18"/>
    <mergeCell ref="C54:H54"/>
    <mergeCell ref="A55:A56"/>
    <mergeCell ref="C55:H55"/>
    <mergeCell ref="C56:H56"/>
    <mergeCell ref="C49:H49"/>
    <mergeCell ref="C50:H50"/>
    <mergeCell ref="C51:H51"/>
    <mergeCell ref="B52:B53"/>
    <mergeCell ref="E52:H52"/>
    <mergeCell ref="E53:H53"/>
    <mergeCell ref="C41:H41"/>
    <mergeCell ref="C42:H42"/>
    <mergeCell ref="B43:B51"/>
    <mergeCell ref="C43:H43"/>
  </mergeCells>
  <phoneticPr fontId="3" type="noConversion"/>
  <conditionalFormatting sqref="C35:C37">
    <cfRule type="containsText" dxfId="20" priority="1" operator="containsText" text="#">
      <formula>NOT(ISERROR(SEARCH("#",C35)))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972C-D241-4C4F-92CD-AD59DE6DDECF}">
  <dimension ref="A1:I54"/>
  <sheetViews>
    <sheetView zoomScale="90" zoomScaleNormal="90" workbookViewId="0">
      <selection activeCell="E50" sqref="E50:H50"/>
    </sheetView>
  </sheetViews>
  <sheetFormatPr defaultColWidth="23.5546875" defaultRowHeight="23.4" x14ac:dyDescent="0.3"/>
  <cols>
    <col min="1" max="1" width="23.44140625" style="56" bestFit="1" customWidth="1"/>
    <col min="2" max="2" width="26.109375" style="2" bestFit="1" customWidth="1"/>
    <col min="3" max="3" width="25.33203125" style="58" bestFit="1" customWidth="1"/>
    <col min="4" max="4" width="32.109375" style="58" bestFit="1" customWidth="1"/>
    <col min="5" max="5" width="6.33203125" style="58" bestFit="1" customWidth="1"/>
    <col min="6" max="6" width="14" style="58" bestFit="1" customWidth="1"/>
    <col min="7" max="7" width="10.33203125" style="58" bestFit="1" customWidth="1"/>
    <col min="8" max="8" width="62.88671875" style="58" customWidth="1"/>
    <col min="9" max="16384" width="23.5546875" style="2"/>
  </cols>
  <sheetData>
    <row r="1" spans="1:8" ht="13.8" x14ac:dyDescent="0.3">
      <c r="A1" s="186" t="s">
        <v>198</v>
      </c>
      <c r="B1" s="53" t="s">
        <v>0</v>
      </c>
      <c r="C1" s="162">
        <v>2026</v>
      </c>
      <c r="D1" s="162"/>
      <c r="E1" s="162"/>
      <c r="F1" s="162"/>
      <c r="G1" s="162"/>
      <c r="H1" s="162"/>
    </row>
    <row r="2" spans="1:8" ht="13.8" x14ac:dyDescent="0.3">
      <c r="A2" s="187"/>
      <c r="B2" s="53" t="s">
        <v>20</v>
      </c>
      <c r="C2" s="169">
        <v>46057</v>
      </c>
      <c r="D2" s="169"/>
      <c r="E2" s="169"/>
      <c r="F2" s="169"/>
      <c r="G2" s="169"/>
      <c r="H2" s="169"/>
    </row>
    <row r="3" spans="1:8" ht="13.8" x14ac:dyDescent="0.3">
      <c r="A3" s="187"/>
      <c r="B3" s="53" t="s">
        <v>1</v>
      </c>
      <c r="C3" s="162" t="s">
        <v>272</v>
      </c>
      <c r="D3" s="162"/>
      <c r="E3" s="162"/>
      <c r="F3" s="162"/>
      <c r="G3" s="162"/>
      <c r="H3" s="162"/>
    </row>
    <row r="4" spans="1:8" ht="13.8" x14ac:dyDescent="0.3">
      <c r="A4" s="187"/>
      <c r="B4" s="53" t="s">
        <v>213</v>
      </c>
      <c r="C4" s="162" t="s">
        <v>291</v>
      </c>
      <c r="D4" s="162"/>
      <c r="E4" s="162"/>
      <c r="F4" s="162"/>
      <c r="G4" s="162"/>
      <c r="H4" s="162"/>
    </row>
    <row r="5" spans="1:8" ht="13.8" x14ac:dyDescent="0.3">
      <c r="A5" s="187"/>
      <c r="B5" s="53" t="s">
        <v>2</v>
      </c>
      <c r="C5" s="162" t="s">
        <v>271</v>
      </c>
      <c r="D5" s="162"/>
      <c r="E5" s="162"/>
      <c r="F5" s="162"/>
      <c r="G5" s="162"/>
      <c r="H5" s="162"/>
    </row>
    <row r="6" spans="1:8" ht="14.4" thickBot="1" x14ac:dyDescent="0.35">
      <c r="A6" s="187"/>
      <c r="B6" s="53"/>
      <c r="C6" s="59" t="s">
        <v>22</v>
      </c>
      <c r="D6" s="59" t="s">
        <v>199</v>
      </c>
      <c r="E6" s="60" t="s">
        <v>3</v>
      </c>
      <c r="F6" s="61" t="s">
        <v>295</v>
      </c>
      <c r="G6" s="61" t="s">
        <v>296</v>
      </c>
      <c r="H6" s="111" t="s">
        <v>296</v>
      </c>
    </row>
    <row r="7" spans="1:8" ht="13.8" x14ac:dyDescent="0.3">
      <c r="A7" s="187"/>
      <c r="B7" s="53" t="s">
        <v>223</v>
      </c>
      <c r="C7" s="62" t="s">
        <v>279</v>
      </c>
      <c r="D7" s="62" t="s">
        <v>280</v>
      </c>
      <c r="E7" s="63">
        <v>120</v>
      </c>
      <c r="F7" s="64">
        <v>2.9</v>
      </c>
      <c r="G7" s="121">
        <f t="shared" ref="G7:G10" si="0">(E7*F7)</f>
        <v>348</v>
      </c>
      <c r="H7" s="123">
        <f>SUM(G7:G11)-G12</f>
        <v>13363.2</v>
      </c>
    </row>
    <row r="8" spans="1:8" ht="13.8" x14ac:dyDescent="0.3">
      <c r="A8" s="187"/>
      <c r="B8" s="53" t="s">
        <v>224</v>
      </c>
      <c r="C8" s="62" t="s">
        <v>281</v>
      </c>
      <c r="D8" s="62" t="s">
        <v>282</v>
      </c>
      <c r="E8" s="63">
        <v>500</v>
      </c>
      <c r="F8" s="64">
        <v>2.9</v>
      </c>
      <c r="G8" s="121">
        <f t="shared" si="0"/>
        <v>1450</v>
      </c>
      <c r="H8" s="124"/>
    </row>
    <row r="9" spans="1:8" ht="13.8" x14ac:dyDescent="0.3">
      <c r="A9" s="187"/>
      <c r="B9" s="53" t="s">
        <v>225</v>
      </c>
      <c r="C9" s="62" t="s">
        <v>283</v>
      </c>
      <c r="D9" s="62" t="s">
        <v>284</v>
      </c>
      <c r="E9" s="63">
        <v>500</v>
      </c>
      <c r="F9" s="64">
        <v>2.9</v>
      </c>
      <c r="G9" s="121">
        <f t="shared" si="0"/>
        <v>1450</v>
      </c>
      <c r="H9" s="124"/>
    </row>
    <row r="10" spans="1:8" ht="13.8" x14ac:dyDescent="0.3">
      <c r="A10" s="187"/>
      <c r="B10" s="53" t="s">
        <v>226</v>
      </c>
      <c r="C10" s="62" t="s">
        <v>285</v>
      </c>
      <c r="D10" s="62" t="s">
        <v>286</v>
      </c>
      <c r="E10" s="63">
        <v>2000</v>
      </c>
      <c r="F10" s="64">
        <v>2.9</v>
      </c>
      <c r="G10" s="121">
        <f t="shared" si="0"/>
        <v>5800</v>
      </c>
      <c r="H10" s="124"/>
    </row>
    <row r="11" spans="1:8" ht="13.8" x14ac:dyDescent="0.3">
      <c r="A11" s="187"/>
      <c r="B11" s="53" t="s">
        <v>227</v>
      </c>
      <c r="C11" s="62" t="s">
        <v>287</v>
      </c>
      <c r="D11" s="62" t="s">
        <v>288</v>
      </c>
      <c r="E11" s="63">
        <v>2000</v>
      </c>
      <c r="F11" s="64">
        <v>2.9</v>
      </c>
      <c r="G11" s="121">
        <f>(E11*F11)</f>
        <v>5800</v>
      </c>
      <c r="H11" s="124"/>
    </row>
    <row r="12" spans="1:8" ht="36" customHeight="1" thickBot="1" x14ac:dyDescent="0.35">
      <c r="A12" s="187"/>
      <c r="B12" s="3"/>
      <c r="C12" s="264"/>
      <c r="D12" s="265"/>
      <c r="E12" s="3"/>
      <c r="F12" s="106" t="s">
        <v>289</v>
      </c>
      <c r="G12" s="122">
        <f>SUM(G7:G11)*0.1</f>
        <v>1484.8000000000002</v>
      </c>
      <c r="H12" s="125"/>
    </row>
    <row r="13" spans="1:8" s="69" customFormat="1" ht="4.2" x14ac:dyDescent="0.15">
      <c r="A13" s="72"/>
      <c r="B13" s="68"/>
      <c r="C13" s="200"/>
      <c r="D13" s="201"/>
      <c r="E13" s="201"/>
      <c r="F13" s="201"/>
      <c r="G13" s="201"/>
      <c r="H13" s="263"/>
    </row>
    <row r="14" spans="1:8" ht="13.8" x14ac:dyDescent="0.3">
      <c r="A14" s="192" t="s">
        <v>175</v>
      </c>
      <c r="B14" s="53" t="s">
        <v>62</v>
      </c>
      <c r="C14" s="162" t="s">
        <v>63</v>
      </c>
      <c r="D14" s="162"/>
      <c r="E14" s="162"/>
      <c r="F14" s="162"/>
      <c r="G14" s="162"/>
      <c r="H14" s="162"/>
    </row>
    <row r="15" spans="1:8" ht="13.8" x14ac:dyDescent="0.3">
      <c r="A15" s="192"/>
      <c r="B15" s="53" t="s">
        <v>99</v>
      </c>
      <c r="C15" s="169">
        <v>46064</v>
      </c>
      <c r="D15" s="169"/>
      <c r="E15" s="169"/>
      <c r="F15" s="169"/>
      <c r="G15" s="169"/>
      <c r="H15" s="169"/>
    </row>
    <row r="16" spans="1:8" ht="13.8" x14ac:dyDescent="0.3">
      <c r="A16" s="192"/>
      <c r="B16" s="53" t="s">
        <v>75</v>
      </c>
      <c r="C16" s="162" t="s">
        <v>76</v>
      </c>
      <c r="D16" s="162"/>
      <c r="E16" s="162"/>
      <c r="F16" s="162"/>
      <c r="G16" s="162"/>
      <c r="H16" s="162"/>
    </row>
    <row r="17" spans="1:9" ht="13.8" x14ac:dyDescent="0.3">
      <c r="A17" s="192"/>
      <c r="B17" s="53" t="s">
        <v>177</v>
      </c>
      <c r="C17" s="162">
        <v>20260206.010000002</v>
      </c>
      <c r="D17" s="162"/>
      <c r="E17" s="162"/>
      <c r="F17" s="162"/>
      <c r="G17" s="162"/>
      <c r="H17" s="162"/>
    </row>
    <row r="18" spans="1:9" s="69" customFormat="1" ht="4.2" x14ac:dyDescent="0.15">
      <c r="A18" s="72"/>
      <c r="B18" s="68"/>
      <c r="C18" s="163"/>
      <c r="D18" s="164"/>
      <c r="E18" s="164"/>
      <c r="F18" s="164"/>
      <c r="G18" s="164"/>
      <c r="H18" s="164"/>
    </row>
    <row r="19" spans="1:9" ht="13.8" x14ac:dyDescent="0.3">
      <c r="A19" s="168" t="s">
        <v>176</v>
      </c>
      <c r="B19" s="53" t="s">
        <v>67</v>
      </c>
      <c r="C19" s="188"/>
      <c r="D19" s="188"/>
      <c r="E19" s="188"/>
      <c r="F19" s="188"/>
      <c r="G19" s="188"/>
      <c r="H19" s="188"/>
      <c r="I19" s="65"/>
    </row>
    <row r="20" spans="1:9" ht="13.8" x14ac:dyDescent="0.3">
      <c r="A20" s="168"/>
      <c r="B20" s="53" t="s">
        <v>172</v>
      </c>
      <c r="C20" s="162"/>
      <c r="D20" s="162"/>
      <c r="E20" s="162"/>
      <c r="F20" s="162"/>
      <c r="G20" s="162"/>
      <c r="H20" s="162"/>
    </row>
    <row r="21" spans="1:9" ht="13.8" x14ac:dyDescent="0.3">
      <c r="A21" s="168"/>
      <c r="B21" s="53" t="s">
        <v>214</v>
      </c>
      <c r="C21" s="162" t="s">
        <v>430</v>
      </c>
      <c r="D21" s="162"/>
      <c r="E21" s="162"/>
      <c r="F21" s="162"/>
      <c r="G21" s="162"/>
      <c r="H21" s="162"/>
    </row>
    <row r="22" spans="1:9" s="69" customFormat="1" ht="4.2" x14ac:dyDescent="0.15">
      <c r="A22" s="73"/>
      <c r="B22" s="68"/>
      <c r="C22" s="163"/>
      <c r="D22" s="164"/>
      <c r="E22" s="164"/>
      <c r="F22" s="164"/>
      <c r="G22" s="164"/>
      <c r="H22" s="164"/>
    </row>
    <row r="23" spans="1:9" ht="13.8" x14ac:dyDescent="0.3">
      <c r="A23" s="177" t="s">
        <v>65</v>
      </c>
      <c r="B23" s="53" t="s">
        <v>65</v>
      </c>
      <c r="C23" s="162"/>
      <c r="D23" s="162"/>
      <c r="E23" s="162"/>
      <c r="F23" s="162"/>
      <c r="G23" s="162"/>
      <c r="H23" s="162"/>
    </row>
    <row r="24" spans="1:9" ht="13.8" x14ac:dyDescent="0.3">
      <c r="A24" s="177"/>
      <c r="B24" s="53" t="s">
        <v>173</v>
      </c>
      <c r="C24" s="162"/>
      <c r="D24" s="162"/>
      <c r="E24" s="162"/>
      <c r="F24" s="162"/>
      <c r="G24" s="162"/>
      <c r="H24" s="162"/>
    </row>
    <row r="25" spans="1:9" ht="13.8" x14ac:dyDescent="0.3">
      <c r="A25" s="177"/>
      <c r="B25" s="53" t="s">
        <v>171</v>
      </c>
      <c r="C25" s="162" t="s">
        <v>435</v>
      </c>
      <c r="D25" s="162"/>
      <c r="E25" s="162"/>
      <c r="F25" s="162"/>
      <c r="G25" s="162"/>
      <c r="H25" s="162"/>
    </row>
    <row r="26" spans="1:9" s="69" customFormat="1" ht="4.2" x14ac:dyDescent="0.15">
      <c r="A26" s="73"/>
      <c r="B26" s="68"/>
      <c r="C26" s="163"/>
      <c r="D26" s="164"/>
      <c r="E26" s="164"/>
      <c r="F26" s="164"/>
      <c r="G26" s="164"/>
      <c r="H26" s="164"/>
    </row>
    <row r="27" spans="1:9" ht="13.8" x14ac:dyDescent="0.3">
      <c r="A27" s="170" t="s">
        <v>180</v>
      </c>
      <c r="B27" s="53" t="s">
        <v>215</v>
      </c>
      <c r="C27" s="162" t="s">
        <v>475</v>
      </c>
      <c r="D27" s="162"/>
      <c r="E27" s="162"/>
      <c r="F27" s="162"/>
      <c r="G27" s="162"/>
      <c r="H27" s="162"/>
    </row>
    <row r="28" spans="1:9" ht="13.8" x14ac:dyDescent="0.3">
      <c r="A28" s="170"/>
      <c r="B28" s="53" t="s">
        <v>146</v>
      </c>
      <c r="C28" s="169" t="s">
        <v>424</v>
      </c>
      <c r="D28" s="162"/>
      <c r="E28" s="162"/>
      <c r="F28" s="162"/>
      <c r="G28" s="162"/>
      <c r="H28" s="162"/>
    </row>
    <row r="29" spans="1:9" ht="13.8" x14ac:dyDescent="0.3">
      <c r="A29" s="170"/>
      <c r="B29" s="53" t="s">
        <v>147</v>
      </c>
      <c r="C29" s="169" t="s">
        <v>488</v>
      </c>
      <c r="D29" s="169"/>
      <c r="E29" s="169"/>
      <c r="F29" s="169"/>
      <c r="G29" s="169"/>
      <c r="H29" s="169"/>
    </row>
    <row r="30" spans="1:9" ht="13.8" x14ac:dyDescent="0.3">
      <c r="A30" s="170"/>
      <c r="B30" s="53" t="s">
        <v>68</v>
      </c>
      <c r="C30" s="169"/>
      <c r="D30" s="162"/>
      <c r="E30" s="162"/>
      <c r="F30" s="162"/>
      <c r="G30" s="162"/>
      <c r="H30" s="162"/>
    </row>
    <row r="31" spans="1:9" ht="13.8" x14ac:dyDescent="0.3">
      <c r="A31" s="170"/>
      <c r="B31" s="53" t="s">
        <v>69</v>
      </c>
      <c r="C31" s="169">
        <v>46132</v>
      </c>
      <c r="D31" s="162"/>
      <c r="E31" s="162"/>
      <c r="F31" s="162"/>
      <c r="G31" s="162"/>
      <c r="H31" s="162"/>
    </row>
    <row r="32" spans="1:9" ht="15" customHeight="1" x14ac:dyDescent="0.3">
      <c r="A32" s="170"/>
      <c r="B32" s="171" t="s">
        <v>98</v>
      </c>
      <c r="C32" s="173" t="s">
        <v>485</v>
      </c>
      <c r="D32" s="174"/>
      <c r="E32" s="174"/>
      <c r="F32" s="174"/>
      <c r="G32" s="174"/>
      <c r="H32" s="175"/>
    </row>
    <row r="33" spans="1:8" ht="13.8" x14ac:dyDescent="0.3">
      <c r="A33" s="170"/>
      <c r="B33" s="172"/>
      <c r="C33" s="162"/>
      <c r="D33" s="162"/>
      <c r="E33" s="162"/>
      <c r="F33" s="162"/>
      <c r="G33" s="162"/>
      <c r="H33" s="162"/>
    </row>
    <row r="34" spans="1:8" s="69" customFormat="1" ht="25.8" x14ac:dyDescent="0.5">
      <c r="A34" s="72"/>
      <c r="B34" s="70"/>
      <c r="C34" s="261" t="s">
        <v>474</v>
      </c>
      <c r="D34" s="262"/>
      <c r="E34" s="262"/>
      <c r="F34" s="262"/>
      <c r="G34" s="262"/>
      <c r="H34" s="262"/>
    </row>
    <row r="35" spans="1:8" ht="13.8" x14ac:dyDescent="0.3">
      <c r="A35" s="180" t="s">
        <v>217</v>
      </c>
      <c r="B35" s="171" t="s">
        <v>137</v>
      </c>
      <c r="C35" s="165" t="s">
        <v>496</v>
      </c>
      <c r="D35" s="166"/>
      <c r="E35" s="166"/>
      <c r="F35" s="166"/>
      <c r="G35" s="166"/>
      <c r="H35" s="167"/>
    </row>
    <row r="36" spans="1:8" ht="13.8" x14ac:dyDescent="0.3">
      <c r="A36" s="180"/>
      <c r="B36" s="207"/>
      <c r="C36" s="85" t="s">
        <v>278</v>
      </c>
      <c r="D36" s="85"/>
      <c r="E36" s="85"/>
      <c r="F36" s="85"/>
      <c r="G36" s="85"/>
      <c r="H36" s="85"/>
    </row>
    <row r="37" spans="1:8" ht="13.8" x14ac:dyDescent="0.3">
      <c r="A37" s="180"/>
      <c r="B37" s="207"/>
      <c r="C37" s="85" t="s">
        <v>292</v>
      </c>
      <c r="D37" s="85"/>
      <c r="E37" s="85"/>
      <c r="F37" s="85"/>
      <c r="G37" s="85"/>
      <c r="H37" s="85"/>
    </row>
    <row r="38" spans="1:8" ht="13.8" x14ac:dyDescent="0.3">
      <c r="A38" s="180"/>
      <c r="B38" s="207"/>
      <c r="C38" s="85" t="s">
        <v>294</v>
      </c>
      <c r="D38" s="85"/>
      <c r="E38" s="85"/>
      <c r="F38" s="85"/>
      <c r="G38" s="85"/>
      <c r="H38" s="85"/>
    </row>
    <row r="39" spans="1:8" ht="13.8" x14ac:dyDescent="0.3">
      <c r="A39" s="180"/>
      <c r="B39" s="207"/>
      <c r="C39" s="85" t="s">
        <v>297</v>
      </c>
      <c r="D39" s="85"/>
      <c r="E39" s="85"/>
      <c r="F39" s="85"/>
      <c r="G39" s="85"/>
      <c r="H39" s="85"/>
    </row>
    <row r="40" spans="1:8" ht="13.8" x14ac:dyDescent="0.3">
      <c r="A40" s="180"/>
      <c r="B40" s="207"/>
      <c r="C40" s="85" t="s">
        <v>304</v>
      </c>
      <c r="D40" s="85"/>
      <c r="E40" s="85"/>
      <c r="F40" s="85"/>
      <c r="G40" s="85"/>
      <c r="H40" s="85"/>
    </row>
    <row r="41" spans="1:8" ht="13.8" x14ac:dyDescent="0.3">
      <c r="A41" s="180"/>
      <c r="B41" s="207"/>
      <c r="C41" s="57" t="s">
        <v>436</v>
      </c>
      <c r="D41" s="99"/>
      <c r="E41" s="99"/>
      <c r="F41" s="99"/>
      <c r="G41" s="99"/>
      <c r="H41" s="100"/>
    </row>
    <row r="42" spans="1:8" ht="13.8" x14ac:dyDescent="0.3">
      <c r="A42" s="180"/>
      <c r="B42" s="207"/>
      <c r="C42" s="57" t="s">
        <v>458</v>
      </c>
      <c r="D42" s="99"/>
      <c r="E42" s="99"/>
      <c r="F42" s="99"/>
      <c r="G42" s="99"/>
      <c r="H42" s="100"/>
    </row>
    <row r="43" spans="1:8" ht="13.8" x14ac:dyDescent="0.3">
      <c r="A43" s="180"/>
      <c r="B43" s="207"/>
      <c r="C43" s="57" t="s">
        <v>459</v>
      </c>
      <c r="D43" s="99"/>
      <c r="E43" s="99"/>
      <c r="F43" s="99"/>
      <c r="G43" s="99"/>
      <c r="H43" s="100"/>
    </row>
    <row r="44" spans="1:8" ht="13.8" x14ac:dyDescent="0.3">
      <c r="A44" s="180"/>
      <c r="B44" s="172"/>
      <c r="C44" s="57" t="s">
        <v>469</v>
      </c>
      <c r="D44" s="99"/>
      <c r="E44" s="99"/>
      <c r="F44" s="99"/>
      <c r="G44" s="99"/>
      <c r="H44" s="100"/>
    </row>
    <row r="45" spans="1:8" ht="13.8" x14ac:dyDescent="0.3">
      <c r="A45" s="180"/>
      <c r="B45" s="171" t="s">
        <v>216</v>
      </c>
      <c r="C45" s="165" t="s">
        <v>470</v>
      </c>
      <c r="D45" s="166"/>
      <c r="E45" s="166"/>
      <c r="F45" s="166"/>
      <c r="G45" s="166"/>
      <c r="H45" s="167"/>
    </row>
    <row r="46" spans="1:8" ht="13.8" x14ac:dyDescent="0.3">
      <c r="A46" s="180"/>
      <c r="B46" s="207"/>
      <c r="C46" s="165" t="s">
        <v>481</v>
      </c>
      <c r="D46" s="166"/>
      <c r="E46" s="166"/>
      <c r="F46" s="166"/>
      <c r="G46" s="166"/>
      <c r="H46" s="167"/>
    </row>
    <row r="47" spans="1:8" ht="13.8" x14ac:dyDescent="0.3">
      <c r="A47" s="180"/>
      <c r="B47" s="207"/>
      <c r="C47" s="165" t="s">
        <v>482</v>
      </c>
      <c r="D47" s="166"/>
      <c r="E47" s="166"/>
      <c r="F47" s="166"/>
      <c r="G47" s="166"/>
      <c r="H47" s="167"/>
    </row>
    <row r="48" spans="1:8" ht="13.8" x14ac:dyDescent="0.3">
      <c r="A48" s="180"/>
      <c r="B48" s="207"/>
      <c r="C48" s="165" t="s">
        <v>483</v>
      </c>
      <c r="D48" s="166"/>
      <c r="E48" s="166"/>
      <c r="F48" s="166"/>
      <c r="G48" s="166"/>
      <c r="H48" s="167"/>
    </row>
    <row r="49" spans="1:8" ht="13.8" x14ac:dyDescent="0.3">
      <c r="A49" s="180"/>
      <c r="B49" s="172"/>
      <c r="C49" s="258" t="s">
        <v>495</v>
      </c>
      <c r="D49" s="259"/>
      <c r="E49" s="259"/>
      <c r="F49" s="259"/>
      <c r="G49" s="259"/>
      <c r="H49" s="260"/>
    </row>
    <row r="50" spans="1:8" s="58" customFormat="1" ht="12" customHeight="1" x14ac:dyDescent="0.25">
      <c r="A50" s="180"/>
      <c r="B50" s="171" t="s">
        <v>185</v>
      </c>
      <c r="C50" s="77" t="s">
        <v>243</v>
      </c>
      <c r="D50" s="57" t="s">
        <v>484</v>
      </c>
      <c r="E50" s="208">
        <v>12504.28</v>
      </c>
      <c r="F50" s="209"/>
      <c r="G50" s="209"/>
      <c r="H50" s="209"/>
    </row>
    <row r="51" spans="1:8" ht="15" customHeight="1" x14ac:dyDescent="0.3">
      <c r="A51" s="180"/>
      <c r="B51" s="172"/>
      <c r="C51" s="75"/>
      <c r="D51" s="76"/>
      <c r="E51" s="210"/>
      <c r="F51" s="210"/>
      <c r="G51" s="210"/>
      <c r="H51" s="210"/>
    </row>
    <row r="52" spans="1:8" s="69" customFormat="1" ht="4.2" x14ac:dyDescent="0.15">
      <c r="A52" s="72"/>
      <c r="B52" s="71"/>
      <c r="C52" s="163"/>
      <c r="D52" s="164"/>
      <c r="E52" s="164"/>
      <c r="F52" s="164"/>
      <c r="G52" s="164"/>
      <c r="H52" s="164"/>
    </row>
    <row r="53" spans="1:8" ht="13.8" x14ac:dyDescent="0.3">
      <c r="A53" s="176" t="s">
        <v>181</v>
      </c>
      <c r="B53" s="53" t="s">
        <v>218</v>
      </c>
      <c r="C53" s="162" t="str">
        <f>C3&amp;" ("&amp;C5&amp;") "&amp;"-"&amp;" "&amp;C4</f>
        <v>Varimed Medikal San. Ve. Tic. Ltd. (STOCKINGS) - PO-VARIMED-2026-001</v>
      </c>
      <c r="D53" s="162"/>
      <c r="E53" s="162"/>
      <c r="F53" s="162"/>
      <c r="G53" s="162"/>
      <c r="H53" s="162"/>
    </row>
    <row r="54" spans="1:8" ht="13.8" x14ac:dyDescent="0.3">
      <c r="A54" s="176"/>
      <c r="B54" s="53" t="s">
        <v>71</v>
      </c>
      <c r="C54" s="165" t="str">
        <f>"AFC"&amp;" ("&amp;C$5&amp;") "&amp;"-"&amp;" "&amp;C$4&amp;" - TURKEY TO UAE"</f>
        <v>AFC (STOCKINGS) - PO-VARIMED-2026-001 - TURKEY TO UAE</v>
      </c>
      <c r="D54" s="166"/>
      <c r="E54" s="166"/>
      <c r="F54" s="166"/>
      <c r="G54" s="166"/>
      <c r="H54" s="167"/>
    </row>
  </sheetData>
  <mergeCells count="50">
    <mergeCell ref="A1:A12"/>
    <mergeCell ref="C1:H1"/>
    <mergeCell ref="C2:H2"/>
    <mergeCell ref="C3:H3"/>
    <mergeCell ref="C4:H4"/>
    <mergeCell ref="C5:H5"/>
    <mergeCell ref="C12:D12"/>
    <mergeCell ref="C22:H22"/>
    <mergeCell ref="C13:H13"/>
    <mergeCell ref="A14:A17"/>
    <mergeCell ref="C14:H14"/>
    <mergeCell ref="C15:H15"/>
    <mergeCell ref="C16:H16"/>
    <mergeCell ref="C17:H17"/>
    <mergeCell ref="C18:H18"/>
    <mergeCell ref="A19:A21"/>
    <mergeCell ref="C19:H19"/>
    <mergeCell ref="C20:H20"/>
    <mergeCell ref="C21:H21"/>
    <mergeCell ref="A27:A33"/>
    <mergeCell ref="C27:H27"/>
    <mergeCell ref="C28:H28"/>
    <mergeCell ref="C29:H29"/>
    <mergeCell ref="C30:H30"/>
    <mergeCell ref="C31:H31"/>
    <mergeCell ref="B32:B33"/>
    <mergeCell ref="C32:H32"/>
    <mergeCell ref="C33:H33"/>
    <mergeCell ref="A23:A25"/>
    <mergeCell ref="C23:H23"/>
    <mergeCell ref="C24:H24"/>
    <mergeCell ref="C25:H25"/>
    <mergeCell ref="C26:H26"/>
    <mergeCell ref="C34:H34"/>
    <mergeCell ref="B50:B51"/>
    <mergeCell ref="E50:H50"/>
    <mergeCell ref="E51:H51"/>
    <mergeCell ref="C35:H35"/>
    <mergeCell ref="C52:H52"/>
    <mergeCell ref="A53:A54"/>
    <mergeCell ref="C53:H53"/>
    <mergeCell ref="C54:H54"/>
    <mergeCell ref="A35:A51"/>
    <mergeCell ref="B45:B49"/>
    <mergeCell ref="C45:H45"/>
    <mergeCell ref="C46:H46"/>
    <mergeCell ref="C47:H47"/>
    <mergeCell ref="C48:H48"/>
    <mergeCell ref="C49:H49"/>
    <mergeCell ref="B35:B44"/>
  </mergeCells>
  <phoneticPr fontId="3" type="noConversion"/>
  <conditionalFormatting sqref="C35:C36">
    <cfRule type="containsText" dxfId="19" priority="9" operator="containsText" text="#">
      <formula>NOT(ISERROR(SEARCH("#",C35)))</formula>
    </cfRule>
  </conditionalFormatting>
  <conditionalFormatting sqref="C40:C49">
    <cfRule type="containsText" dxfId="18" priority="1" operator="containsText" text="#">
      <formula>NOT(ISERROR(SEARCH("#",C40)))</formula>
    </cfRule>
  </conditionalFormatting>
  <conditionalFormatting sqref="C36:H42">
    <cfRule type="containsText" dxfId="17" priority="10" operator="containsText" text="#">
      <formula>NOT(ISERROR(SEARCH("#",C36)))</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C06B-3766-43BC-8B7D-49899D8E7D60}">
  <dimension ref="A1:I49"/>
  <sheetViews>
    <sheetView zoomScale="90" zoomScaleNormal="90" workbookViewId="0">
      <selection activeCell="C31" sqref="C31:H31"/>
    </sheetView>
  </sheetViews>
  <sheetFormatPr defaultColWidth="23.5546875" defaultRowHeight="23.4" x14ac:dyDescent="0.3"/>
  <cols>
    <col min="1" max="1" width="23.44140625" style="56" bestFit="1" customWidth="1"/>
    <col min="2" max="2" width="26.109375" style="2" bestFit="1" customWidth="1"/>
    <col min="3" max="3" width="25.33203125" style="58" bestFit="1" customWidth="1"/>
    <col min="4" max="4" width="63.6640625" style="58" bestFit="1" customWidth="1"/>
    <col min="5" max="5" width="6.33203125" style="58" bestFit="1" customWidth="1"/>
    <col min="6" max="6" width="14" style="58" bestFit="1" customWidth="1"/>
    <col min="7" max="8" width="10.33203125" style="58" bestFit="1" customWidth="1"/>
    <col min="9" max="16384" width="23.5546875" style="2"/>
  </cols>
  <sheetData>
    <row r="1" spans="1:9" ht="13.8" x14ac:dyDescent="0.3">
      <c r="A1" s="186" t="s">
        <v>198</v>
      </c>
      <c r="B1" s="53" t="s">
        <v>0</v>
      </c>
      <c r="C1" s="162">
        <v>2026</v>
      </c>
      <c r="D1" s="162"/>
      <c r="E1" s="162"/>
      <c r="F1" s="162"/>
      <c r="G1" s="162"/>
      <c r="H1" s="162"/>
    </row>
    <row r="2" spans="1:9" ht="13.8" x14ac:dyDescent="0.3">
      <c r="A2" s="187"/>
      <c r="B2" s="53" t="s">
        <v>20</v>
      </c>
      <c r="C2" s="169">
        <v>46077</v>
      </c>
      <c r="D2" s="169"/>
      <c r="E2" s="169"/>
      <c r="F2" s="169"/>
      <c r="G2" s="169"/>
      <c r="H2" s="169"/>
    </row>
    <row r="3" spans="1:9" ht="13.8" x14ac:dyDescent="0.3">
      <c r="A3" s="187"/>
      <c r="B3" s="53" t="s">
        <v>1</v>
      </c>
      <c r="C3" s="162" t="s">
        <v>298</v>
      </c>
      <c r="D3" s="162"/>
      <c r="E3" s="162"/>
      <c r="F3" s="162"/>
      <c r="G3" s="162"/>
      <c r="H3" s="162"/>
    </row>
    <row r="4" spans="1:9" ht="13.8" x14ac:dyDescent="0.3">
      <c r="A4" s="187"/>
      <c r="B4" s="53" t="s">
        <v>213</v>
      </c>
      <c r="C4" s="162" t="s">
        <v>299</v>
      </c>
      <c r="D4" s="162"/>
      <c r="E4" s="162"/>
      <c r="F4" s="162"/>
      <c r="G4" s="162"/>
      <c r="H4" s="162"/>
    </row>
    <row r="5" spans="1:9" ht="13.8" x14ac:dyDescent="0.3">
      <c r="A5" s="187"/>
      <c r="B5" s="53" t="s">
        <v>2</v>
      </c>
      <c r="C5" s="162" t="s">
        <v>300</v>
      </c>
      <c r="D5" s="162"/>
      <c r="E5" s="162"/>
      <c r="F5" s="162"/>
      <c r="G5" s="162"/>
      <c r="H5" s="162"/>
    </row>
    <row r="6" spans="1:9" ht="13.8" x14ac:dyDescent="0.3">
      <c r="A6" s="187"/>
      <c r="B6" s="53"/>
      <c r="C6" s="59" t="s">
        <v>22</v>
      </c>
      <c r="D6" s="59" t="s">
        <v>199</v>
      </c>
      <c r="E6" s="60" t="s">
        <v>3</v>
      </c>
      <c r="F6" s="61" t="s">
        <v>25</v>
      </c>
      <c r="G6" s="61" t="s">
        <v>26</v>
      </c>
      <c r="H6" s="61" t="s">
        <v>26</v>
      </c>
    </row>
    <row r="7" spans="1:9" ht="13.8" x14ac:dyDescent="0.3">
      <c r="A7" s="187"/>
      <c r="B7" s="53" t="s">
        <v>223</v>
      </c>
      <c r="C7" s="62" t="s">
        <v>301</v>
      </c>
      <c r="D7" s="62" t="s">
        <v>302</v>
      </c>
      <c r="E7" s="63">
        <v>1000</v>
      </c>
      <c r="F7" s="64">
        <v>0.6</v>
      </c>
      <c r="G7" s="64">
        <f t="shared" ref="G7" si="0">(E7*F7)</f>
        <v>600</v>
      </c>
      <c r="H7" s="107">
        <f>SUM(G7:G7)</f>
        <v>600</v>
      </c>
    </row>
    <row r="8" spans="1:9" s="69" customFormat="1" ht="4.2" x14ac:dyDescent="0.15">
      <c r="A8" s="72"/>
      <c r="B8" s="68"/>
      <c r="C8" s="200"/>
      <c r="D8" s="201"/>
      <c r="E8" s="201"/>
      <c r="F8" s="201"/>
      <c r="G8" s="201"/>
      <c r="H8" s="201"/>
    </row>
    <row r="9" spans="1:9" ht="13.8" x14ac:dyDescent="0.3">
      <c r="A9" s="192" t="s">
        <v>175</v>
      </c>
      <c r="B9" s="53" t="s">
        <v>62</v>
      </c>
      <c r="C9" s="162"/>
      <c r="D9" s="162"/>
      <c r="E9" s="162"/>
      <c r="F9" s="162"/>
      <c r="G9" s="162"/>
      <c r="H9" s="162"/>
    </row>
    <row r="10" spans="1:9" ht="13.8" x14ac:dyDescent="0.3">
      <c r="A10" s="192"/>
      <c r="B10" s="53" t="s">
        <v>99</v>
      </c>
      <c r="C10" s="169"/>
      <c r="D10" s="169"/>
      <c r="E10" s="169"/>
      <c r="F10" s="169"/>
      <c r="G10" s="169"/>
      <c r="H10" s="169"/>
    </row>
    <row r="11" spans="1:9" ht="13.8" x14ac:dyDescent="0.3">
      <c r="A11" s="192"/>
      <c r="B11" s="53" t="s">
        <v>75</v>
      </c>
      <c r="C11" s="162"/>
      <c r="D11" s="162"/>
      <c r="E11" s="162"/>
      <c r="F11" s="162"/>
      <c r="G11" s="162"/>
      <c r="H11" s="162"/>
    </row>
    <row r="12" spans="1:9" ht="13.8" x14ac:dyDescent="0.3">
      <c r="A12" s="192"/>
      <c r="B12" s="53" t="s">
        <v>177</v>
      </c>
      <c r="C12" s="162"/>
      <c r="D12" s="162"/>
      <c r="E12" s="162"/>
      <c r="F12" s="162"/>
      <c r="G12" s="162"/>
      <c r="H12" s="162"/>
    </row>
    <row r="13" spans="1:9" s="69" customFormat="1" ht="4.2" x14ac:dyDescent="0.15">
      <c r="A13" s="72"/>
      <c r="B13" s="68"/>
      <c r="C13" s="163"/>
      <c r="D13" s="164"/>
      <c r="E13" s="164"/>
      <c r="F13" s="164"/>
      <c r="G13" s="164"/>
      <c r="H13" s="164"/>
    </row>
    <row r="14" spans="1:9" ht="13.8" x14ac:dyDescent="0.3">
      <c r="A14" s="168" t="s">
        <v>176</v>
      </c>
      <c r="B14" s="53" t="s">
        <v>67</v>
      </c>
      <c r="C14" s="162"/>
      <c r="D14" s="162"/>
      <c r="E14" s="162"/>
      <c r="F14" s="162"/>
      <c r="G14" s="162"/>
      <c r="H14" s="162"/>
      <c r="I14" s="65"/>
    </row>
    <row r="15" spans="1:9" ht="13.8" x14ac:dyDescent="0.3">
      <c r="A15" s="168"/>
      <c r="B15" s="53" t="s">
        <v>172</v>
      </c>
      <c r="C15" s="162"/>
      <c r="D15" s="162"/>
      <c r="E15" s="162"/>
      <c r="F15" s="162"/>
      <c r="G15" s="162"/>
      <c r="H15" s="162"/>
    </row>
    <row r="16" spans="1:9" ht="13.8" x14ac:dyDescent="0.3">
      <c r="A16" s="168"/>
      <c r="B16" s="53" t="s">
        <v>214</v>
      </c>
      <c r="C16" s="162"/>
      <c r="D16" s="162"/>
      <c r="E16" s="162"/>
      <c r="F16" s="162"/>
      <c r="G16" s="162"/>
      <c r="H16" s="162"/>
    </row>
    <row r="17" spans="1:8" s="69" customFormat="1" ht="4.2" x14ac:dyDescent="0.15">
      <c r="A17" s="73"/>
      <c r="B17" s="68"/>
      <c r="C17" s="163"/>
      <c r="D17" s="164"/>
      <c r="E17" s="164"/>
      <c r="F17" s="164"/>
      <c r="G17" s="164"/>
      <c r="H17" s="164"/>
    </row>
    <row r="18" spans="1:8" ht="13.8" x14ac:dyDescent="0.3">
      <c r="A18" s="177" t="s">
        <v>65</v>
      </c>
      <c r="B18" s="53" t="s">
        <v>65</v>
      </c>
      <c r="C18" s="162"/>
      <c r="D18" s="162"/>
      <c r="E18" s="162"/>
      <c r="F18" s="162"/>
      <c r="G18" s="162"/>
      <c r="H18" s="162"/>
    </row>
    <row r="19" spans="1:8" ht="13.8" x14ac:dyDescent="0.3">
      <c r="A19" s="177"/>
      <c r="B19" s="53" t="s">
        <v>173</v>
      </c>
      <c r="C19" s="162"/>
      <c r="D19" s="162"/>
      <c r="E19" s="162"/>
      <c r="F19" s="162"/>
      <c r="G19" s="162"/>
      <c r="H19" s="162"/>
    </row>
    <row r="20" spans="1:8" ht="13.8" x14ac:dyDescent="0.3">
      <c r="A20" s="177"/>
      <c r="B20" s="53" t="s">
        <v>171</v>
      </c>
      <c r="C20" s="162"/>
      <c r="D20" s="162"/>
      <c r="E20" s="162"/>
      <c r="F20" s="162"/>
      <c r="G20" s="162"/>
      <c r="H20" s="162"/>
    </row>
    <row r="21" spans="1:8" s="69" customFormat="1" ht="4.2" x14ac:dyDescent="0.15">
      <c r="A21" s="73"/>
      <c r="B21" s="68"/>
      <c r="C21" s="163"/>
      <c r="D21" s="164"/>
      <c r="E21" s="164"/>
      <c r="F21" s="164"/>
      <c r="G21" s="164"/>
      <c r="H21" s="164"/>
    </row>
    <row r="22" spans="1:8" ht="13.8" x14ac:dyDescent="0.3">
      <c r="A22" s="170" t="s">
        <v>180</v>
      </c>
      <c r="B22" s="53" t="s">
        <v>215</v>
      </c>
      <c r="C22" s="162"/>
      <c r="D22" s="162"/>
      <c r="E22" s="162"/>
      <c r="F22" s="162"/>
      <c r="G22" s="162"/>
      <c r="H22" s="162"/>
    </row>
    <row r="23" spans="1:8" ht="13.8" x14ac:dyDescent="0.3">
      <c r="A23" s="170"/>
      <c r="B23" s="53" t="s">
        <v>146</v>
      </c>
      <c r="C23" s="162"/>
      <c r="D23" s="162"/>
      <c r="E23" s="162"/>
      <c r="F23" s="162"/>
      <c r="G23" s="162"/>
      <c r="H23" s="162"/>
    </row>
    <row r="24" spans="1:8" ht="13.8" x14ac:dyDescent="0.3">
      <c r="A24" s="170"/>
      <c r="B24" s="53" t="s">
        <v>147</v>
      </c>
      <c r="C24" s="169"/>
      <c r="D24" s="169"/>
      <c r="E24" s="169"/>
      <c r="F24" s="169"/>
      <c r="G24" s="169"/>
      <c r="H24" s="169"/>
    </row>
    <row r="25" spans="1:8" ht="13.8" x14ac:dyDescent="0.3">
      <c r="A25" s="170"/>
      <c r="B25" s="53" t="s">
        <v>68</v>
      </c>
      <c r="C25" s="169"/>
      <c r="D25" s="162"/>
      <c r="E25" s="162"/>
      <c r="F25" s="162"/>
      <c r="G25" s="162"/>
      <c r="H25" s="162"/>
    </row>
    <row r="26" spans="1:8" ht="13.8" x14ac:dyDescent="0.3">
      <c r="A26" s="170"/>
      <c r="B26" s="53" t="s">
        <v>69</v>
      </c>
      <c r="C26" s="169"/>
      <c r="D26" s="162"/>
      <c r="E26" s="162"/>
      <c r="F26" s="162"/>
      <c r="G26" s="162"/>
      <c r="H26" s="162"/>
    </row>
    <row r="27" spans="1:8" ht="15" customHeight="1" x14ac:dyDescent="0.3">
      <c r="A27" s="170"/>
      <c r="B27" s="171" t="s">
        <v>98</v>
      </c>
      <c r="C27" s="173"/>
      <c r="D27" s="174"/>
      <c r="E27" s="174"/>
      <c r="F27" s="174"/>
      <c r="G27" s="174"/>
      <c r="H27" s="175"/>
    </row>
    <row r="28" spans="1:8" ht="13.8" x14ac:dyDescent="0.3">
      <c r="A28" s="170"/>
      <c r="B28" s="172"/>
      <c r="C28" s="162"/>
      <c r="D28" s="162"/>
      <c r="E28" s="162"/>
      <c r="F28" s="162"/>
      <c r="G28" s="162"/>
      <c r="H28" s="162"/>
    </row>
    <row r="29" spans="1:8" s="69" customFormat="1" ht="4.2" x14ac:dyDescent="0.15">
      <c r="A29" s="72"/>
      <c r="B29" s="70"/>
      <c r="C29" s="163"/>
      <c r="D29" s="164"/>
      <c r="E29" s="164"/>
      <c r="F29" s="164"/>
      <c r="G29" s="164"/>
      <c r="H29" s="164"/>
    </row>
    <row r="30" spans="1:8" ht="13.8" x14ac:dyDescent="0.3">
      <c r="A30" s="180" t="s">
        <v>217</v>
      </c>
      <c r="B30" s="171" t="s">
        <v>137</v>
      </c>
      <c r="C30" s="162" t="s">
        <v>306</v>
      </c>
      <c r="D30" s="162"/>
      <c r="E30" s="162"/>
      <c r="F30" s="162"/>
      <c r="G30" s="162"/>
      <c r="H30" s="162"/>
    </row>
    <row r="31" spans="1:8" ht="13.8" x14ac:dyDescent="0.3">
      <c r="A31" s="180"/>
      <c r="B31" s="207"/>
      <c r="C31" s="162"/>
      <c r="D31" s="162"/>
      <c r="E31" s="162"/>
      <c r="F31" s="162"/>
      <c r="G31" s="162"/>
      <c r="H31" s="162"/>
    </row>
    <row r="32" spans="1:8" ht="13.8" x14ac:dyDescent="0.3">
      <c r="A32" s="180"/>
      <c r="B32" s="207"/>
      <c r="C32" s="162"/>
      <c r="D32" s="162"/>
      <c r="E32" s="162"/>
      <c r="F32" s="162"/>
      <c r="G32" s="162"/>
      <c r="H32" s="162"/>
    </row>
    <row r="33" spans="1:8" ht="13.8" x14ac:dyDescent="0.3">
      <c r="A33" s="180"/>
      <c r="B33" s="207"/>
      <c r="C33" s="162"/>
      <c r="D33" s="162"/>
      <c r="E33" s="162"/>
      <c r="F33" s="162"/>
      <c r="G33" s="162"/>
      <c r="H33" s="162"/>
    </row>
    <row r="34" spans="1:8" ht="13.8" x14ac:dyDescent="0.3">
      <c r="A34" s="180"/>
      <c r="B34" s="207"/>
      <c r="C34" s="162"/>
      <c r="D34" s="162"/>
      <c r="E34" s="162"/>
      <c r="F34" s="162"/>
      <c r="G34" s="162"/>
      <c r="H34" s="162"/>
    </row>
    <row r="35" spans="1:8" ht="13.8" x14ac:dyDescent="0.3">
      <c r="A35" s="180"/>
      <c r="B35" s="207"/>
      <c r="C35" s="162"/>
      <c r="D35" s="162"/>
      <c r="E35" s="162"/>
      <c r="F35" s="162"/>
      <c r="G35" s="162"/>
      <c r="H35" s="162"/>
    </row>
    <row r="36" spans="1:8" ht="13.8" x14ac:dyDescent="0.3">
      <c r="A36" s="180"/>
      <c r="B36" s="207"/>
      <c r="C36" s="162"/>
      <c r="D36" s="162"/>
      <c r="E36" s="162"/>
      <c r="F36" s="162"/>
      <c r="G36" s="162"/>
      <c r="H36" s="162"/>
    </row>
    <row r="37" spans="1:8" ht="13.8" x14ac:dyDescent="0.3">
      <c r="A37" s="180"/>
      <c r="B37" s="207"/>
      <c r="C37" s="162"/>
      <c r="D37" s="162"/>
      <c r="E37" s="162"/>
      <c r="F37" s="162"/>
      <c r="G37" s="162"/>
      <c r="H37" s="162"/>
    </row>
    <row r="38" spans="1:8" ht="13.8" x14ac:dyDescent="0.3">
      <c r="A38" s="180"/>
      <c r="B38" s="207"/>
      <c r="C38" s="162"/>
      <c r="D38" s="162"/>
      <c r="E38" s="162"/>
      <c r="F38" s="162"/>
      <c r="G38" s="162"/>
      <c r="H38" s="162"/>
    </row>
    <row r="39" spans="1:8" ht="13.8" x14ac:dyDescent="0.3">
      <c r="A39" s="180"/>
      <c r="B39" s="172"/>
      <c r="C39" s="162"/>
      <c r="D39" s="162"/>
      <c r="E39" s="162"/>
      <c r="F39" s="162"/>
      <c r="G39" s="162"/>
      <c r="H39" s="162"/>
    </row>
    <row r="40" spans="1:8" ht="13.8" x14ac:dyDescent="0.3">
      <c r="A40" s="180"/>
      <c r="B40" s="171" t="s">
        <v>216</v>
      </c>
      <c r="C40" s="165"/>
      <c r="D40" s="166"/>
      <c r="E40" s="166"/>
      <c r="F40" s="166"/>
      <c r="G40" s="166"/>
      <c r="H40" s="167"/>
    </row>
    <row r="41" spans="1:8" ht="13.8" x14ac:dyDescent="0.3">
      <c r="A41" s="180"/>
      <c r="B41" s="207"/>
      <c r="C41" s="165"/>
      <c r="D41" s="166"/>
      <c r="E41" s="166"/>
      <c r="F41" s="166"/>
      <c r="G41" s="166"/>
      <c r="H41" s="167"/>
    </row>
    <row r="42" spans="1:8" ht="13.8" x14ac:dyDescent="0.3">
      <c r="A42" s="180"/>
      <c r="B42" s="207"/>
      <c r="C42" s="165"/>
      <c r="D42" s="166"/>
      <c r="E42" s="166"/>
      <c r="F42" s="166"/>
      <c r="G42" s="166"/>
      <c r="H42" s="167"/>
    </row>
    <row r="43" spans="1:8" ht="13.8" x14ac:dyDescent="0.3">
      <c r="A43" s="180"/>
      <c r="B43" s="207"/>
      <c r="C43" s="165"/>
      <c r="D43" s="166"/>
      <c r="E43" s="166"/>
      <c r="F43" s="166"/>
      <c r="G43" s="166"/>
      <c r="H43" s="167"/>
    </row>
    <row r="44" spans="1:8" ht="13.8" x14ac:dyDescent="0.3">
      <c r="A44" s="180"/>
      <c r="B44" s="172"/>
      <c r="C44" s="165"/>
      <c r="D44" s="166"/>
      <c r="E44" s="166"/>
      <c r="F44" s="166"/>
      <c r="G44" s="166"/>
      <c r="H44" s="167"/>
    </row>
    <row r="45" spans="1:8" s="58" customFormat="1" ht="12" customHeight="1" x14ac:dyDescent="0.25">
      <c r="A45" s="180"/>
      <c r="B45" s="171" t="s">
        <v>185</v>
      </c>
      <c r="C45" s="77" t="s">
        <v>243</v>
      </c>
      <c r="D45" s="57"/>
      <c r="E45" s="209"/>
      <c r="F45" s="209"/>
      <c r="G45" s="209"/>
      <c r="H45" s="209"/>
    </row>
    <row r="46" spans="1:8" ht="15" customHeight="1" x14ac:dyDescent="0.3">
      <c r="A46" s="180"/>
      <c r="B46" s="172"/>
      <c r="C46" s="75"/>
      <c r="D46" s="76"/>
      <c r="E46" s="210"/>
      <c r="F46" s="210"/>
      <c r="G46" s="210"/>
      <c r="H46" s="210"/>
    </row>
    <row r="47" spans="1:8" s="69" customFormat="1" ht="4.2" x14ac:dyDescent="0.15">
      <c r="A47" s="72"/>
      <c r="B47" s="71"/>
      <c r="C47" s="163"/>
      <c r="D47" s="164"/>
      <c r="E47" s="164"/>
      <c r="F47" s="164"/>
      <c r="G47" s="164"/>
      <c r="H47" s="164"/>
    </row>
    <row r="48" spans="1:8" ht="13.8" x14ac:dyDescent="0.3">
      <c r="A48" s="176" t="s">
        <v>181</v>
      </c>
      <c r="B48" s="53" t="s">
        <v>218</v>
      </c>
      <c r="C48" s="162" t="str">
        <f>C3&amp;" ("&amp;C5&amp;") "&amp;"-"&amp;" "&amp;C4</f>
        <v>Zhejiang Medstar Technology Co., Ltd (PUSH BUTTON ELECTROSURGICAL PENCIL) - PO-ZMTC-2026-001</v>
      </c>
      <c r="D48" s="162"/>
      <c r="E48" s="162"/>
      <c r="F48" s="162"/>
      <c r="G48" s="162"/>
      <c r="H48" s="162"/>
    </row>
    <row r="49" spans="1:8" ht="13.8" x14ac:dyDescent="0.3">
      <c r="A49" s="176"/>
      <c r="B49" s="53" t="s">
        <v>71</v>
      </c>
      <c r="C49" s="165" t="str">
        <f>"AFC"&amp;" ("&amp;C$5&amp;") "&amp;"-"&amp;" "&amp;C$4&amp;" - CHINA TO UAE"</f>
        <v>AFC (PUSH BUTTON ELECTROSURGICAL PENCIL) - PO-ZMTC-2026-001 - CHINA TO UAE</v>
      </c>
      <c r="D49" s="166"/>
      <c r="E49" s="166"/>
      <c r="F49" s="166"/>
      <c r="G49" s="166"/>
      <c r="H49" s="167"/>
    </row>
  </sheetData>
  <mergeCells count="58">
    <mergeCell ref="B45:B46"/>
    <mergeCell ref="E45:H45"/>
    <mergeCell ref="E46:H46"/>
    <mergeCell ref="C47:H47"/>
    <mergeCell ref="A48:A49"/>
    <mergeCell ref="C48:H48"/>
    <mergeCell ref="C49:H49"/>
    <mergeCell ref="A30:A46"/>
    <mergeCell ref="B40:B44"/>
    <mergeCell ref="C40:H40"/>
    <mergeCell ref="C41:H41"/>
    <mergeCell ref="C42:H42"/>
    <mergeCell ref="C43:H43"/>
    <mergeCell ref="C44:H44"/>
    <mergeCell ref="C38:H38"/>
    <mergeCell ref="B30:B39"/>
    <mergeCell ref="C32:H32"/>
    <mergeCell ref="C33:H33"/>
    <mergeCell ref="C34:H34"/>
    <mergeCell ref="C26:H26"/>
    <mergeCell ref="B27:B28"/>
    <mergeCell ref="C27:H27"/>
    <mergeCell ref="C28:H28"/>
    <mergeCell ref="C29:H29"/>
    <mergeCell ref="C35:H35"/>
    <mergeCell ref="C36:H36"/>
    <mergeCell ref="C37:H37"/>
    <mergeCell ref="C39:H39"/>
    <mergeCell ref="A18:A20"/>
    <mergeCell ref="C18:H18"/>
    <mergeCell ref="C19:H19"/>
    <mergeCell ref="C20:H20"/>
    <mergeCell ref="C21:H21"/>
    <mergeCell ref="A22:A28"/>
    <mergeCell ref="C22:H22"/>
    <mergeCell ref="C23:H23"/>
    <mergeCell ref="C24:H24"/>
    <mergeCell ref="C25:H25"/>
    <mergeCell ref="C30:H30"/>
    <mergeCell ref="C31:H31"/>
    <mergeCell ref="C17:H17"/>
    <mergeCell ref="C8:H8"/>
    <mergeCell ref="A9:A12"/>
    <mergeCell ref="C9:H9"/>
    <mergeCell ref="C10:H10"/>
    <mergeCell ref="C11:H11"/>
    <mergeCell ref="C12:H12"/>
    <mergeCell ref="C13:H13"/>
    <mergeCell ref="A14:A16"/>
    <mergeCell ref="C14:H14"/>
    <mergeCell ref="C15:H15"/>
    <mergeCell ref="C16:H16"/>
    <mergeCell ref="A1:A7"/>
    <mergeCell ref="C1:H1"/>
    <mergeCell ref="C2:H2"/>
    <mergeCell ref="C3:H3"/>
    <mergeCell ref="C4:H4"/>
    <mergeCell ref="C5:H5"/>
  </mergeCells>
  <conditionalFormatting sqref="C30:H39">
    <cfRule type="containsText" dxfId="16" priority="1" operator="containsText" text="#">
      <formula>NOT(ISERROR(SEARCH("#",C30)))</formula>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C3E3-F0CE-4AC6-A1BD-6A70087C792D}">
  <dimension ref="A1:H50"/>
  <sheetViews>
    <sheetView topLeftCell="A15" zoomScale="90" zoomScaleNormal="90" workbookViewId="0">
      <selection activeCell="C50" sqref="C50:H50"/>
    </sheetView>
  </sheetViews>
  <sheetFormatPr defaultRowHeight="14.4" x14ac:dyDescent="0.3"/>
  <cols>
    <col min="1" max="1" width="23.109375" bestFit="1" customWidth="1"/>
    <col min="2" max="2" width="24.44140625" bestFit="1" customWidth="1"/>
    <col min="3" max="3" width="24.6640625" bestFit="1" customWidth="1"/>
    <col min="4" max="4" width="27.33203125" bestFit="1" customWidth="1"/>
    <col min="5" max="5" width="5.6640625" bestFit="1" customWidth="1"/>
    <col min="6" max="6" width="8.5546875" bestFit="1" customWidth="1"/>
  </cols>
  <sheetData>
    <row r="1" spans="1:8" x14ac:dyDescent="0.3">
      <c r="A1" s="186" t="s">
        <v>198</v>
      </c>
      <c r="B1" s="53" t="s">
        <v>0</v>
      </c>
      <c r="C1" s="162"/>
      <c r="D1" s="162"/>
      <c r="E1" s="162"/>
      <c r="F1" s="162"/>
      <c r="G1" s="162"/>
      <c r="H1" s="162"/>
    </row>
    <row r="2" spans="1:8" x14ac:dyDescent="0.3">
      <c r="A2" s="187"/>
      <c r="B2" s="53" t="s">
        <v>20</v>
      </c>
      <c r="C2" s="169"/>
      <c r="D2" s="169"/>
      <c r="E2" s="169"/>
      <c r="F2" s="169"/>
      <c r="G2" s="169"/>
      <c r="H2" s="169"/>
    </row>
    <row r="3" spans="1:8" x14ac:dyDescent="0.3">
      <c r="A3" s="187"/>
      <c r="B3" s="53" t="s">
        <v>1</v>
      </c>
      <c r="C3" s="162"/>
      <c r="D3" s="162"/>
      <c r="E3" s="162"/>
      <c r="F3" s="162"/>
      <c r="G3" s="162"/>
      <c r="H3" s="162"/>
    </row>
    <row r="4" spans="1:8" x14ac:dyDescent="0.3">
      <c r="A4" s="187"/>
      <c r="B4" s="53" t="s">
        <v>213</v>
      </c>
      <c r="C4" s="162"/>
      <c r="D4" s="162"/>
      <c r="E4" s="162"/>
      <c r="F4" s="162"/>
      <c r="G4" s="162"/>
      <c r="H4" s="162"/>
    </row>
    <row r="5" spans="1:8" x14ac:dyDescent="0.3">
      <c r="A5" s="187"/>
      <c r="B5" s="53" t="s">
        <v>2</v>
      </c>
      <c r="C5" s="162" t="s">
        <v>247</v>
      </c>
      <c r="D5" s="162"/>
      <c r="E5" s="162"/>
      <c r="F5" s="162"/>
      <c r="G5" s="162"/>
      <c r="H5" s="162"/>
    </row>
    <row r="6" spans="1:8" x14ac:dyDescent="0.3">
      <c r="A6" s="187"/>
      <c r="B6" s="53"/>
      <c r="C6" s="59" t="s">
        <v>22</v>
      </c>
      <c r="D6" s="59" t="s">
        <v>199</v>
      </c>
      <c r="E6" s="60" t="s">
        <v>3</v>
      </c>
      <c r="F6" s="61" t="s">
        <v>25</v>
      </c>
      <c r="G6" s="61" t="s">
        <v>26</v>
      </c>
      <c r="H6" s="61" t="s">
        <v>26</v>
      </c>
    </row>
    <row r="7" spans="1:8" x14ac:dyDescent="0.3">
      <c r="A7" s="187"/>
      <c r="B7" s="53" t="s">
        <v>223</v>
      </c>
      <c r="C7" s="94"/>
      <c r="D7" s="78"/>
      <c r="E7" s="95"/>
      <c r="F7" s="96"/>
      <c r="G7" s="96">
        <f t="shared" ref="G7" si="0">(E7*F7)</f>
        <v>0</v>
      </c>
      <c r="H7" s="97">
        <f>SUM(G7:G8)</f>
        <v>0</v>
      </c>
    </row>
    <row r="8" spans="1:8" x14ac:dyDescent="0.3">
      <c r="A8" s="187"/>
      <c r="B8" s="53"/>
      <c r="C8" s="266" t="s">
        <v>263</v>
      </c>
      <c r="D8" s="267"/>
      <c r="E8" s="267"/>
      <c r="F8" s="267"/>
      <c r="G8" s="268"/>
      <c r="H8" s="98"/>
    </row>
    <row r="9" spans="1:8" x14ac:dyDescent="0.3">
      <c r="A9" s="72"/>
      <c r="B9" s="68"/>
      <c r="C9" s="200"/>
      <c r="D9" s="201"/>
      <c r="E9" s="201"/>
      <c r="F9" s="201"/>
      <c r="G9" s="201"/>
      <c r="H9" s="201"/>
    </row>
    <row r="10" spans="1:8" x14ac:dyDescent="0.3">
      <c r="A10" s="192" t="s">
        <v>175</v>
      </c>
      <c r="B10" s="53" t="s">
        <v>62</v>
      </c>
      <c r="C10" s="162"/>
      <c r="D10" s="162"/>
      <c r="E10" s="162"/>
      <c r="F10" s="162"/>
      <c r="G10" s="162"/>
      <c r="H10" s="162"/>
    </row>
    <row r="11" spans="1:8" x14ac:dyDescent="0.3">
      <c r="A11" s="192"/>
      <c r="B11" s="53" t="s">
        <v>99</v>
      </c>
      <c r="C11" s="169"/>
      <c r="D11" s="169"/>
      <c r="E11" s="169"/>
      <c r="F11" s="169"/>
      <c r="G11" s="169"/>
      <c r="H11" s="169"/>
    </row>
    <row r="12" spans="1:8" x14ac:dyDescent="0.3">
      <c r="A12" s="192"/>
      <c r="B12" s="53" t="s">
        <v>75</v>
      </c>
      <c r="C12" s="162"/>
      <c r="D12" s="162"/>
      <c r="E12" s="162"/>
      <c r="F12" s="162"/>
      <c r="G12" s="162"/>
      <c r="H12" s="162"/>
    </row>
    <row r="13" spans="1:8" x14ac:dyDescent="0.3">
      <c r="A13" s="192"/>
      <c r="B13" s="53" t="s">
        <v>177</v>
      </c>
      <c r="C13" s="162"/>
      <c r="D13" s="162"/>
      <c r="E13" s="162"/>
      <c r="F13" s="162"/>
      <c r="G13" s="162"/>
      <c r="H13" s="162"/>
    </row>
    <row r="14" spans="1:8" x14ac:dyDescent="0.3">
      <c r="A14" s="72"/>
      <c r="B14" s="68"/>
      <c r="C14" s="163"/>
      <c r="D14" s="164"/>
      <c r="E14" s="164"/>
      <c r="F14" s="164"/>
      <c r="G14" s="164"/>
      <c r="H14" s="164"/>
    </row>
    <row r="15" spans="1:8" x14ac:dyDescent="0.3">
      <c r="A15" s="168" t="s">
        <v>176</v>
      </c>
      <c r="B15" s="53" t="s">
        <v>67</v>
      </c>
      <c r="C15" s="162"/>
      <c r="D15" s="162"/>
      <c r="E15" s="162"/>
      <c r="F15" s="162"/>
      <c r="G15" s="162"/>
      <c r="H15" s="162"/>
    </row>
    <row r="16" spans="1:8" x14ac:dyDescent="0.3">
      <c r="A16" s="168"/>
      <c r="B16" s="53" t="s">
        <v>172</v>
      </c>
      <c r="C16" s="162"/>
      <c r="D16" s="162"/>
      <c r="E16" s="162"/>
      <c r="F16" s="162"/>
      <c r="G16" s="162"/>
      <c r="H16" s="162"/>
    </row>
    <row r="17" spans="1:8" x14ac:dyDescent="0.3">
      <c r="A17" s="168"/>
      <c r="B17" s="53" t="s">
        <v>214</v>
      </c>
      <c r="C17" s="162"/>
      <c r="D17" s="162"/>
      <c r="E17" s="162"/>
      <c r="F17" s="162"/>
      <c r="G17" s="162"/>
      <c r="H17" s="162"/>
    </row>
    <row r="18" spans="1:8" x14ac:dyDescent="0.3">
      <c r="A18" s="73"/>
      <c r="B18" s="68"/>
      <c r="C18" s="163"/>
      <c r="D18" s="164"/>
      <c r="E18" s="164"/>
      <c r="F18" s="164"/>
      <c r="G18" s="164"/>
      <c r="H18" s="164"/>
    </row>
    <row r="19" spans="1:8" x14ac:dyDescent="0.3">
      <c r="A19" s="177" t="s">
        <v>65</v>
      </c>
      <c r="B19" s="53" t="s">
        <v>65</v>
      </c>
      <c r="C19" s="162"/>
      <c r="D19" s="162"/>
      <c r="E19" s="162"/>
      <c r="F19" s="162"/>
      <c r="G19" s="162"/>
      <c r="H19" s="162"/>
    </row>
    <row r="20" spans="1:8" x14ac:dyDescent="0.3">
      <c r="A20" s="177"/>
      <c r="B20" s="53" t="s">
        <v>173</v>
      </c>
      <c r="C20" s="162"/>
      <c r="D20" s="162"/>
      <c r="E20" s="162"/>
      <c r="F20" s="162"/>
      <c r="G20" s="162"/>
      <c r="H20" s="162"/>
    </row>
    <row r="21" spans="1:8" x14ac:dyDescent="0.3">
      <c r="A21" s="177"/>
      <c r="B21" s="53" t="s">
        <v>171</v>
      </c>
      <c r="C21" s="162"/>
      <c r="D21" s="162"/>
      <c r="E21" s="162"/>
      <c r="F21" s="162"/>
      <c r="G21" s="162"/>
      <c r="H21" s="162"/>
    </row>
    <row r="22" spans="1:8" x14ac:dyDescent="0.3">
      <c r="A22" s="73"/>
      <c r="B22" s="68"/>
      <c r="C22" s="163"/>
      <c r="D22" s="164"/>
      <c r="E22" s="164"/>
      <c r="F22" s="164"/>
      <c r="G22" s="164"/>
      <c r="H22" s="164"/>
    </row>
    <row r="23" spans="1:8" x14ac:dyDescent="0.3">
      <c r="A23" s="170" t="s">
        <v>180</v>
      </c>
      <c r="B23" s="53" t="s">
        <v>215</v>
      </c>
      <c r="C23" s="162"/>
      <c r="D23" s="162"/>
      <c r="E23" s="162"/>
      <c r="F23" s="162"/>
      <c r="G23" s="162"/>
      <c r="H23" s="162"/>
    </row>
    <row r="24" spans="1:8" x14ac:dyDescent="0.3">
      <c r="A24" s="170"/>
      <c r="B24" s="53" t="s">
        <v>146</v>
      </c>
      <c r="C24" s="162"/>
      <c r="D24" s="162"/>
      <c r="E24" s="162"/>
      <c r="F24" s="162"/>
      <c r="G24" s="162"/>
      <c r="H24" s="162"/>
    </row>
    <row r="25" spans="1:8" x14ac:dyDescent="0.3">
      <c r="A25" s="170"/>
      <c r="B25" s="53" t="s">
        <v>147</v>
      </c>
      <c r="C25" s="169"/>
      <c r="D25" s="169"/>
      <c r="E25" s="169"/>
      <c r="F25" s="169"/>
      <c r="G25" s="169"/>
      <c r="H25" s="169"/>
    </row>
    <row r="26" spans="1:8" x14ac:dyDescent="0.3">
      <c r="A26" s="170"/>
      <c r="B26" s="53" t="s">
        <v>68</v>
      </c>
      <c r="C26" s="169"/>
      <c r="D26" s="162"/>
      <c r="E26" s="162"/>
      <c r="F26" s="162"/>
      <c r="G26" s="162"/>
      <c r="H26" s="162"/>
    </row>
    <row r="27" spans="1:8" x14ac:dyDescent="0.3">
      <c r="A27" s="170"/>
      <c r="B27" s="53" t="s">
        <v>69</v>
      </c>
      <c r="C27" s="169"/>
      <c r="D27" s="162"/>
      <c r="E27" s="162"/>
      <c r="F27" s="162"/>
      <c r="G27" s="162"/>
      <c r="H27" s="162"/>
    </row>
    <row r="28" spans="1:8" x14ac:dyDescent="0.3">
      <c r="A28" s="170"/>
      <c r="B28" s="171" t="s">
        <v>98</v>
      </c>
      <c r="C28" s="173"/>
      <c r="D28" s="174"/>
      <c r="E28" s="174"/>
      <c r="F28" s="174"/>
      <c r="G28" s="174"/>
      <c r="H28" s="175"/>
    </row>
    <row r="29" spans="1:8" x14ac:dyDescent="0.3">
      <c r="A29" s="170"/>
      <c r="B29" s="172"/>
      <c r="C29" s="162"/>
      <c r="D29" s="162"/>
      <c r="E29" s="162"/>
      <c r="F29" s="162"/>
      <c r="G29" s="162"/>
      <c r="H29" s="162"/>
    </row>
    <row r="30" spans="1:8" x14ac:dyDescent="0.3">
      <c r="A30" s="72"/>
      <c r="B30" s="70"/>
      <c r="C30" s="163"/>
      <c r="D30" s="164"/>
      <c r="E30" s="164"/>
      <c r="F30" s="164"/>
      <c r="G30" s="164"/>
      <c r="H30" s="164"/>
    </row>
    <row r="31" spans="1:8" x14ac:dyDescent="0.3">
      <c r="A31" s="180" t="s">
        <v>217</v>
      </c>
      <c r="B31" s="171" t="s">
        <v>137</v>
      </c>
      <c r="C31" s="165"/>
      <c r="D31" s="166"/>
      <c r="E31" s="166"/>
      <c r="F31" s="166"/>
      <c r="G31" s="166"/>
      <c r="H31" s="167"/>
    </row>
    <row r="32" spans="1:8" x14ac:dyDescent="0.3">
      <c r="A32" s="180"/>
      <c r="B32" s="207"/>
      <c r="C32" s="162"/>
      <c r="D32" s="162"/>
      <c r="E32" s="162"/>
      <c r="F32" s="162"/>
      <c r="G32" s="162"/>
      <c r="H32" s="162"/>
    </row>
    <row r="33" spans="1:8" x14ac:dyDescent="0.3">
      <c r="A33" s="180"/>
      <c r="B33" s="207"/>
      <c r="C33" s="165"/>
      <c r="D33" s="166"/>
      <c r="E33" s="166"/>
      <c r="F33" s="166"/>
      <c r="G33" s="166"/>
      <c r="H33" s="167"/>
    </row>
    <row r="34" spans="1:8" x14ac:dyDescent="0.3">
      <c r="A34" s="180"/>
      <c r="B34" s="207"/>
      <c r="C34" s="165"/>
      <c r="D34" s="166"/>
      <c r="E34" s="166"/>
      <c r="F34" s="166"/>
      <c r="G34" s="166"/>
      <c r="H34" s="167"/>
    </row>
    <row r="35" spans="1:8" x14ac:dyDescent="0.3">
      <c r="A35" s="180"/>
      <c r="B35" s="207"/>
      <c r="C35" s="165"/>
      <c r="D35" s="166"/>
      <c r="E35" s="166"/>
      <c r="F35" s="166"/>
      <c r="G35" s="166"/>
      <c r="H35" s="167"/>
    </row>
    <row r="36" spans="1:8" x14ac:dyDescent="0.3">
      <c r="A36" s="180"/>
      <c r="B36" s="207"/>
      <c r="C36" s="165"/>
      <c r="D36" s="166"/>
      <c r="E36" s="166"/>
      <c r="F36" s="166"/>
      <c r="G36" s="166"/>
      <c r="H36" s="167"/>
    </row>
    <row r="37" spans="1:8" x14ac:dyDescent="0.3">
      <c r="A37" s="180"/>
      <c r="B37" s="207"/>
      <c r="C37" s="165"/>
      <c r="D37" s="166"/>
      <c r="E37" s="166"/>
      <c r="F37" s="166"/>
      <c r="G37" s="166"/>
      <c r="H37" s="167"/>
    </row>
    <row r="38" spans="1:8" x14ac:dyDescent="0.3">
      <c r="A38" s="180"/>
      <c r="B38" s="207"/>
      <c r="C38" s="165"/>
      <c r="D38" s="166"/>
      <c r="E38" s="166"/>
      <c r="F38" s="166"/>
      <c r="G38" s="166"/>
      <c r="H38" s="167"/>
    </row>
    <row r="39" spans="1:8" x14ac:dyDescent="0.3">
      <c r="A39" s="180"/>
      <c r="B39" s="207"/>
      <c r="C39" s="165"/>
      <c r="D39" s="166"/>
      <c r="E39" s="166"/>
      <c r="F39" s="166"/>
      <c r="G39" s="166"/>
      <c r="H39" s="167"/>
    </row>
    <row r="40" spans="1:8" x14ac:dyDescent="0.3">
      <c r="A40" s="180"/>
      <c r="B40" s="172"/>
      <c r="C40" s="162"/>
      <c r="D40" s="162"/>
      <c r="E40" s="162"/>
      <c r="F40" s="162"/>
      <c r="G40" s="162"/>
      <c r="H40" s="162"/>
    </row>
    <row r="41" spans="1:8" x14ac:dyDescent="0.3">
      <c r="A41" s="180"/>
      <c r="B41" s="171" t="s">
        <v>216</v>
      </c>
      <c r="C41" s="165"/>
      <c r="D41" s="166"/>
      <c r="E41" s="166"/>
      <c r="F41" s="166"/>
      <c r="G41" s="166"/>
      <c r="H41" s="167"/>
    </row>
    <row r="42" spans="1:8" x14ac:dyDescent="0.3">
      <c r="A42" s="180"/>
      <c r="B42" s="207"/>
      <c r="C42" s="165"/>
      <c r="D42" s="166"/>
      <c r="E42" s="166"/>
      <c r="F42" s="166"/>
      <c r="G42" s="166"/>
      <c r="H42" s="167"/>
    </row>
    <row r="43" spans="1:8" x14ac:dyDescent="0.3">
      <c r="A43" s="180"/>
      <c r="B43" s="207"/>
      <c r="C43" s="165"/>
      <c r="D43" s="166"/>
      <c r="E43" s="166"/>
      <c r="F43" s="166"/>
      <c r="G43" s="166"/>
      <c r="H43" s="167"/>
    </row>
    <row r="44" spans="1:8" x14ac:dyDescent="0.3">
      <c r="A44" s="180"/>
      <c r="B44" s="207"/>
      <c r="C44" s="165"/>
      <c r="D44" s="166"/>
      <c r="E44" s="166"/>
      <c r="F44" s="166"/>
      <c r="G44" s="166"/>
      <c r="H44" s="167"/>
    </row>
    <row r="45" spans="1:8" x14ac:dyDescent="0.3">
      <c r="A45" s="180"/>
      <c r="B45" s="172"/>
      <c r="C45" s="165"/>
      <c r="D45" s="166"/>
      <c r="E45" s="166"/>
      <c r="F45" s="166"/>
      <c r="G45" s="166"/>
      <c r="H45" s="167"/>
    </row>
    <row r="46" spans="1:8" x14ac:dyDescent="0.3">
      <c r="A46" s="180"/>
      <c r="B46" s="171" t="s">
        <v>185</v>
      </c>
      <c r="C46" s="77"/>
      <c r="D46" s="57"/>
      <c r="E46" s="209"/>
      <c r="F46" s="209"/>
      <c r="G46" s="209"/>
      <c r="H46" s="209"/>
    </row>
    <row r="47" spans="1:8" x14ac:dyDescent="0.3">
      <c r="A47" s="180"/>
      <c r="B47" s="172"/>
      <c r="C47" s="75"/>
      <c r="D47" s="76"/>
      <c r="E47" s="210"/>
      <c r="F47" s="210"/>
      <c r="G47" s="210"/>
      <c r="H47" s="210"/>
    </row>
    <row r="48" spans="1:8" x14ac:dyDescent="0.3">
      <c r="A48" s="72"/>
      <c r="B48" s="71"/>
      <c r="C48" s="163"/>
      <c r="D48" s="164"/>
      <c r="E48" s="164"/>
      <c r="F48" s="164"/>
      <c r="G48" s="164"/>
      <c r="H48" s="164"/>
    </row>
    <row r="49" spans="1:8" x14ac:dyDescent="0.3">
      <c r="A49" s="176" t="s">
        <v>181</v>
      </c>
      <c r="B49" s="53" t="s">
        <v>218</v>
      </c>
      <c r="C49" s="162" t="str">
        <f>C3&amp;" ("&amp;C5&amp;") "&amp;"-"&amp;" "&amp;C4</f>
        <v xml:space="preserve"> (SWAB APPLICATOR) - </v>
      </c>
      <c r="D49" s="162"/>
      <c r="E49" s="162"/>
      <c r="F49" s="162"/>
      <c r="G49" s="162"/>
      <c r="H49" s="162"/>
    </row>
    <row r="50" spans="1:8" x14ac:dyDescent="0.3">
      <c r="A50" s="176"/>
      <c r="B50" s="53" t="s">
        <v>71</v>
      </c>
      <c r="C50" s="162" t="str">
        <f>"AFC"&amp;" ("&amp;C$5&amp;") "&amp;"-"&amp;" "&amp;C$4&amp;" - CHINA TO UAE"</f>
        <v>AFC (SWAB APPLICATOR) -  - CHINA TO UAE</v>
      </c>
      <c r="D50" s="162"/>
      <c r="E50" s="162"/>
      <c r="F50" s="162"/>
      <c r="G50" s="162"/>
      <c r="H50" s="162"/>
    </row>
  </sheetData>
  <mergeCells count="59">
    <mergeCell ref="A1:A8"/>
    <mergeCell ref="C1:H1"/>
    <mergeCell ref="C2:H2"/>
    <mergeCell ref="C3:H3"/>
    <mergeCell ref="C4:H4"/>
    <mergeCell ref="C5:H5"/>
    <mergeCell ref="C8:G8"/>
    <mergeCell ref="C18:H18"/>
    <mergeCell ref="C9:H9"/>
    <mergeCell ref="A10:A13"/>
    <mergeCell ref="C10:H10"/>
    <mergeCell ref="C11:H11"/>
    <mergeCell ref="C12:H12"/>
    <mergeCell ref="C13:H13"/>
    <mergeCell ref="C14:H14"/>
    <mergeCell ref="A15:A17"/>
    <mergeCell ref="C15:H15"/>
    <mergeCell ref="C16:H16"/>
    <mergeCell ref="C17:H17"/>
    <mergeCell ref="C36:H36"/>
    <mergeCell ref="C37:H37"/>
    <mergeCell ref="C38:H38"/>
    <mergeCell ref="C40:H40"/>
    <mergeCell ref="A19:A21"/>
    <mergeCell ref="C19:H19"/>
    <mergeCell ref="C20:H20"/>
    <mergeCell ref="C21:H21"/>
    <mergeCell ref="C22:H22"/>
    <mergeCell ref="A23:A29"/>
    <mergeCell ref="C23:H23"/>
    <mergeCell ref="C24:H24"/>
    <mergeCell ref="C25:H25"/>
    <mergeCell ref="C26:H26"/>
    <mergeCell ref="C31:H31"/>
    <mergeCell ref="C32:H32"/>
    <mergeCell ref="C33:H33"/>
    <mergeCell ref="C34:H34"/>
    <mergeCell ref="C35:H35"/>
    <mergeCell ref="C27:H27"/>
    <mergeCell ref="B28:B29"/>
    <mergeCell ref="C28:H28"/>
    <mergeCell ref="C29:H29"/>
    <mergeCell ref="C30:H30"/>
    <mergeCell ref="B46:B47"/>
    <mergeCell ref="E46:H46"/>
    <mergeCell ref="E47:H47"/>
    <mergeCell ref="C48:H48"/>
    <mergeCell ref="A49:A50"/>
    <mergeCell ref="C49:H49"/>
    <mergeCell ref="C50:H50"/>
    <mergeCell ref="A31:A47"/>
    <mergeCell ref="B41:B45"/>
    <mergeCell ref="C41:H41"/>
    <mergeCell ref="C42:H42"/>
    <mergeCell ref="C43:H43"/>
    <mergeCell ref="C44:H44"/>
    <mergeCell ref="C45:H45"/>
    <mergeCell ref="C39:H39"/>
    <mergeCell ref="B31:B40"/>
  </mergeCells>
  <conditionalFormatting sqref="C31 C32:H32 C33:C39 C40:H40">
    <cfRule type="containsText" dxfId="15" priority="1" operator="containsText" text="#">
      <formula>NOT(ISERROR(SEARCH("#",C31)))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74563-22A4-4920-889E-EB3B62814BE0}">
  <dimension ref="A1:H50"/>
  <sheetViews>
    <sheetView topLeftCell="A4" workbookViewId="0">
      <selection activeCell="C50" sqref="C50:H50"/>
    </sheetView>
  </sheetViews>
  <sheetFormatPr defaultRowHeight="14.4" x14ac:dyDescent="0.3"/>
  <cols>
    <col min="1" max="1" width="23.109375" bestFit="1" customWidth="1"/>
    <col min="2" max="2" width="24.44140625" bestFit="1" customWidth="1"/>
    <col min="3" max="3" width="18.6640625" bestFit="1" customWidth="1"/>
    <col min="4" max="4" width="52.5546875" bestFit="1" customWidth="1"/>
    <col min="5" max="5" width="3.88671875" bestFit="1" customWidth="1"/>
    <col min="6" max="6" width="8.5546875" bestFit="1" customWidth="1"/>
    <col min="8" max="8" width="30.33203125" customWidth="1"/>
  </cols>
  <sheetData>
    <row r="1" spans="1:8" x14ac:dyDescent="0.3">
      <c r="A1" s="186" t="s">
        <v>198</v>
      </c>
      <c r="B1" s="53" t="s">
        <v>0</v>
      </c>
      <c r="C1" s="162"/>
      <c r="D1" s="162"/>
      <c r="E1" s="162"/>
      <c r="F1" s="162"/>
      <c r="G1" s="162"/>
      <c r="H1" s="162"/>
    </row>
    <row r="2" spans="1:8" x14ac:dyDescent="0.3">
      <c r="A2" s="187"/>
      <c r="B2" s="53" t="s">
        <v>20</v>
      </c>
      <c r="C2" s="169"/>
      <c r="D2" s="169"/>
      <c r="E2" s="169"/>
      <c r="F2" s="169"/>
      <c r="G2" s="169"/>
      <c r="H2" s="169"/>
    </row>
    <row r="3" spans="1:8" x14ac:dyDescent="0.3">
      <c r="A3" s="187"/>
      <c r="B3" s="53" t="s">
        <v>1</v>
      </c>
      <c r="C3" s="162"/>
      <c r="D3" s="162"/>
      <c r="E3" s="162"/>
      <c r="F3" s="162"/>
      <c r="G3" s="162"/>
      <c r="H3" s="162"/>
    </row>
    <row r="4" spans="1:8" x14ac:dyDescent="0.3">
      <c r="A4" s="187"/>
      <c r="B4" s="53" t="s">
        <v>213</v>
      </c>
      <c r="C4" s="162"/>
      <c r="D4" s="162"/>
      <c r="E4" s="162"/>
      <c r="F4" s="162"/>
      <c r="G4" s="162"/>
      <c r="H4" s="162"/>
    </row>
    <row r="5" spans="1:8" x14ac:dyDescent="0.3">
      <c r="A5" s="187"/>
      <c r="B5" s="53" t="s">
        <v>2</v>
      </c>
      <c r="C5" s="162" t="s">
        <v>256</v>
      </c>
      <c r="D5" s="162"/>
      <c r="E5" s="162"/>
      <c r="F5" s="162"/>
      <c r="G5" s="162"/>
      <c r="H5" s="162"/>
    </row>
    <row r="6" spans="1:8" x14ac:dyDescent="0.3">
      <c r="A6" s="187"/>
      <c r="B6" s="53"/>
      <c r="C6" s="59" t="s">
        <v>22</v>
      </c>
      <c r="D6" s="59" t="s">
        <v>199</v>
      </c>
      <c r="E6" s="60" t="s">
        <v>3</v>
      </c>
      <c r="F6" s="61" t="s">
        <v>25</v>
      </c>
      <c r="G6" s="61" t="s">
        <v>26</v>
      </c>
      <c r="H6" s="61" t="s">
        <v>26</v>
      </c>
    </row>
    <row r="7" spans="1:8" x14ac:dyDescent="0.3">
      <c r="A7" s="187"/>
      <c r="B7" s="53" t="s">
        <v>223</v>
      </c>
      <c r="C7" s="103"/>
      <c r="D7" s="80"/>
      <c r="E7" s="95"/>
      <c r="F7" s="104"/>
      <c r="G7" s="104">
        <f>E7*F7</f>
        <v>0</v>
      </c>
      <c r="H7" s="269">
        <f>SUM(G7:G8)</f>
        <v>0</v>
      </c>
    </row>
    <row r="8" spans="1:8" x14ac:dyDescent="0.3">
      <c r="A8" s="187"/>
      <c r="B8" s="53" t="s">
        <v>224</v>
      </c>
      <c r="C8" s="62"/>
      <c r="D8" s="62"/>
      <c r="E8" s="95"/>
      <c r="F8" s="104"/>
      <c r="G8" s="104">
        <f>E8*F8</f>
        <v>0</v>
      </c>
      <c r="H8" s="270"/>
    </row>
    <row r="9" spans="1:8" x14ac:dyDescent="0.3">
      <c r="A9" s="72"/>
      <c r="B9" s="68"/>
      <c r="C9" s="200"/>
      <c r="D9" s="201"/>
      <c r="E9" s="201"/>
      <c r="F9" s="201"/>
      <c r="G9" s="201"/>
      <c r="H9" s="201"/>
    </row>
    <row r="10" spans="1:8" x14ac:dyDescent="0.3">
      <c r="A10" s="192" t="s">
        <v>175</v>
      </c>
      <c r="B10" s="53" t="s">
        <v>62</v>
      </c>
      <c r="C10" s="162"/>
      <c r="D10" s="162"/>
      <c r="E10" s="162"/>
      <c r="F10" s="162"/>
      <c r="G10" s="162"/>
      <c r="H10" s="162"/>
    </row>
    <row r="11" spans="1:8" x14ac:dyDescent="0.3">
      <c r="A11" s="192"/>
      <c r="B11" s="53" t="s">
        <v>99</v>
      </c>
      <c r="C11" s="169"/>
      <c r="D11" s="169"/>
      <c r="E11" s="169"/>
      <c r="F11" s="169"/>
      <c r="G11" s="169"/>
      <c r="H11" s="169"/>
    </row>
    <row r="12" spans="1:8" x14ac:dyDescent="0.3">
      <c r="A12" s="192"/>
      <c r="B12" s="53" t="s">
        <v>75</v>
      </c>
      <c r="C12" s="162"/>
      <c r="D12" s="162"/>
      <c r="E12" s="162"/>
      <c r="F12" s="162"/>
      <c r="G12" s="162"/>
      <c r="H12" s="162"/>
    </row>
    <row r="13" spans="1:8" x14ac:dyDescent="0.3">
      <c r="A13" s="192"/>
      <c r="B13" s="53" t="s">
        <v>177</v>
      </c>
      <c r="C13" s="162"/>
      <c r="D13" s="162"/>
      <c r="E13" s="162"/>
      <c r="F13" s="162"/>
      <c r="G13" s="162"/>
      <c r="H13" s="162"/>
    </row>
    <row r="14" spans="1:8" x14ac:dyDescent="0.3">
      <c r="A14" s="72"/>
      <c r="B14" s="68"/>
      <c r="C14" s="163"/>
      <c r="D14" s="164"/>
      <c r="E14" s="164"/>
      <c r="F14" s="164"/>
      <c r="G14" s="164"/>
      <c r="H14" s="164"/>
    </row>
    <row r="15" spans="1:8" x14ac:dyDescent="0.3">
      <c r="A15" s="168" t="s">
        <v>176</v>
      </c>
      <c r="B15" s="53" t="s">
        <v>67</v>
      </c>
      <c r="C15" s="162"/>
      <c r="D15" s="162"/>
      <c r="E15" s="162"/>
      <c r="F15" s="162"/>
      <c r="G15" s="162"/>
      <c r="H15" s="162"/>
    </row>
    <row r="16" spans="1:8" x14ac:dyDescent="0.3">
      <c r="A16" s="168"/>
      <c r="B16" s="53" t="s">
        <v>172</v>
      </c>
      <c r="C16" s="162"/>
      <c r="D16" s="162"/>
      <c r="E16" s="162"/>
      <c r="F16" s="162"/>
      <c r="G16" s="162"/>
      <c r="H16" s="162"/>
    </row>
    <row r="17" spans="1:8" x14ac:dyDescent="0.3">
      <c r="A17" s="168"/>
      <c r="B17" s="53" t="s">
        <v>214</v>
      </c>
      <c r="C17" s="162"/>
      <c r="D17" s="162"/>
      <c r="E17" s="162"/>
      <c r="F17" s="162"/>
      <c r="G17" s="162"/>
      <c r="H17" s="162"/>
    </row>
    <row r="18" spans="1:8" x14ac:dyDescent="0.3">
      <c r="A18" s="73"/>
      <c r="B18" s="68"/>
      <c r="C18" s="163"/>
      <c r="D18" s="164"/>
      <c r="E18" s="164"/>
      <c r="F18" s="164"/>
      <c r="G18" s="164"/>
      <c r="H18" s="164"/>
    </row>
    <row r="19" spans="1:8" x14ac:dyDescent="0.3">
      <c r="A19" s="177" t="s">
        <v>65</v>
      </c>
      <c r="B19" s="53" t="s">
        <v>65</v>
      </c>
      <c r="C19" s="162"/>
      <c r="D19" s="162"/>
      <c r="E19" s="162"/>
      <c r="F19" s="162"/>
      <c r="G19" s="162"/>
      <c r="H19" s="162"/>
    </row>
    <row r="20" spans="1:8" x14ac:dyDescent="0.3">
      <c r="A20" s="177"/>
      <c r="B20" s="53" t="s">
        <v>173</v>
      </c>
      <c r="C20" s="162"/>
      <c r="D20" s="162"/>
      <c r="E20" s="162"/>
      <c r="F20" s="162"/>
      <c r="G20" s="162"/>
      <c r="H20" s="162"/>
    </row>
    <row r="21" spans="1:8" x14ac:dyDescent="0.3">
      <c r="A21" s="177"/>
      <c r="B21" s="53" t="s">
        <v>171</v>
      </c>
      <c r="C21" s="162"/>
      <c r="D21" s="162"/>
      <c r="E21" s="162"/>
      <c r="F21" s="162"/>
      <c r="G21" s="162"/>
      <c r="H21" s="162"/>
    </row>
    <row r="22" spans="1:8" x14ac:dyDescent="0.3">
      <c r="A22" s="73"/>
      <c r="B22" s="68"/>
      <c r="C22" s="163"/>
      <c r="D22" s="164"/>
      <c r="E22" s="164"/>
      <c r="F22" s="164"/>
      <c r="G22" s="164"/>
      <c r="H22" s="164"/>
    </row>
    <row r="23" spans="1:8" x14ac:dyDescent="0.3">
      <c r="A23" s="170" t="s">
        <v>180</v>
      </c>
      <c r="B23" s="53" t="s">
        <v>215</v>
      </c>
      <c r="C23" s="162"/>
      <c r="D23" s="162"/>
      <c r="E23" s="162"/>
      <c r="F23" s="162"/>
      <c r="G23" s="162"/>
      <c r="H23" s="162"/>
    </row>
    <row r="24" spans="1:8" x14ac:dyDescent="0.3">
      <c r="A24" s="170"/>
      <c r="B24" s="53" t="s">
        <v>146</v>
      </c>
      <c r="C24" s="162"/>
      <c r="D24" s="162"/>
      <c r="E24" s="162"/>
      <c r="F24" s="162"/>
      <c r="G24" s="162"/>
      <c r="H24" s="162"/>
    </row>
    <row r="25" spans="1:8" x14ac:dyDescent="0.3">
      <c r="A25" s="170"/>
      <c r="B25" s="53" t="s">
        <v>147</v>
      </c>
      <c r="C25" s="169"/>
      <c r="D25" s="169"/>
      <c r="E25" s="169"/>
      <c r="F25" s="169"/>
      <c r="G25" s="169"/>
      <c r="H25" s="169"/>
    </row>
    <row r="26" spans="1:8" x14ac:dyDescent="0.3">
      <c r="A26" s="170"/>
      <c r="B26" s="53" t="s">
        <v>68</v>
      </c>
      <c r="C26" s="169"/>
      <c r="D26" s="162"/>
      <c r="E26" s="162"/>
      <c r="F26" s="162"/>
      <c r="G26" s="162"/>
      <c r="H26" s="162"/>
    </row>
    <row r="27" spans="1:8" x14ac:dyDescent="0.3">
      <c r="A27" s="170"/>
      <c r="B27" s="53" t="s">
        <v>69</v>
      </c>
      <c r="C27" s="169"/>
      <c r="D27" s="162"/>
      <c r="E27" s="162"/>
      <c r="F27" s="162"/>
      <c r="G27" s="162"/>
      <c r="H27" s="162"/>
    </row>
    <row r="28" spans="1:8" x14ac:dyDescent="0.3">
      <c r="A28" s="170"/>
      <c r="B28" s="171" t="s">
        <v>98</v>
      </c>
      <c r="C28" s="173"/>
      <c r="D28" s="174"/>
      <c r="E28" s="174"/>
      <c r="F28" s="174"/>
      <c r="G28" s="174"/>
      <c r="H28" s="175"/>
    </row>
    <row r="29" spans="1:8" x14ac:dyDescent="0.3">
      <c r="A29" s="170"/>
      <c r="B29" s="172"/>
      <c r="C29" s="162"/>
      <c r="D29" s="162"/>
      <c r="E29" s="162"/>
      <c r="F29" s="162"/>
      <c r="G29" s="162"/>
      <c r="H29" s="162"/>
    </row>
    <row r="30" spans="1:8" x14ac:dyDescent="0.3">
      <c r="A30" s="72"/>
      <c r="B30" s="70"/>
      <c r="C30" s="163" t="s">
        <v>264</v>
      </c>
      <c r="D30" s="164"/>
      <c r="E30" s="164"/>
      <c r="F30" s="164"/>
      <c r="G30" s="164"/>
      <c r="H30" s="164"/>
    </row>
    <row r="31" spans="1:8" x14ac:dyDescent="0.3">
      <c r="A31" s="180" t="s">
        <v>217</v>
      </c>
      <c r="B31" s="171" t="s">
        <v>137</v>
      </c>
      <c r="C31" s="165"/>
      <c r="D31" s="166"/>
      <c r="E31" s="166"/>
      <c r="F31" s="166"/>
      <c r="G31" s="166"/>
      <c r="H31" s="167"/>
    </row>
    <row r="32" spans="1:8" x14ac:dyDescent="0.3">
      <c r="A32" s="180"/>
      <c r="B32" s="207"/>
      <c r="C32" s="165"/>
      <c r="D32" s="166"/>
      <c r="E32" s="166"/>
      <c r="F32" s="166"/>
      <c r="G32" s="166"/>
      <c r="H32" s="167"/>
    </row>
    <row r="33" spans="1:8" x14ac:dyDescent="0.3">
      <c r="A33" s="180"/>
      <c r="B33" s="207"/>
      <c r="C33" s="165"/>
      <c r="D33" s="166"/>
      <c r="E33" s="166"/>
      <c r="F33" s="166"/>
      <c r="G33" s="166"/>
      <c r="H33" s="167"/>
    </row>
    <row r="34" spans="1:8" x14ac:dyDescent="0.3">
      <c r="A34" s="180"/>
      <c r="B34" s="207"/>
      <c r="C34" s="165"/>
      <c r="D34" s="166"/>
      <c r="E34" s="166"/>
      <c r="F34" s="166"/>
      <c r="G34" s="166"/>
      <c r="H34" s="167"/>
    </row>
    <row r="35" spans="1:8" x14ac:dyDescent="0.3">
      <c r="A35" s="180"/>
      <c r="B35" s="207"/>
      <c r="C35" s="165"/>
      <c r="D35" s="166"/>
      <c r="E35" s="166"/>
      <c r="F35" s="166"/>
      <c r="G35" s="166"/>
      <c r="H35" s="167"/>
    </row>
    <row r="36" spans="1:8" x14ac:dyDescent="0.3">
      <c r="A36" s="180"/>
      <c r="B36" s="207"/>
      <c r="C36" s="165"/>
      <c r="D36" s="166"/>
      <c r="E36" s="166"/>
      <c r="F36" s="166"/>
      <c r="G36" s="166"/>
      <c r="H36" s="167"/>
    </row>
    <row r="37" spans="1:8" x14ac:dyDescent="0.3">
      <c r="A37" s="180"/>
      <c r="B37" s="207"/>
      <c r="C37" s="165"/>
      <c r="D37" s="166"/>
      <c r="E37" s="166"/>
      <c r="F37" s="166"/>
      <c r="G37" s="166"/>
      <c r="H37" s="167"/>
    </row>
    <row r="38" spans="1:8" x14ac:dyDescent="0.3">
      <c r="A38" s="180"/>
      <c r="B38" s="207"/>
      <c r="C38" s="165"/>
      <c r="D38" s="166"/>
      <c r="E38" s="166"/>
      <c r="F38" s="166"/>
      <c r="G38" s="166"/>
      <c r="H38" s="167"/>
    </row>
    <row r="39" spans="1:8" x14ac:dyDescent="0.3">
      <c r="A39" s="180"/>
      <c r="B39" s="207"/>
      <c r="C39" s="162"/>
      <c r="D39" s="162"/>
      <c r="E39" s="162"/>
      <c r="F39" s="162"/>
      <c r="G39" s="162"/>
      <c r="H39" s="162"/>
    </row>
    <row r="40" spans="1:8" x14ac:dyDescent="0.3">
      <c r="A40" s="180"/>
      <c r="B40" s="172"/>
      <c r="C40" s="162"/>
      <c r="D40" s="162"/>
      <c r="E40" s="162"/>
      <c r="F40" s="162"/>
      <c r="G40" s="162"/>
      <c r="H40" s="162"/>
    </row>
    <row r="41" spans="1:8" x14ac:dyDescent="0.3">
      <c r="A41" s="180"/>
      <c r="B41" s="171" t="s">
        <v>216</v>
      </c>
      <c r="C41" s="165"/>
      <c r="D41" s="166"/>
      <c r="E41" s="166"/>
      <c r="F41" s="166"/>
      <c r="G41" s="166"/>
      <c r="H41" s="167"/>
    </row>
    <row r="42" spans="1:8" x14ac:dyDescent="0.3">
      <c r="A42" s="180"/>
      <c r="B42" s="207"/>
      <c r="C42" s="165"/>
      <c r="D42" s="166"/>
      <c r="E42" s="166"/>
      <c r="F42" s="166"/>
      <c r="G42" s="166"/>
      <c r="H42" s="167"/>
    </row>
    <row r="43" spans="1:8" x14ac:dyDescent="0.3">
      <c r="A43" s="180"/>
      <c r="B43" s="207"/>
      <c r="C43" s="165"/>
      <c r="D43" s="166"/>
      <c r="E43" s="166"/>
      <c r="F43" s="166"/>
      <c r="G43" s="166"/>
      <c r="H43" s="167"/>
    </row>
    <row r="44" spans="1:8" x14ac:dyDescent="0.3">
      <c r="A44" s="180"/>
      <c r="B44" s="207"/>
      <c r="C44" s="165"/>
      <c r="D44" s="166"/>
      <c r="E44" s="166"/>
      <c r="F44" s="166"/>
      <c r="G44" s="166"/>
      <c r="H44" s="167"/>
    </row>
    <row r="45" spans="1:8" x14ac:dyDescent="0.3">
      <c r="A45" s="180"/>
      <c r="B45" s="172"/>
      <c r="C45" s="165"/>
      <c r="D45" s="166"/>
      <c r="E45" s="166"/>
      <c r="F45" s="166"/>
      <c r="G45" s="166"/>
      <c r="H45" s="167"/>
    </row>
    <row r="46" spans="1:8" x14ac:dyDescent="0.3">
      <c r="A46" s="180"/>
      <c r="B46" s="171" t="s">
        <v>185</v>
      </c>
      <c r="C46" s="77"/>
      <c r="D46" s="85"/>
      <c r="E46" s="105"/>
      <c r="F46" s="105"/>
      <c r="G46" s="105"/>
      <c r="H46" s="105"/>
    </row>
    <row r="47" spans="1:8" x14ac:dyDescent="0.3">
      <c r="A47" s="180"/>
      <c r="B47" s="172"/>
      <c r="C47" s="75" t="s">
        <v>266</v>
      </c>
      <c r="D47" s="76" t="s">
        <v>261</v>
      </c>
      <c r="E47" s="209" t="s">
        <v>267</v>
      </c>
      <c r="F47" s="209"/>
      <c r="G47" s="209"/>
      <c r="H47" s="209"/>
    </row>
    <row r="48" spans="1:8" x14ac:dyDescent="0.3">
      <c r="A48" s="72"/>
      <c r="B48" s="71"/>
      <c r="C48" s="163"/>
      <c r="D48" s="164"/>
      <c r="E48" s="164"/>
      <c r="F48" s="164"/>
      <c r="G48" s="164"/>
      <c r="H48" s="164"/>
    </row>
    <row r="49" spans="1:8" x14ac:dyDescent="0.3">
      <c r="A49" s="176" t="s">
        <v>181</v>
      </c>
      <c r="B49" s="53" t="s">
        <v>218</v>
      </c>
      <c r="C49" s="162" t="str">
        <f>C3&amp;" ("&amp;C5&amp;") "&amp;"-"&amp;" "&amp;C4</f>
        <v xml:space="preserve"> (PROJECTION VEIN FINDER) - </v>
      </c>
      <c r="D49" s="162"/>
      <c r="E49" s="162"/>
      <c r="F49" s="162"/>
      <c r="G49" s="162"/>
      <c r="H49" s="162"/>
    </row>
    <row r="50" spans="1:8" x14ac:dyDescent="0.3">
      <c r="A50" s="176"/>
      <c r="B50" s="53" t="s">
        <v>71</v>
      </c>
      <c r="C50" s="162" t="s">
        <v>262</v>
      </c>
      <c r="D50" s="162"/>
      <c r="E50" s="162"/>
      <c r="F50" s="162"/>
      <c r="G50" s="162"/>
      <c r="H50" s="162"/>
    </row>
  </sheetData>
  <mergeCells count="58">
    <mergeCell ref="B46:B47"/>
    <mergeCell ref="E47:H47"/>
    <mergeCell ref="C48:H48"/>
    <mergeCell ref="A49:A50"/>
    <mergeCell ref="C49:H49"/>
    <mergeCell ref="C50:H50"/>
    <mergeCell ref="A31:A47"/>
    <mergeCell ref="B41:B45"/>
    <mergeCell ref="C41:H41"/>
    <mergeCell ref="C42:H42"/>
    <mergeCell ref="C43:H43"/>
    <mergeCell ref="C44:H44"/>
    <mergeCell ref="C45:H45"/>
    <mergeCell ref="C39:H39"/>
    <mergeCell ref="B31:B40"/>
    <mergeCell ref="C31:H31"/>
    <mergeCell ref="C35:H35"/>
    <mergeCell ref="C36:H36"/>
    <mergeCell ref="C27:H27"/>
    <mergeCell ref="B28:B29"/>
    <mergeCell ref="C28:H28"/>
    <mergeCell ref="C29:H29"/>
    <mergeCell ref="C30:H30"/>
    <mergeCell ref="C37:H37"/>
    <mergeCell ref="C38:H38"/>
    <mergeCell ref="C40:H40"/>
    <mergeCell ref="A19:A21"/>
    <mergeCell ref="C19:H19"/>
    <mergeCell ref="C20:H20"/>
    <mergeCell ref="C21:H21"/>
    <mergeCell ref="C22:H22"/>
    <mergeCell ref="A23:A29"/>
    <mergeCell ref="C23:H23"/>
    <mergeCell ref="C24:H24"/>
    <mergeCell ref="C25:H25"/>
    <mergeCell ref="C26:H26"/>
    <mergeCell ref="C32:H32"/>
    <mergeCell ref="C33:H33"/>
    <mergeCell ref="C34:H34"/>
    <mergeCell ref="C18:H18"/>
    <mergeCell ref="C9:H9"/>
    <mergeCell ref="A10:A13"/>
    <mergeCell ref="C10:H10"/>
    <mergeCell ref="C11:H11"/>
    <mergeCell ref="C12:H12"/>
    <mergeCell ref="C13:H13"/>
    <mergeCell ref="C14:H14"/>
    <mergeCell ref="A15:A17"/>
    <mergeCell ref="C15:H15"/>
    <mergeCell ref="C16:H16"/>
    <mergeCell ref="C17:H17"/>
    <mergeCell ref="A1:A8"/>
    <mergeCell ref="C1:H1"/>
    <mergeCell ref="C2:H2"/>
    <mergeCell ref="C3:H3"/>
    <mergeCell ref="C4:H4"/>
    <mergeCell ref="C5:H5"/>
    <mergeCell ref="H7:H8"/>
  </mergeCells>
  <conditionalFormatting sqref="C31:C38 C39:H40">
    <cfRule type="containsText" dxfId="14" priority="1" operator="containsText" text="#">
      <formula>NOT(ISERROR(SEARCH("#",C31)))</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E308-757B-47AD-9329-5E10671B6EAA}">
  <dimension ref="A1:I48"/>
  <sheetViews>
    <sheetView zoomScale="90" zoomScaleNormal="90" workbookViewId="0">
      <selection activeCell="C47" sqref="C47:H47"/>
    </sheetView>
  </sheetViews>
  <sheetFormatPr defaultColWidth="23.5546875" defaultRowHeight="23.4" x14ac:dyDescent="0.3"/>
  <cols>
    <col min="1" max="1" width="23.44140625" style="56" bestFit="1" customWidth="1"/>
    <col min="2" max="2" width="26.109375" style="2" bestFit="1" customWidth="1"/>
    <col min="3" max="3" width="25.33203125" style="58" bestFit="1" customWidth="1"/>
    <col min="4" max="4" width="32.109375" style="58" bestFit="1" customWidth="1"/>
    <col min="5" max="5" width="5.44140625" style="58" bestFit="1" customWidth="1"/>
    <col min="6" max="6" width="9.5546875" style="58" bestFit="1" customWidth="1"/>
    <col min="7" max="8" width="10.109375" style="58" bestFit="1" customWidth="1"/>
    <col min="9" max="16384" width="23.5546875" style="2"/>
  </cols>
  <sheetData>
    <row r="1" spans="1:9" ht="13.8" x14ac:dyDescent="0.3">
      <c r="A1" s="186" t="s">
        <v>198</v>
      </c>
      <c r="B1" s="53" t="s">
        <v>0</v>
      </c>
      <c r="C1" s="225"/>
      <c r="D1" s="225"/>
      <c r="E1" s="225"/>
      <c r="F1" s="225"/>
      <c r="G1" s="225"/>
      <c r="H1" s="225"/>
    </row>
    <row r="2" spans="1:9" ht="13.8" x14ac:dyDescent="0.3">
      <c r="A2" s="187"/>
      <c r="B2" s="53" t="s">
        <v>20</v>
      </c>
      <c r="C2" s="226"/>
      <c r="D2" s="226"/>
      <c r="E2" s="226"/>
      <c r="F2" s="226"/>
      <c r="G2" s="226"/>
      <c r="H2" s="226"/>
    </row>
    <row r="3" spans="1:9" ht="13.8" x14ac:dyDescent="0.3">
      <c r="A3" s="187"/>
      <c r="B3" s="53" t="s">
        <v>1</v>
      </c>
      <c r="C3" s="225" t="s">
        <v>18</v>
      </c>
      <c r="D3" s="225"/>
      <c r="E3" s="225"/>
      <c r="F3" s="225"/>
      <c r="G3" s="225"/>
      <c r="H3" s="225"/>
    </row>
    <row r="4" spans="1:9" ht="13.8" x14ac:dyDescent="0.3">
      <c r="A4" s="187"/>
      <c r="B4" s="53" t="s">
        <v>213</v>
      </c>
      <c r="C4" s="225"/>
      <c r="D4" s="225"/>
      <c r="E4" s="225"/>
      <c r="F4" s="225"/>
      <c r="G4" s="225"/>
      <c r="H4" s="225"/>
    </row>
    <row r="5" spans="1:9" ht="13.8" x14ac:dyDescent="0.3">
      <c r="A5" s="187"/>
      <c r="B5" s="53" t="s">
        <v>2</v>
      </c>
      <c r="C5" s="225" t="s">
        <v>9</v>
      </c>
      <c r="D5" s="225"/>
      <c r="E5" s="225"/>
      <c r="F5" s="225"/>
      <c r="G5" s="225"/>
      <c r="H5" s="225"/>
    </row>
    <row r="6" spans="1:9" ht="13.8" x14ac:dyDescent="0.3">
      <c r="A6" s="187"/>
      <c r="B6" s="53"/>
      <c r="C6" s="52" t="s">
        <v>22</v>
      </c>
      <c r="D6" s="52" t="s">
        <v>199</v>
      </c>
      <c r="E6" s="50" t="s">
        <v>3</v>
      </c>
      <c r="F6" s="51" t="s">
        <v>25</v>
      </c>
      <c r="G6" s="51" t="s">
        <v>26</v>
      </c>
      <c r="H6" s="51" t="s">
        <v>26</v>
      </c>
    </row>
    <row r="7" spans="1:9" ht="13.8" x14ac:dyDescent="0.3">
      <c r="A7" s="187"/>
      <c r="B7" s="53" t="s">
        <v>223</v>
      </c>
      <c r="C7" s="5"/>
      <c r="D7" s="5"/>
      <c r="E7" s="8"/>
      <c r="F7" s="9"/>
      <c r="G7" s="9">
        <f>E7*F7</f>
        <v>0</v>
      </c>
      <c r="H7" s="271">
        <f>SUM(G7:G8)</f>
        <v>0</v>
      </c>
    </row>
    <row r="8" spans="1:9" ht="13.8" x14ac:dyDescent="0.3">
      <c r="A8" s="187"/>
      <c r="B8" s="53" t="s">
        <v>224</v>
      </c>
      <c r="C8" s="5"/>
      <c r="D8" s="5"/>
      <c r="E8" s="8"/>
      <c r="F8" s="9"/>
      <c r="G8" s="9">
        <f>E8*F8</f>
        <v>0</v>
      </c>
      <c r="H8" s="272"/>
    </row>
    <row r="9" spans="1:9" s="69" customFormat="1" ht="4.2" x14ac:dyDescent="0.15">
      <c r="A9" s="72"/>
      <c r="B9" s="68"/>
      <c r="C9" s="200"/>
      <c r="D9" s="201"/>
      <c r="E9" s="201"/>
      <c r="F9" s="201"/>
      <c r="G9" s="201"/>
      <c r="H9" s="201"/>
    </row>
    <row r="10" spans="1:9" ht="13.8" x14ac:dyDescent="0.3">
      <c r="A10" s="192" t="s">
        <v>175</v>
      </c>
      <c r="B10" s="53" t="s">
        <v>62</v>
      </c>
      <c r="C10" s="162"/>
      <c r="D10" s="162"/>
      <c r="E10" s="162"/>
      <c r="F10" s="162"/>
      <c r="G10" s="162"/>
      <c r="H10" s="162"/>
    </row>
    <row r="11" spans="1:9" ht="13.8" x14ac:dyDescent="0.3">
      <c r="A11" s="192"/>
      <c r="B11" s="53" t="s">
        <v>99</v>
      </c>
      <c r="C11" s="169"/>
      <c r="D11" s="169"/>
      <c r="E11" s="169"/>
      <c r="F11" s="169"/>
      <c r="G11" s="169"/>
      <c r="H11" s="169"/>
    </row>
    <row r="12" spans="1:9" ht="13.8" x14ac:dyDescent="0.3">
      <c r="A12" s="192"/>
      <c r="B12" s="53" t="s">
        <v>75</v>
      </c>
      <c r="C12" s="162"/>
      <c r="D12" s="162"/>
      <c r="E12" s="162"/>
      <c r="F12" s="162"/>
      <c r="G12" s="162"/>
      <c r="H12" s="162"/>
    </row>
    <row r="13" spans="1:9" ht="13.8" x14ac:dyDescent="0.3">
      <c r="A13" s="192"/>
      <c r="B13" s="53" t="s">
        <v>177</v>
      </c>
      <c r="C13" s="162"/>
      <c r="D13" s="162"/>
      <c r="E13" s="162"/>
      <c r="F13" s="162"/>
      <c r="G13" s="162"/>
      <c r="H13" s="162"/>
    </row>
    <row r="14" spans="1:9" s="69" customFormat="1" ht="4.2" x14ac:dyDescent="0.15">
      <c r="A14" s="72"/>
      <c r="B14" s="68"/>
      <c r="C14" s="163"/>
      <c r="D14" s="164"/>
      <c r="E14" s="164"/>
      <c r="F14" s="164"/>
      <c r="G14" s="164"/>
      <c r="H14" s="164"/>
    </row>
    <row r="15" spans="1:9" ht="13.8" x14ac:dyDescent="0.3">
      <c r="A15" s="168" t="s">
        <v>176</v>
      </c>
      <c r="B15" s="53" t="s">
        <v>67</v>
      </c>
      <c r="C15" s="162"/>
      <c r="D15" s="162"/>
      <c r="E15" s="162"/>
      <c r="F15" s="162"/>
      <c r="G15" s="162"/>
      <c r="H15" s="162"/>
      <c r="I15" s="65"/>
    </row>
    <row r="16" spans="1:9" ht="13.8" x14ac:dyDescent="0.3">
      <c r="A16" s="168"/>
      <c r="B16" s="53" t="s">
        <v>172</v>
      </c>
      <c r="C16" s="162"/>
      <c r="D16" s="162"/>
      <c r="E16" s="162"/>
      <c r="F16" s="162"/>
      <c r="G16" s="162"/>
      <c r="H16" s="162"/>
    </row>
    <row r="17" spans="1:8" ht="13.8" x14ac:dyDescent="0.3">
      <c r="A17" s="168"/>
      <c r="B17" s="53" t="s">
        <v>214</v>
      </c>
      <c r="C17" s="162"/>
      <c r="D17" s="162"/>
      <c r="E17" s="162"/>
      <c r="F17" s="162"/>
      <c r="G17" s="162"/>
      <c r="H17" s="162"/>
    </row>
    <row r="18" spans="1:8" s="69" customFormat="1" ht="4.2" x14ac:dyDescent="0.15">
      <c r="A18" s="73"/>
      <c r="B18" s="68"/>
      <c r="C18" s="163"/>
      <c r="D18" s="164"/>
      <c r="E18" s="164"/>
      <c r="F18" s="164"/>
      <c r="G18" s="164"/>
      <c r="H18" s="164"/>
    </row>
    <row r="19" spans="1:8" ht="13.8" x14ac:dyDescent="0.3">
      <c r="A19" s="177" t="s">
        <v>65</v>
      </c>
      <c r="B19" s="53" t="s">
        <v>65</v>
      </c>
      <c r="C19" s="162"/>
      <c r="D19" s="162"/>
      <c r="E19" s="162"/>
      <c r="F19" s="162"/>
      <c r="G19" s="162"/>
      <c r="H19" s="162"/>
    </row>
    <row r="20" spans="1:8" ht="13.8" x14ac:dyDescent="0.3">
      <c r="A20" s="177"/>
      <c r="B20" s="53" t="s">
        <v>173</v>
      </c>
      <c r="C20" s="162"/>
      <c r="D20" s="162"/>
      <c r="E20" s="162"/>
      <c r="F20" s="162"/>
      <c r="G20" s="162"/>
      <c r="H20" s="162"/>
    </row>
    <row r="21" spans="1:8" ht="13.8" x14ac:dyDescent="0.3">
      <c r="A21" s="177"/>
      <c r="B21" s="53" t="s">
        <v>171</v>
      </c>
      <c r="C21" s="162"/>
      <c r="D21" s="162"/>
      <c r="E21" s="162"/>
      <c r="F21" s="162"/>
      <c r="G21" s="162"/>
      <c r="H21" s="162"/>
    </row>
    <row r="22" spans="1:8" s="66" customFormat="1" ht="5.4" x14ac:dyDescent="0.15">
      <c r="A22" s="74"/>
      <c r="B22" s="67"/>
      <c r="C22" s="231"/>
      <c r="D22" s="232"/>
      <c r="E22" s="232"/>
      <c r="F22" s="232"/>
      <c r="G22" s="232"/>
      <c r="H22" s="232"/>
    </row>
    <row r="23" spans="1:8" ht="13.8" x14ac:dyDescent="0.3">
      <c r="A23" s="170" t="s">
        <v>180</v>
      </c>
      <c r="B23" s="53" t="s">
        <v>215</v>
      </c>
      <c r="C23" s="162"/>
      <c r="D23" s="162"/>
      <c r="E23" s="162"/>
      <c r="F23" s="162"/>
      <c r="G23" s="162"/>
      <c r="H23" s="162"/>
    </row>
    <row r="24" spans="1:8" ht="13.8" x14ac:dyDescent="0.3">
      <c r="A24" s="170"/>
      <c r="B24" s="53" t="s">
        <v>146</v>
      </c>
      <c r="C24" s="169"/>
      <c r="D24" s="169"/>
      <c r="E24" s="169"/>
      <c r="F24" s="169"/>
      <c r="G24" s="169"/>
      <c r="H24" s="169"/>
    </row>
    <row r="25" spans="1:8" ht="13.8" x14ac:dyDescent="0.3">
      <c r="A25" s="170"/>
      <c r="B25" s="53" t="s">
        <v>147</v>
      </c>
      <c r="C25" s="169"/>
      <c r="D25" s="169"/>
      <c r="E25" s="169"/>
      <c r="F25" s="169"/>
      <c r="G25" s="169"/>
      <c r="H25" s="169"/>
    </row>
    <row r="26" spans="1:8" ht="13.8" x14ac:dyDescent="0.3">
      <c r="A26" s="170"/>
      <c r="B26" s="53" t="s">
        <v>68</v>
      </c>
      <c r="C26" s="169"/>
      <c r="D26" s="162"/>
      <c r="E26" s="162"/>
      <c r="F26" s="162"/>
      <c r="G26" s="162"/>
      <c r="H26" s="162"/>
    </row>
    <row r="27" spans="1:8" ht="13.8" x14ac:dyDescent="0.3">
      <c r="A27" s="170"/>
      <c r="B27" s="53" t="s">
        <v>69</v>
      </c>
      <c r="C27" s="169"/>
      <c r="D27" s="162"/>
      <c r="E27" s="162"/>
      <c r="F27" s="162"/>
      <c r="G27" s="162"/>
      <c r="H27" s="162"/>
    </row>
    <row r="28" spans="1:8" ht="15" customHeight="1" x14ac:dyDescent="0.3">
      <c r="A28" s="170"/>
      <c r="B28" s="171" t="s">
        <v>98</v>
      </c>
      <c r="C28" s="173"/>
      <c r="D28" s="174"/>
      <c r="E28" s="174"/>
      <c r="F28" s="174"/>
      <c r="G28" s="174"/>
      <c r="H28" s="175"/>
    </row>
    <row r="29" spans="1:8" ht="13.8" x14ac:dyDescent="0.3">
      <c r="A29" s="170"/>
      <c r="B29" s="172"/>
      <c r="C29" s="162"/>
      <c r="D29" s="162"/>
      <c r="E29" s="162"/>
      <c r="F29" s="162"/>
      <c r="G29" s="162"/>
      <c r="H29" s="162"/>
    </row>
    <row r="30" spans="1:8" s="69" customFormat="1" ht="4.2" x14ac:dyDescent="0.15">
      <c r="A30" s="72"/>
      <c r="B30" s="70"/>
      <c r="C30" s="163"/>
      <c r="D30" s="164"/>
      <c r="E30" s="164"/>
      <c r="F30" s="164"/>
      <c r="G30" s="164"/>
      <c r="H30" s="164"/>
    </row>
    <row r="31" spans="1:8" ht="13.8" x14ac:dyDescent="0.3">
      <c r="A31" s="180" t="s">
        <v>217</v>
      </c>
      <c r="B31" s="171" t="s">
        <v>137</v>
      </c>
      <c r="C31" s="162"/>
      <c r="D31" s="162"/>
      <c r="E31" s="162"/>
      <c r="F31" s="162"/>
      <c r="G31" s="162"/>
      <c r="H31" s="162"/>
    </row>
    <row r="32" spans="1:8" ht="13.8" x14ac:dyDescent="0.3">
      <c r="A32" s="180"/>
      <c r="B32" s="207"/>
      <c r="C32" s="162"/>
      <c r="D32" s="162"/>
      <c r="E32" s="162"/>
      <c r="F32" s="162"/>
      <c r="G32" s="162"/>
      <c r="H32" s="162"/>
    </row>
    <row r="33" spans="1:8" ht="13.8" x14ac:dyDescent="0.3">
      <c r="A33" s="180"/>
      <c r="B33" s="207"/>
      <c r="C33" s="162"/>
      <c r="D33" s="162"/>
      <c r="E33" s="162"/>
      <c r="F33" s="162"/>
      <c r="G33" s="162"/>
      <c r="H33" s="162"/>
    </row>
    <row r="34" spans="1:8" ht="13.8" x14ac:dyDescent="0.3">
      <c r="A34" s="180"/>
      <c r="B34" s="207"/>
      <c r="C34" s="165"/>
      <c r="D34" s="166"/>
      <c r="E34" s="166"/>
      <c r="F34" s="166"/>
      <c r="G34" s="166"/>
      <c r="H34" s="167"/>
    </row>
    <row r="35" spans="1:8" ht="13.8" x14ac:dyDescent="0.3">
      <c r="A35" s="180"/>
      <c r="B35" s="207"/>
      <c r="C35" s="165"/>
      <c r="D35" s="166"/>
      <c r="E35" s="166"/>
      <c r="F35" s="166"/>
      <c r="G35" s="166"/>
      <c r="H35" s="167"/>
    </row>
    <row r="36" spans="1:8" ht="13.8" x14ac:dyDescent="0.3">
      <c r="A36" s="180"/>
      <c r="B36" s="207"/>
      <c r="C36" s="165"/>
      <c r="D36" s="166"/>
      <c r="E36" s="166"/>
      <c r="F36" s="166"/>
      <c r="G36" s="166"/>
      <c r="H36" s="167"/>
    </row>
    <row r="37" spans="1:8" ht="13.8" x14ac:dyDescent="0.3">
      <c r="A37" s="180"/>
      <c r="B37" s="172"/>
      <c r="C37" s="273"/>
      <c r="D37" s="274"/>
      <c r="E37" s="274"/>
      <c r="F37" s="274"/>
      <c r="G37" s="274"/>
      <c r="H37" s="275"/>
    </row>
    <row r="38" spans="1:8" ht="13.8" x14ac:dyDescent="0.3">
      <c r="A38" s="180"/>
      <c r="B38" s="171" t="s">
        <v>216</v>
      </c>
      <c r="C38" s="162"/>
      <c r="D38" s="162"/>
      <c r="E38" s="162"/>
      <c r="F38" s="162"/>
      <c r="G38" s="162"/>
      <c r="H38" s="162"/>
    </row>
    <row r="39" spans="1:8" ht="13.8" x14ac:dyDescent="0.3">
      <c r="A39" s="180"/>
      <c r="B39" s="207"/>
      <c r="C39" s="162"/>
      <c r="D39" s="162"/>
      <c r="E39" s="162"/>
      <c r="F39" s="162"/>
      <c r="G39" s="162"/>
      <c r="H39" s="162"/>
    </row>
    <row r="40" spans="1:8" ht="13.8" x14ac:dyDescent="0.3">
      <c r="A40" s="180"/>
      <c r="B40" s="207"/>
      <c r="C40" s="162"/>
      <c r="D40" s="162"/>
      <c r="E40" s="162"/>
      <c r="F40" s="162"/>
      <c r="G40" s="162"/>
      <c r="H40" s="162"/>
    </row>
    <row r="41" spans="1:8" ht="13.8" x14ac:dyDescent="0.3">
      <c r="A41" s="180"/>
      <c r="B41" s="172"/>
      <c r="C41" s="162"/>
      <c r="D41" s="162"/>
      <c r="E41" s="162"/>
      <c r="F41" s="162"/>
      <c r="G41" s="162"/>
      <c r="H41" s="162"/>
    </row>
    <row r="42" spans="1:8" ht="15" customHeight="1" x14ac:dyDescent="0.3">
      <c r="A42" s="180"/>
      <c r="B42" s="171" t="s">
        <v>185</v>
      </c>
      <c r="C42" s="75"/>
      <c r="D42" s="57"/>
      <c r="E42" s="279"/>
      <c r="F42" s="279"/>
      <c r="G42" s="279"/>
      <c r="H42" s="279"/>
    </row>
    <row r="43" spans="1:8" ht="15" customHeight="1" x14ac:dyDescent="0.3">
      <c r="A43" s="180"/>
      <c r="B43" s="172"/>
      <c r="C43" s="75"/>
      <c r="D43" s="76"/>
      <c r="E43" s="236"/>
      <c r="F43" s="237"/>
      <c r="G43" s="237"/>
      <c r="H43" s="238"/>
    </row>
    <row r="44" spans="1:8" ht="15" customHeight="1" x14ac:dyDescent="0.3">
      <c r="A44" s="55"/>
      <c r="B44" s="54"/>
      <c r="C44" s="75"/>
      <c r="D44" s="76"/>
      <c r="E44" s="82"/>
      <c r="F44" s="83"/>
      <c r="G44" s="83"/>
      <c r="H44" s="84"/>
    </row>
    <row r="45" spans="1:8" ht="15" customHeight="1" x14ac:dyDescent="0.3">
      <c r="A45" s="55"/>
      <c r="B45" s="54"/>
      <c r="C45" s="75"/>
      <c r="D45" s="75"/>
      <c r="E45" s="276"/>
      <c r="F45" s="277"/>
      <c r="G45" s="277"/>
      <c r="H45" s="278"/>
    </row>
    <row r="46" spans="1:8" s="69" customFormat="1" ht="4.2" x14ac:dyDescent="0.15">
      <c r="A46" s="72"/>
      <c r="B46" s="71"/>
      <c r="C46" s="163"/>
      <c r="D46" s="164"/>
      <c r="E46" s="164"/>
      <c r="F46" s="164"/>
      <c r="G46" s="164"/>
      <c r="H46" s="164"/>
    </row>
    <row r="47" spans="1:8" ht="13.8" x14ac:dyDescent="0.3">
      <c r="A47" s="176" t="s">
        <v>181</v>
      </c>
      <c r="B47" s="53" t="s">
        <v>218</v>
      </c>
      <c r="C47" s="162" t="str">
        <f>C1&amp;" ("&amp;C2&amp;") "&amp;"-"&amp;" "&amp;C2</f>
        <v xml:space="preserve"> () - </v>
      </c>
      <c r="D47" s="162"/>
      <c r="E47" s="162"/>
      <c r="F47" s="162"/>
      <c r="G47" s="162"/>
      <c r="H47" s="162"/>
    </row>
    <row r="48" spans="1:8" ht="13.8" x14ac:dyDescent="0.3">
      <c r="A48" s="176"/>
      <c r="B48" s="53" t="s">
        <v>71</v>
      </c>
      <c r="C48" s="165" t="str">
        <f>"AFC"&amp;" ("&amp;C$5&amp;") "&amp;"-"&amp;" "&amp;C$4&amp;" - CHINA TO UAE"</f>
        <v>AFC (SLEEVES) -  - CHINA TO UAE</v>
      </c>
      <c r="D48" s="166"/>
      <c r="E48" s="166"/>
      <c r="F48" s="166"/>
      <c r="G48" s="166"/>
      <c r="H48" s="167"/>
    </row>
  </sheetData>
  <mergeCells count="56">
    <mergeCell ref="C46:H46"/>
    <mergeCell ref="A47:A48"/>
    <mergeCell ref="C47:H47"/>
    <mergeCell ref="C48:H48"/>
    <mergeCell ref="C28:H28"/>
    <mergeCell ref="B28:B29"/>
    <mergeCell ref="E43:H43"/>
    <mergeCell ref="B42:B43"/>
    <mergeCell ref="E45:H45"/>
    <mergeCell ref="C38:H38"/>
    <mergeCell ref="C39:H39"/>
    <mergeCell ref="C40:H40"/>
    <mergeCell ref="C41:H41"/>
    <mergeCell ref="E42:H42"/>
    <mergeCell ref="C35:H35"/>
    <mergeCell ref="C36:H36"/>
    <mergeCell ref="C27:H27"/>
    <mergeCell ref="C29:H29"/>
    <mergeCell ref="C30:H30"/>
    <mergeCell ref="A31:A43"/>
    <mergeCell ref="B31:B37"/>
    <mergeCell ref="C31:H31"/>
    <mergeCell ref="C32:H32"/>
    <mergeCell ref="C33:H33"/>
    <mergeCell ref="C34:H34"/>
    <mergeCell ref="B38:B41"/>
    <mergeCell ref="A23:A29"/>
    <mergeCell ref="C23:H23"/>
    <mergeCell ref="C24:H24"/>
    <mergeCell ref="C25:H25"/>
    <mergeCell ref="C26:H26"/>
    <mergeCell ref="C37:H37"/>
    <mergeCell ref="A19:A21"/>
    <mergeCell ref="C19:H19"/>
    <mergeCell ref="C20:H20"/>
    <mergeCell ref="C21:H21"/>
    <mergeCell ref="C22:H22"/>
    <mergeCell ref="C18:H18"/>
    <mergeCell ref="C9:H9"/>
    <mergeCell ref="A10:A13"/>
    <mergeCell ref="C10:H10"/>
    <mergeCell ref="C11:H11"/>
    <mergeCell ref="C12:H12"/>
    <mergeCell ref="C13:H13"/>
    <mergeCell ref="C14:H14"/>
    <mergeCell ref="A15:A17"/>
    <mergeCell ref="C15:H15"/>
    <mergeCell ref="C16:H16"/>
    <mergeCell ref="C17:H17"/>
    <mergeCell ref="A1:A8"/>
    <mergeCell ref="C1:H1"/>
    <mergeCell ref="C2:H2"/>
    <mergeCell ref="C3:H3"/>
    <mergeCell ref="C4:H4"/>
    <mergeCell ref="C5:H5"/>
    <mergeCell ref="H7:H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2A42-42F4-45C6-9CE3-E8E73C9D3EB2}">
  <dimension ref="A1:I44"/>
  <sheetViews>
    <sheetView topLeftCell="A7" zoomScale="90" zoomScaleNormal="90" workbookViewId="0">
      <selection activeCell="C43" sqref="C43:H43"/>
    </sheetView>
  </sheetViews>
  <sheetFormatPr defaultColWidth="23.5546875" defaultRowHeight="23.4" x14ac:dyDescent="0.3"/>
  <cols>
    <col min="1" max="1" width="23.44140625" style="56" bestFit="1" customWidth="1"/>
    <col min="2" max="2" width="26.109375" style="2" bestFit="1" customWidth="1"/>
    <col min="3" max="3" width="25.33203125" style="58" bestFit="1" customWidth="1"/>
    <col min="4" max="4" width="32.109375" style="58" bestFit="1" customWidth="1"/>
    <col min="5" max="5" width="5.44140625" style="58" bestFit="1" customWidth="1"/>
    <col min="6" max="6" width="9.5546875" style="58" bestFit="1" customWidth="1"/>
    <col min="7" max="8" width="10.109375" style="58" bestFit="1" customWidth="1"/>
    <col min="9" max="16384" width="23.5546875" style="2"/>
  </cols>
  <sheetData>
    <row r="1" spans="1:9" ht="13.8" x14ac:dyDescent="0.3">
      <c r="A1" s="186" t="s">
        <v>198</v>
      </c>
      <c r="B1" s="53" t="s">
        <v>0</v>
      </c>
      <c r="C1" s="225"/>
      <c r="D1" s="225"/>
      <c r="E1" s="225"/>
      <c r="F1" s="225"/>
      <c r="G1" s="225"/>
      <c r="H1" s="225"/>
    </row>
    <row r="2" spans="1:9" ht="13.8" x14ac:dyDescent="0.3">
      <c r="A2" s="187"/>
      <c r="B2" s="53" t="s">
        <v>20</v>
      </c>
      <c r="C2" s="226"/>
      <c r="D2" s="226"/>
      <c r="E2" s="226"/>
      <c r="F2" s="226"/>
      <c r="G2" s="226"/>
      <c r="H2" s="226"/>
    </row>
    <row r="3" spans="1:9" ht="13.8" x14ac:dyDescent="0.3">
      <c r="A3" s="187"/>
      <c r="B3" s="53" t="s">
        <v>1</v>
      </c>
      <c r="C3" s="225" t="s">
        <v>105</v>
      </c>
      <c r="D3" s="225"/>
      <c r="E3" s="225"/>
      <c r="F3" s="225"/>
      <c r="G3" s="225"/>
      <c r="H3" s="225"/>
    </row>
    <row r="4" spans="1:9" ht="13.8" x14ac:dyDescent="0.3">
      <c r="A4" s="187"/>
      <c r="B4" s="53" t="s">
        <v>213</v>
      </c>
      <c r="C4" s="225"/>
      <c r="D4" s="225"/>
      <c r="E4" s="225"/>
      <c r="F4" s="225"/>
      <c r="G4" s="225"/>
      <c r="H4" s="225"/>
    </row>
    <row r="5" spans="1:9" ht="13.8" x14ac:dyDescent="0.3">
      <c r="A5" s="187"/>
      <c r="B5" s="53" t="s">
        <v>2</v>
      </c>
      <c r="C5" s="225" t="s">
        <v>232</v>
      </c>
      <c r="D5" s="225"/>
      <c r="E5" s="225"/>
      <c r="F5" s="225"/>
      <c r="G5" s="225"/>
      <c r="H5" s="225"/>
    </row>
    <row r="6" spans="1:9" ht="13.8" x14ac:dyDescent="0.3">
      <c r="A6" s="187"/>
      <c r="B6" s="53"/>
      <c r="C6" s="52" t="s">
        <v>22</v>
      </c>
      <c r="D6" s="52" t="s">
        <v>199</v>
      </c>
      <c r="E6" s="50" t="s">
        <v>3</v>
      </c>
      <c r="F6" s="51" t="s">
        <v>25</v>
      </c>
      <c r="G6" s="51" t="s">
        <v>26</v>
      </c>
      <c r="H6" s="51" t="s">
        <v>26</v>
      </c>
    </row>
    <row r="7" spans="1:9" ht="13.8" x14ac:dyDescent="0.3">
      <c r="A7" s="187"/>
      <c r="B7" s="53" t="s">
        <v>223</v>
      </c>
      <c r="C7" s="5"/>
      <c r="D7" s="5"/>
      <c r="E7" s="8"/>
      <c r="F7" s="9"/>
      <c r="G7" s="9">
        <f>(E7*F7)</f>
        <v>0</v>
      </c>
      <c r="H7" s="271">
        <f>SUM(G7:G8)</f>
        <v>0</v>
      </c>
    </row>
    <row r="8" spans="1:9" ht="13.8" x14ac:dyDescent="0.3">
      <c r="A8" s="187"/>
      <c r="B8" s="53" t="s">
        <v>224</v>
      </c>
      <c r="C8" s="5"/>
      <c r="D8" s="5"/>
      <c r="E8" s="8"/>
      <c r="F8" s="9"/>
      <c r="G8" s="9"/>
      <c r="H8" s="280"/>
    </row>
    <row r="9" spans="1:9" s="69" customFormat="1" ht="4.2" x14ac:dyDescent="0.15">
      <c r="A9" s="72"/>
      <c r="B9" s="68"/>
      <c r="C9" s="200"/>
      <c r="D9" s="201"/>
      <c r="E9" s="201"/>
      <c r="F9" s="201"/>
      <c r="G9" s="201"/>
      <c r="H9" s="201"/>
    </row>
    <row r="10" spans="1:9" ht="13.8" x14ac:dyDescent="0.3">
      <c r="A10" s="192" t="s">
        <v>175</v>
      </c>
      <c r="B10" s="53" t="s">
        <v>62</v>
      </c>
      <c r="C10" s="162"/>
      <c r="D10" s="162"/>
      <c r="E10" s="162"/>
      <c r="F10" s="162"/>
      <c r="G10" s="162"/>
      <c r="H10" s="162"/>
    </row>
    <row r="11" spans="1:9" ht="13.8" x14ac:dyDescent="0.3">
      <c r="A11" s="192"/>
      <c r="B11" s="53" t="s">
        <v>99</v>
      </c>
      <c r="C11" s="169"/>
      <c r="D11" s="169"/>
      <c r="E11" s="169"/>
      <c r="F11" s="169"/>
      <c r="G11" s="169"/>
      <c r="H11" s="169"/>
    </row>
    <row r="12" spans="1:9" ht="13.8" x14ac:dyDescent="0.3">
      <c r="A12" s="192"/>
      <c r="B12" s="53" t="s">
        <v>75</v>
      </c>
      <c r="C12" s="162"/>
      <c r="D12" s="162"/>
      <c r="E12" s="162"/>
      <c r="F12" s="162"/>
      <c r="G12" s="162"/>
      <c r="H12" s="162"/>
    </row>
    <row r="13" spans="1:9" ht="13.8" x14ac:dyDescent="0.3">
      <c r="A13" s="192"/>
      <c r="B13" s="53" t="s">
        <v>177</v>
      </c>
      <c r="C13" s="162"/>
      <c r="D13" s="162"/>
      <c r="E13" s="162"/>
      <c r="F13" s="162"/>
      <c r="G13" s="162"/>
      <c r="H13" s="162"/>
    </row>
    <row r="14" spans="1:9" s="69" customFormat="1" ht="4.2" x14ac:dyDescent="0.15">
      <c r="A14" s="72"/>
      <c r="B14" s="68"/>
      <c r="C14" s="163"/>
      <c r="D14" s="164"/>
      <c r="E14" s="164"/>
      <c r="F14" s="164"/>
      <c r="G14" s="164"/>
      <c r="H14" s="164"/>
    </row>
    <row r="15" spans="1:9" ht="13.8" x14ac:dyDescent="0.3">
      <c r="A15" s="168" t="s">
        <v>176</v>
      </c>
      <c r="B15" s="53" t="s">
        <v>67</v>
      </c>
      <c r="C15" s="162"/>
      <c r="D15" s="162"/>
      <c r="E15" s="162"/>
      <c r="F15" s="162"/>
      <c r="G15" s="162"/>
      <c r="H15" s="162"/>
      <c r="I15" s="65"/>
    </row>
    <row r="16" spans="1:9" ht="13.8" x14ac:dyDescent="0.3">
      <c r="A16" s="168"/>
      <c r="B16" s="53" t="s">
        <v>172</v>
      </c>
      <c r="C16" s="162"/>
      <c r="D16" s="162"/>
      <c r="E16" s="162"/>
      <c r="F16" s="162"/>
      <c r="G16" s="162"/>
      <c r="H16" s="162"/>
    </row>
    <row r="17" spans="1:8" ht="13.8" x14ac:dyDescent="0.3">
      <c r="A17" s="168"/>
      <c r="B17" s="53" t="s">
        <v>214</v>
      </c>
      <c r="C17" s="162"/>
      <c r="D17" s="162"/>
      <c r="E17" s="162"/>
      <c r="F17" s="162"/>
      <c r="G17" s="162"/>
      <c r="H17" s="162"/>
    </row>
    <row r="18" spans="1:8" s="69" customFormat="1" ht="4.2" x14ac:dyDescent="0.15">
      <c r="A18" s="73"/>
      <c r="B18" s="68"/>
      <c r="C18" s="163"/>
      <c r="D18" s="164"/>
      <c r="E18" s="164"/>
      <c r="F18" s="164"/>
      <c r="G18" s="164"/>
      <c r="H18" s="164"/>
    </row>
    <row r="19" spans="1:8" ht="13.8" x14ac:dyDescent="0.3">
      <c r="A19" s="177" t="s">
        <v>65</v>
      </c>
      <c r="B19" s="53" t="s">
        <v>65</v>
      </c>
      <c r="C19" s="162"/>
      <c r="D19" s="162"/>
      <c r="E19" s="162"/>
      <c r="F19" s="162"/>
      <c r="G19" s="162"/>
      <c r="H19" s="162"/>
    </row>
    <row r="20" spans="1:8" ht="13.8" x14ac:dyDescent="0.3">
      <c r="A20" s="177"/>
      <c r="B20" s="53" t="s">
        <v>173</v>
      </c>
      <c r="C20" s="162"/>
      <c r="D20" s="162"/>
      <c r="E20" s="162"/>
      <c r="F20" s="162"/>
      <c r="G20" s="162"/>
      <c r="H20" s="162"/>
    </row>
    <row r="21" spans="1:8" ht="13.8" x14ac:dyDescent="0.3">
      <c r="A21" s="177"/>
      <c r="B21" s="53" t="s">
        <v>171</v>
      </c>
      <c r="C21" s="162"/>
      <c r="D21" s="162"/>
      <c r="E21" s="162"/>
      <c r="F21" s="162"/>
      <c r="G21" s="162"/>
      <c r="H21" s="162"/>
    </row>
    <row r="22" spans="1:8" s="66" customFormat="1" ht="5.4" x14ac:dyDescent="0.15">
      <c r="A22" s="74"/>
      <c r="B22" s="67"/>
      <c r="C22" s="231"/>
      <c r="D22" s="232"/>
      <c r="E22" s="232"/>
      <c r="F22" s="232"/>
      <c r="G22" s="232"/>
      <c r="H22" s="232"/>
    </row>
    <row r="23" spans="1:8" ht="13.8" x14ac:dyDescent="0.3">
      <c r="A23" s="170" t="s">
        <v>180</v>
      </c>
      <c r="B23" s="53" t="s">
        <v>215</v>
      </c>
      <c r="C23" s="162"/>
      <c r="D23" s="162"/>
      <c r="E23" s="162"/>
      <c r="F23" s="162"/>
      <c r="G23" s="162"/>
      <c r="H23" s="162"/>
    </row>
    <row r="24" spans="1:8" ht="13.8" x14ac:dyDescent="0.3">
      <c r="A24" s="170"/>
      <c r="B24" s="53" t="s">
        <v>146</v>
      </c>
      <c r="C24" s="169"/>
      <c r="D24" s="169"/>
      <c r="E24" s="169"/>
      <c r="F24" s="169"/>
      <c r="G24" s="169"/>
      <c r="H24" s="169"/>
    </row>
    <row r="25" spans="1:8" ht="13.8" x14ac:dyDescent="0.3">
      <c r="A25" s="170"/>
      <c r="B25" s="53" t="s">
        <v>147</v>
      </c>
      <c r="C25" s="169"/>
      <c r="D25" s="169"/>
      <c r="E25" s="169"/>
      <c r="F25" s="169"/>
      <c r="G25" s="169"/>
      <c r="H25" s="169"/>
    </row>
    <row r="26" spans="1:8" ht="13.8" x14ac:dyDescent="0.3">
      <c r="A26" s="170"/>
      <c r="B26" s="53" t="s">
        <v>68</v>
      </c>
      <c r="C26" s="169"/>
      <c r="D26" s="162"/>
      <c r="E26" s="162"/>
      <c r="F26" s="162"/>
      <c r="G26" s="162"/>
      <c r="H26" s="162"/>
    </row>
    <row r="27" spans="1:8" ht="13.8" x14ac:dyDescent="0.3">
      <c r="A27" s="170"/>
      <c r="B27" s="53" t="s">
        <v>69</v>
      </c>
      <c r="C27" s="169"/>
      <c r="D27" s="162"/>
      <c r="E27" s="162"/>
      <c r="F27" s="162"/>
      <c r="G27" s="162"/>
      <c r="H27" s="162"/>
    </row>
    <row r="28" spans="1:8" ht="15" customHeight="1" x14ac:dyDescent="0.3">
      <c r="A28" s="170"/>
      <c r="B28" s="281" t="s">
        <v>98</v>
      </c>
      <c r="C28" s="173"/>
      <c r="D28" s="174"/>
      <c r="E28" s="174"/>
      <c r="F28" s="174"/>
      <c r="G28" s="174"/>
      <c r="H28" s="175"/>
    </row>
    <row r="29" spans="1:8" ht="13.8" x14ac:dyDescent="0.3">
      <c r="A29" s="170"/>
      <c r="B29" s="282"/>
      <c r="C29" s="162"/>
      <c r="D29" s="162"/>
      <c r="E29" s="162"/>
      <c r="F29" s="162"/>
      <c r="G29" s="162"/>
      <c r="H29" s="162"/>
    </row>
    <row r="30" spans="1:8" s="69" customFormat="1" ht="4.2" x14ac:dyDescent="0.15">
      <c r="A30" s="72"/>
      <c r="B30" s="70"/>
      <c r="C30" s="163"/>
      <c r="D30" s="164"/>
      <c r="E30" s="164"/>
      <c r="F30" s="164"/>
      <c r="G30" s="164"/>
      <c r="H30" s="164"/>
    </row>
    <row r="31" spans="1:8" ht="13.8" x14ac:dyDescent="0.3">
      <c r="A31" s="180" t="s">
        <v>217</v>
      </c>
      <c r="B31" s="171" t="s">
        <v>137</v>
      </c>
      <c r="C31" s="162"/>
      <c r="D31" s="162"/>
      <c r="E31" s="162"/>
      <c r="F31" s="162"/>
      <c r="G31" s="162"/>
      <c r="H31" s="162"/>
    </row>
    <row r="32" spans="1:8" ht="13.8" x14ac:dyDescent="0.3">
      <c r="A32" s="180"/>
      <c r="B32" s="207"/>
      <c r="C32" s="162"/>
      <c r="D32" s="162"/>
      <c r="E32" s="162"/>
      <c r="F32" s="162"/>
      <c r="G32" s="162"/>
      <c r="H32" s="162"/>
    </row>
    <row r="33" spans="1:8" ht="13.8" x14ac:dyDescent="0.3">
      <c r="A33" s="180"/>
      <c r="B33" s="207"/>
      <c r="C33" s="162"/>
      <c r="D33" s="162"/>
      <c r="E33" s="162"/>
      <c r="F33" s="162"/>
      <c r="G33" s="162"/>
      <c r="H33" s="162"/>
    </row>
    <row r="34" spans="1:8" ht="13.8" x14ac:dyDescent="0.3">
      <c r="A34" s="180"/>
      <c r="B34" s="172"/>
      <c r="C34" s="162"/>
      <c r="D34" s="162"/>
      <c r="E34" s="162"/>
      <c r="F34" s="162"/>
      <c r="G34" s="162"/>
      <c r="H34" s="162"/>
    </row>
    <row r="35" spans="1:8" ht="13.8" x14ac:dyDescent="0.3">
      <c r="A35" s="180"/>
      <c r="B35" s="171" t="s">
        <v>216</v>
      </c>
      <c r="C35" s="165"/>
      <c r="D35" s="166"/>
      <c r="E35" s="166"/>
      <c r="F35" s="166"/>
      <c r="G35" s="166"/>
      <c r="H35" s="167"/>
    </row>
    <row r="36" spans="1:8" ht="13.8" x14ac:dyDescent="0.3">
      <c r="A36" s="180"/>
      <c r="B36" s="207"/>
      <c r="C36" s="165"/>
      <c r="D36" s="166"/>
      <c r="E36" s="166"/>
      <c r="F36" s="166"/>
      <c r="G36" s="166"/>
      <c r="H36" s="167"/>
    </row>
    <row r="37" spans="1:8" ht="13.8" x14ac:dyDescent="0.3">
      <c r="A37" s="180"/>
      <c r="B37" s="207"/>
      <c r="C37" s="165"/>
      <c r="D37" s="166"/>
      <c r="E37" s="166"/>
      <c r="F37" s="166"/>
      <c r="G37" s="166"/>
      <c r="H37" s="167"/>
    </row>
    <row r="38" spans="1:8" ht="13.8" x14ac:dyDescent="0.3">
      <c r="A38" s="180"/>
      <c r="B38" s="207"/>
      <c r="C38" s="165"/>
      <c r="D38" s="166"/>
      <c r="E38" s="166"/>
      <c r="F38" s="166"/>
      <c r="G38" s="166"/>
      <c r="H38" s="167"/>
    </row>
    <row r="39" spans="1:8" ht="13.8" x14ac:dyDescent="0.3">
      <c r="A39" s="180"/>
      <c r="B39" s="172"/>
      <c r="C39" s="165"/>
      <c r="D39" s="166"/>
      <c r="E39" s="166"/>
      <c r="F39" s="166"/>
      <c r="G39" s="166"/>
      <c r="H39" s="167"/>
    </row>
    <row r="40" spans="1:8" s="58" customFormat="1" ht="12" customHeight="1" x14ac:dyDescent="0.25">
      <c r="A40" s="180"/>
      <c r="B40" s="171" t="s">
        <v>185</v>
      </c>
      <c r="C40" s="77" t="s">
        <v>231</v>
      </c>
      <c r="D40" s="57"/>
      <c r="E40" s="279"/>
      <c r="F40" s="279"/>
      <c r="G40" s="279"/>
      <c r="H40" s="279"/>
    </row>
    <row r="41" spans="1:8" ht="15" customHeight="1" x14ac:dyDescent="0.3">
      <c r="A41" s="180"/>
      <c r="B41" s="172"/>
      <c r="C41" s="75"/>
      <c r="D41" s="76"/>
      <c r="E41" s="210"/>
      <c r="F41" s="210"/>
      <c r="G41" s="210"/>
      <c r="H41" s="210"/>
    </row>
    <row r="42" spans="1:8" s="69" customFormat="1" ht="4.2" x14ac:dyDescent="0.15">
      <c r="A42" s="72"/>
      <c r="B42" s="71"/>
      <c r="C42" s="163"/>
      <c r="D42" s="164"/>
      <c r="E42" s="164"/>
      <c r="F42" s="164"/>
      <c r="G42" s="164"/>
      <c r="H42" s="164"/>
    </row>
    <row r="43" spans="1:8" ht="13.8" x14ac:dyDescent="0.3">
      <c r="A43" s="176" t="s">
        <v>181</v>
      </c>
      <c r="B43" s="53" t="s">
        <v>218</v>
      </c>
      <c r="C43" s="165"/>
      <c r="D43" s="166"/>
      <c r="E43" s="166"/>
      <c r="F43" s="166"/>
      <c r="G43" s="166"/>
      <c r="H43" s="167"/>
    </row>
    <row r="44" spans="1:8" ht="13.8" x14ac:dyDescent="0.3">
      <c r="A44" s="176"/>
      <c r="B44" s="53" t="s">
        <v>71</v>
      </c>
      <c r="C44" s="165" t="str">
        <f>"AFC"&amp;" ("&amp;C$5&amp;") "&amp;"-"&amp;" "&amp;C$4&amp;" - CHINA TO UAE"</f>
        <v>AFC (GAUZE (SAMPLES)) -  - CHINA TO UAE</v>
      </c>
      <c r="D44" s="166"/>
      <c r="E44" s="166"/>
      <c r="F44" s="166"/>
      <c r="G44" s="166"/>
      <c r="H44" s="167"/>
    </row>
  </sheetData>
  <mergeCells count="53">
    <mergeCell ref="E40:H40"/>
    <mergeCell ref="E41:H41"/>
    <mergeCell ref="C30:H30"/>
    <mergeCell ref="C42:H42"/>
    <mergeCell ref="A43:A44"/>
    <mergeCell ref="C43:H43"/>
    <mergeCell ref="C44:H44"/>
    <mergeCell ref="C34:H34"/>
    <mergeCell ref="C35:H35"/>
    <mergeCell ref="C36:H36"/>
    <mergeCell ref="C37:H37"/>
    <mergeCell ref="C38:H38"/>
    <mergeCell ref="A31:A41"/>
    <mergeCell ref="B31:B34"/>
    <mergeCell ref="C31:H31"/>
    <mergeCell ref="C32:H32"/>
    <mergeCell ref="C33:H33"/>
    <mergeCell ref="C39:H39"/>
    <mergeCell ref="B35:B39"/>
    <mergeCell ref="B40:B41"/>
    <mergeCell ref="A19:A21"/>
    <mergeCell ref="C19:H19"/>
    <mergeCell ref="C20:H20"/>
    <mergeCell ref="C21:H21"/>
    <mergeCell ref="C22:H22"/>
    <mergeCell ref="A23:A29"/>
    <mergeCell ref="C23:H23"/>
    <mergeCell ref="C24:H24"/>
    <mergeCell ref="C25:H25"/>
    <mergeCell ref="C26:H26"/>
    <mergeCell ref="C27:H27"/>
    <mergeCell ref="B28:B29"/>
    <mergeCell ref="C28:H28"/>
    <mergeCell ref="C29:H29"/>
    <mergeCell ref="C18:H18"/>
    <mergeCell ref="C9:H9"/>
    <mergeCell ref="A10:A13"/>
    <mergeCell ref="C10:H10"/>
    <mergeCell ref="C11:H11"/>
    <mergeCell ref="C12:H12"/>
    <mergeCell ref="C13:H13"/>
    <mergeCell ref="C14:H14"/>
    <mergeCell ref="A15:A17"/>
    <mergeCell ref="C15:H15"/>
    <mergeCell ref="C16:H16"/>
    <mergeCell ref="C17:H17"/>
    <mergeCell ref="A1:A8"/>
    <mergeCell ref="C1:H1"/>
    <mergeCell ref="C2:H2"/>
    <mergeCell ref="C3:H3"/>
    <mergeCell ref="C4:H4"/>
    <mergeCell ref="C5:H5"/>
    <mergeCell ref="H7:H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3E7B-FBD9-4272-A25D-99C80F76B661}">
  <dimension ref="A1:C13"/>
  <sheetViews>
    <sheetView topLeftCell="A2" workbookViewId="0">
      <selection activeCell="C13" sqref="C13"/>
    </sheetView>
  </sheetViews>
  <sheetFormatPr defaultRowHeight="14.4" x14ac:dyDescent="0.3"/>
  <cols>
    <col min="1" max="1" width="16.6640625" bestFit="1" customWidth="1"/>
    <col min="2" max="2" width="45.5546875" bestFit="1" customWidth="1"/>
  </cols>
  <sheetData>
    <row r="1" spans="1:3" x14ac:dyDescent="0.3">
      <c r="A1" t="s">
        <v>2</v>
      </c>
      <c r="B1" t="s">
        <v>6</v>
      </c>
      <c r="C1" t="s">
        <v>19</v>
      </c>
    </row>
    <row r="2" spans="1:3" x14ac:dyDescent="0.3">
      <c r="A2" t="s">
        <v>5</v>
      </c>
      <c r="B2" t="s">
        <v>7</v>
      </c>
      <c r="C2" t="s">
        <v>74</v>
      </c>
    </row>
    <row r="3" spans="1:3" ht="15.6" x14ac:dyDescent="0.3">
      <c r="A3" t="s">
        <v>8</v>
      </c>
      <c r="B3" s="1" t="s">
        <v>17</v>
      </c>
      <c r="C3" t="s">
        <v>56</v>
      </c>
    </row>
    <row r="4" spans="1:3" ht="15.6" x14ac:dyDescent="0.3">
      <c r="A4" t="s">
        <v>9</v>
      </c>
      <c r="B4" s="1" t="s">
        <v>18</v>
      </c>
      <c r="C4" t="s">
        <v>73</v>
      </c>
    </row>
    <row r="5" spans="1:3" x14ac:dyDescent="0.3">
      <c r="C5" t="s">
        <v>55</v>
      </c>
    </row>
    <row r="6" spans="1:3" x14ac:dyDescent="0.3">
      <c r="C6" t="s">
        <v>60</v>
      </c>
    </row>
    <row r="7" spans="1:3" x14ac:dyDescent="0.3">
      <c r="C7" t="s">
        <v>61</v>
      </c>
    </row>
    <row r="8" spans="1:3" x14ac:dyDescent="0.3">
      <c r="C8" t="s">
        <v>63</v>
      </c>
    </row>
    <row r="9" spans="1:3" x14ac:dyDescent="0.3">
      <c r="C9" t="s">
        <v>64</v>
      </c>
    </row>
    <row r="10" spans="1:3" x14ac:dyDescent="0.3">
      <c r="C10" t="s">
        <v>100</v>
      </c>
    </row>
    <row r="11" spans="1:3" x14ac:dyDescent="0.3">
      <c r="C11" t="s">
        <v>101</v>
      </c>
    </row>
    <row r="12" spans="1:3" x14ac:dyDescent="0.3">
      <c r="C12" t="s">
        <v>102</v>
      </c>
    </row>
    <row r="13" spans="1:3" x14ac:dyDescent="0.3">
      <c r="C13" t="s">
        <v>103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B051-FD14-41FD-8E0E-A499ABF8E49A}">
  <dimension ref="A1:AG24"/>
  <sheetViews>
    <sheetView zoomScale="70" zoomScaleNormal="70" workbookViewId="0">
      <pane xSplit="5" ySplit="2" topLeftCell="Z3" activePane="bottomRight" state="frozen"/>
      <selection pane="topRight" activeCell="F1" sqref="F1"/>
      <selection pane="bottomLeft" activeCell="A2" sqref="A2"/>
      <selection pane="bottomRight" activeCell="D2" sqref="D2:E23"/>
    </sheetView>
  </sheetViews>
  <sheetFormatPr defaultColWidth="8.6640625" defaultRowHeight="13.8" x14ac:dyDescent="0.3"/>
  <cols>
    <col min="1" max="1" width="9.109375" style="14" bestFit="1" customWidth="1"/>
    <col min="2" max="2" width="12.44140625" style="14" bestFit="1" customWidth="1"/>
    <col min="3" max="3" width="41.44140625" style="14" bestFit="1" customWidth="1"/>
    <col min="4" max="4" width="18.88671875" style="29" bestFit="1" customWidth="1"/>
    <col min="5" max="5" width="29.33203125" style="30" bestFit="1" customWidth="1"/>
    <col min="6" max="6" width="14.5546875" style="14" bestFit="1" customWidth="1"/>
    <col min="7" max="7" width="90.88671875" style="14" bestFit="1" customWidth="1"/>
    <col min="8" max="8" width="8" style="15" bestFit="1" customWidth="1"/>
    <col min="9" max="9" width="13.88671875" style="16" bestFit="1" customWidth="1"/>
    <col min="10" max="10" width="14.88671875" style="16" bestFit="1" customWidth="1"/>
    <col min="11" max="11" width="15" style="31" bestFit="1" customWidth="1"/>
    <col min="12" max="12" width="21.6640625" style="34" bestFit="1" customWidth="1"/>
    <col min="13" max="13" width="19.44140625" style="34" bestFit="1" customWidth="1"/>
    <col min="14" max="14" width="18.109375" style="34" bestFit="1" customWidth="1"/>
    <col min="15" max="15" width="18.109375" style="34" customWidth="1"/>
    <col min="16" max="16" width="65.6640625" style="14" bestFit="1" customWidth="1"/>
    <col min="17" max="17" width="20.5546875" style="14" bestFit="1" customWidth="1"/>
    <col min="18" max="18" width="30.5546875" style="14" bestFit="1" customWidth="1"/>
    <col min="19" max="19" width="16.5546875" style="35" bestFit="1" customWidth="1"/>
    <col min="20" max="20" width="25.109375" style="14" bestFit="1" customWidth="1"/>
    <col min="21" max="21" width="24.109375" style="14" bestFit="1" customWidth="1"/>
    <col min="22" max="22" width="38.5546875" style="35" bestFit="1" customWidth="1"/>
    <col min="23" max="23" width="29.6640625" style="14" bestFit="1" customWidth="1"/>
    <col min="24" max="24" width="31.5546875" style="14" customWidth="1"/>
    <col min="25" max="25" width="22" style="14" bestFit="1" customWidth="1"/>
    <col min="26" max="26" width="49.33203125" style="14" bestFit="1" customWidth="1"/>
    <col min="27" max="27" width="39.33203125" style="14" bestFit="1" customWidth="1"/>
    <col min="28" max="28" width="50.88671875" style="34" bestFit="1" customWidth="1"/>
    <col min="29" max="29" width="61.44140625" style="34" bestFit="1" customWidth="1"/>
    <col min="30" max="30" width="34.33203125" style="14" customWidth="1"/>
    <col min="31" max="31" width="66.33203125" style="14" bestFit="1" customWidth="1"/>
    <col min="32" max="32" width="57.109375" style="14" bestFit="1" customWidth="1"/>
    <col min="33" max="33" width="71.6640625" style="14" hidden="1" customWidth="1"/>
    <col min="34" max="16384" width="8.6640625" style="14"/>
  </cols>
  <sheetData>
    <row r="1" spans="1:33" ht="33.6" x14ac:dyDescent="0.3">
      <c r="F1" s="359" t="s">
        <v>174</v>
      </c>
      <c r="G1" s="359"/>
      <c r="H1" s="359"/>
      <c r="I1" s="359"/>
      <c r="J1" s="359"/>
      <c r="K1" s="359"/>
      <c r="L1" s="360" t="s">
        <v>175</v>
      </c>
      <c r="M1" s="360"/>
      <c r="N1" s="360"/>
      <c r="O1" s="360"/>
      <c r="P1" s="361" t="s">
        <v>176</v>
      </c>
      <c r="Q1" s="361"/>
      <c r="R1" s="361"/>
      <c r="S1" s="47"/>
      <c r="T1" s="45" t="s">
        <v>65</v>
      </c>
      <c r="U1" s="45"/>
      <c r="V1" s="362" t="s">
        <v>180</v>
      </c>
      <c r="W1" s="362"/>
      <c r="X1" s="362"/>
      <c r="Y1" s="362"/>
      <c r="Z1" s="362"/>
      <c r="AA1" s="362"/>
      <c r="AB1" s="369" t="s">
        <v>187</v>
      </c>
      <c r="AC1" s="369"/>
      <c r="AD1" s="369"/>
      <c r="AE1" s="368" t="s">
        <v>181</v>
      </c>
      <c r="AF1" s="368"/>
    </row>
    <row r="2" spans="1:33" s="20" customFormat="1" ht="15.6" x14ac:dyDescent="0.3">
      <c r="A2" s="17" t="s">
        <v>0</v>
      </c>
      <c r="B2" s="17" t="s">
        <v>20</v>
      </c>
      <c r="C2" s="17" t="s">
        <v>1</v>
      </c>
      <c r="D2" s="18" t="s">
        <v>106</v>
      </c>
      <c r="E2" s="19" t="s">
        <v>2</v>
      </c>
      <c r="F2" s="40" t="s">
        <v>22</v>
      </c>
      <c r="G2" s="40" t="s">
        <v>4</v>
      </c>
      <c r="H2" s="41" t="s">
        <v>3</v>
      </c>
      <c r="I2" s="42" t="s">
        <v>25</v>
      </c>
      <c r="J2" s="42" t="s">
        <v>26</v>
      </c>
      <c r="K2" s="42" t="s">
        <v>26</v>
      </c>
      <c r="L2" s="43" t="s">
        <v>62</v>
      </c>
      <c r="M2" s="43" t="s">
        <v>99</v>
      </c>
      <c r="N2" s="43" t="s">
        <v>75</v>
      </c>
      <c r="O2" s="43" t="s">
        <v>177</v>
      </c>
      <c r="P2" s="40" t="s">
        <v>67</v>
      </c>
      <c r="Q2" s="40" t="s">
        <v>172</v>
      </c>
      <c r="R2" s="40" t="s">
        <v>182</v>
      </c>
      <c r="S2" s="44" t="s">
        <v>65</v>
      </c>
      <c r="T2" s="40" t="s">
        <v>173</v>
      </c>
      <c r="U2" s="40" t="s">
        <v>171</v>
      </c>
      <c r="V2" s="44" t="s">
        <v>178</v>
      </c>
      <c r="W2" s="40" t="s">
        <v>146</v>
      </c>
      <c r="X2" s="40" t="s">
        <v>147</v>
      </c>
      <c r="Y2" s="40" t="s">
        <v>68</v>
      </c>
      <c r="Z2" s="40" t="s">
        <v>69</v>
      </c>
      <c r="AA2" s="40" t="s">
        <v>98</v>
      </c>
      <c r="AB2" s="43" t="s">
        <v>137</v>
      </c>
      <c r="AC2" s="43" t="s">
        <v>179</v>
      </c>
      <c r="AD2" s="40" t="s">
        <v>185</v>
      </c>
      <c r="AE2" s="40" t="s">
        <v>70</v>
      </c>
      <c r="AF2" s="40" t="s">
        <v>71</v>
      </c>
      <c r="AG2" s="40" t="s">
        <v>144</v>
      </c>
    </row>
    <row r="3" spans="1:33" ht="15" customHeight="1" x14ac:dyDescent="0.3">
      <c r="A3" s="283">
        <v>2025</v>
      </c>
      <c r="B3" s="286">
        <v>45841</v>
      </c>
      <c r="C3" s="289" t="s">
        <v>7</v>
      </c>
      <c r="D3" s="292" t="s">
        <v>21</v>
      </c>
      <c r="E3" s="295" t="s">
        <v>5</v>
      </c>
      <c r="F3" s="5" t="s">
        <v>23</v>
      </c>
      <c r="G3" s="5" t="s">
        <v>24</v>
      </c>
      <c r="H3" s="8">
        <v>6000</v>
      </c>
      <c r="I3" s="9">
        <v>0.22</v>
      </c>
      <c r="J3" s="9">
        <v>1320</v>
      </c>
      <c r="K3" s="298">
        <f>SUM(J3:J4)</f>
        <v>1561.5</v>
      </c>
      <c r="L3" s="283" t="s">
        <v>63</v>
      </c>
      <c r="M3" s="301">
        <v>45912</v>
      </c>
      <c r="N3" s="322" t="s">
        <v>170</v>
      </c>
      <c r="O3" s="36"/>
      <c r="P3" s="329" t="s">
        <v>127</v>
      </c>
      <c r="Q3" s="21"/>
      <c r="R3" s="21"/>
      <c r="S3" s="319"/>
      <c r="T3" s="302"/>
      <c r="U3" s="302"/>
      <c r="V3" s="319" t="s">
        <v>90</v>
      </c>
      <c r="W3" s="313">
        <v>45918</v>
      </c>
      <c r="X3" s="313">
        <v>45923</v>
      </c>
      <c r="Y3" s="301"/>
      <c r="Z3" s="301"/>
      <c r="AA3" s="283"/>
      <c r="AB3" s="289" t="s">
        <v>220</v>
      </c>
      <c r="AC3" s="289" t="s">
        <v>219</v>
      </c>
      <c r="AD3" s="344" t="s">
        <v>186</v>
      </c>
      <c r="AE3" s="352" t="s">
        <v>59</v>
      </c>
      <c r="AF3" s="329" t="s">
        <v>140</v>
      </c>
      <c r="AG3" s="22"/>
    </row>
    <row r="4" spans="1:33" ht="51" customHeight="1" x14ac:dyDescent="0.3">
      <c r="A4" s="284"/>
      <c r="B4" s="288"/>
      <c r="C4" s="291"/>
      <c r="D4" s="294"/>
      <c r="E4" s="297"/>
      <c r="F4" s="5" t="s">
        <v>27</v>
      </c>
      <c r="G4" s="5" t="s">
        <v>28</v>
      </c>
      <c r="H4" s="8">
        <v>2100</v>
      </c>
      <c r="I4" s="9">
        <v>0.115</v>
      </c>
      <c r="J4" s="9">
        <v>241.5</v>
      </c>
      <c r="K4" s="300"/>
      <c r="L4" s="285"/>
      <c r="M4" s="314"/>
      <c r="N4" s="322"/>
      <c r="O4" s="38"/>
      <c r="P4" s="331"/>
      <c r="Q4" s="24"/>
      <c r="R4" s="24"/>
      <c r="S4" s="320"/>
      <c r="T4" s="304"/>
      <c r="U4" s="304"/>
      <c r="V4" s="320"/>
      <c r="W4" s="304"/>
      <c r="X4" s="370"/>
      <c r="Y4" s="314"/>
      <c r="Z4" s="314"/>
      <c r="AA4" s="285"/>
      <c r="AB4" s="291"/>
      <c r="AC4" s="291"/>
      <c r="AD4" s="345"/>
      <c r="AE4" s="354"/>
      <c r="AF4" s="331"/>
      <c r="AG4" s="25"/>
    </row>
    <row r="5" spans="1:33" ht="15" customHeight="1" x14ac:dyDescent="0.3">
      <c r="A5" s="284"/>
      <c r="B5" s="286">
        <v>45852</v>
      </c>
      <c r="C5" s="289" t="s">
        <v>17</v>
      </c>
      <c r="D5" s="308" t="s">
        <v>29</v>
      </c>
      <c r="E5" s="305" t="s">
        <v>139</v>
      </c>
      <c r="F5" s="4" t="s">
        <v>30</v>
      </c>
      <c r="G5" s="5" t="s">
        <v>31</v>
      </c>
      <c r="H5" s="6">
        <v>10000</v>
      </c>
      <c r="I5" s="7">
        <v>2.2000000000000002</v>
      </c>
      <c r="J5" s="7">
        <v>22000</v>
      </c>
      <c r="K5" s="325">
        <f>SUM(J5:J11)</f>
        <v>29256</v>
      </c>
      <c r="L5" s="283" t="s">
        <v>63</v>
      </c>
      <c r="M5" s="301">
        <v>45862</v>
      </c>
      <c r="N5" s="322" t="s">
        <v>76</v>
      </c>
      <c r="O5" s="36"/>
      <c r="P5" s="329" t="s">
        <v>127</v>
      </c>
      <c r="Q5" s="22"/>
      <c r="R5" s="22"/>
      <c r="S5" s="332" t="s">
        <v>66</v>
      </c>
      <c r="T5" s="22"/>
      <c r="U5" s="22"/>
      <c r="V5" s="332" t="s">
        <v>90</v>
      </c>
      <c r="W5" s="36"/>
      <c r="X5" s="22"/>
      <c r="Y5" s="286">
        <v>45900</v>
      </c>
      <c r="Z5" s="301">
        <v>45901</v>
      </c>
      <c r="AA5" s="365" t="s">
        <v>168</v>
      </c>
      <c r="AB5" s="289" t="s">
        <v>184</v>
      </c>
      <c r="AC5" s="358" t="s">
        <v>205</v>
      </c>
      <c r="AD5" s="344" t="s">
        <v>202</v>
      </c>
      <c r="AE5" s="352" t="s">
        <v>57</v>
      </c>
      <c r="AF5" s="355" t="s">
        <v>72</v>
      </c>
      <c r="AG5" s="341" t="s">
        <v>145</v>
      </c>
    </row>
    <row r="6" spans="1:33" ht="14.25" customHeight="1" x14ac:dyDescent="0.3">
      <c r="A6" s="284"/>
      <c r="B6" s="287"/>
      <c r="C6" s="290"/>
      <c r="D6" s="309"/>
      <c r="E6" s="306"/>
      <c r="F6" s="4" t="s">
        <v>32</v>
      </c>
      <c r="G6" s="5" t="s">
        <v>33</v>
      </c>
      <c r="H6" s="6">
        <v>1400</v>
      </c>
      <c r="I6" s="7">
        <v>2.2000000000000002</v>
      </c>
      <c r="J6" s="7">
        <v>3080</v>
      </c>
      <c r="K6" s="326"/>
      <c r="L6" s="284"/>
      <c r="M6" s="284"/>
      <c r="N6" s="322"/>
      <c r="O6" s="39"/>
      <c r="P6" s="330"/>
      <c r="Q6" s="26"/>
      <c r="R6" s="26"/>
      <c r="S6" s="333"/>
      <c r="T6" s="26"/>
      <c r="U6" s="26"/>
      <c r="V6" s="333"/>
      <c r="W6" s="39"/>
      <c r="X6" s="26"/>
      <c r="Y6" s="287"/>
      <c r="Z6" s="364"/>
      <c r="AA6" s="366"/>
      <c r="AB6" s="290"/>
      <c r="AC6" s="346"/>
      <c r="AD6" s="346"/>
      <c r="AE6" s="353"/>
      <c r="AF6" s="356"/>
      <c r="AG6" s="342"/>
    </row>
    <row r="7" spans="1:33" ht="14.25" customHeight="1" x14ac:dyDescent="0.3">
      <c r="A7" s="284"/>
      <c r="B7" s="287"/>
      <c r="C7" s="290"/>
      <c r="D7" s="309"/>
      <c r="E7" s="306"/>
      <c r="F7" s="4" t="s">
        <v>34</v>
      </c>
      <c r="G7" s="5" t="s">
        <v>35</v>
      </c>
      <c r="H7" s="6">
        <v>400</v>
      </c>
      <c r="I7" s="7">
        <v>2.2000000000000002</v>
      </c>
      <c r="J7" s="7">
        <v>880</v>
      </c>
      <c r="K7" s="326"/>
      <c r="L7" s="284"/>
      <c r="M7" s="284"/>
      <c r="N7" s="322"/>
      <c r="O7" s="39"/>
      <c r="P7" s="330"/>
      <c r="Q7" s="26"/>
      <c r="R7" s="26"/>
      <c r="S7" s="333"/>
      <c r="T7" s="26"/>
      <c r="U7" s="26"/>
      <c r="V7" s="333"/>
      <c r="W7" s="39"/>
      <c r="X7" s="26"/>
      <c r="Y7" s="287"/>
      <c r="Z7" s="364"/>
      <c r="AA7" s="366"/>
      <c r="AB7" s="290"/>
      <c r="AC7" s="346"/>
      <c r="AD7" s="346"/>
      <c r="AE7" s="353"/>
      <c r="AF7" s="356"/>
      <c r="AG7" s="342"/>
    </row>
    <row r="8" spans="1:33" ht="14.25" customHeight="1" x14ac:dyDescent="0.3">
      <c r="A8" s="284"/>
      <c r="B8" s="287"/>
      <c r="C8" s="290"/>
      <c r="D8" s="309"/>
      <c r="E8" s="306"/>
      <c r="F8" s="4" t="s">
        <v>36</v>
      </c>
      <c r="G8" s="5" t="s">
        <v>37</v>
      </c>
      <c r="H8" s="6">
        <v>280</v>
      </c>
      <c r="I8" s="7">
        <v>2.2000000000000002</v>
      </c>
      <c r="J8" s="7">
        <v>616</v>
      </c>
      <c r="K8" s="326"/>
      <c r="L8" s="284"/>
      <c r="M8" s="284"/>
      <c r="N8" s="322"/>
      <c r="O8" s="39"/>
      <c r="P8" s="330"/>
      <c r="Q8" s="26"/>
      <c r="R8" s="26"/>
      <c r="S8" s="333"/>
      <c r="T8" s="26"/>
      <c r="U8" s="26"/>
      <c r="V8" s="333"/>
      <c r="W8" s="39"/>
      <c r="X8" s="26"/>
      <c r="Y8" s="287"/>
      <c r="Z8" s="364"/>
      <c r="AA8" s="366"/>
      <c r="AB8" s="290"/>
      <c r="AC8" s="346"/>
      <c r="AD8" s="346"/>
      <c r="AE8" s="353"/>
      <c r="AF8" s="356"/>
      <c r="AG8" s="342"/>
    </row>
    <row r="9" spans="1:33" ht="14.25" customHeight="1" x14ac:dyDescent="0.3">
      <c r="A9" s="284"/>
      <c r="B9" s="287"/>
      <c r="C9" s="290"/>
      <c r="D9" s="309"/>
      <c r="E9" s="306"/>
      <c r="F9" s="4" t="s">
        <v>38</v>
      </c>
      <c r="G9" s="5" t="s">
        <v>39</v>
      </c>
      <c r="H9" s="6">
        <v>400</v>
      </c>
      <c r="I9" s="7">
        <v>2.2000000000000002</v>
      </c>
      <c r="J9" s="7">
        <v>880</v>
      </c>
      <c r="K9" s="326"/>
      <c r="L9" s="284"/>
      <c r="M9" s="284"/>
      <c r="N9" s="322"/>
      <c r="O9" s="39"/>
      <c r="P9" s="330"/>
      <c r="Q9" s="26"/>
      <c r="R9" s="26"/>
      <c r="S9" s="333"/>
      <c r="T9" s="26"/>
      <c r="U9" s="26"/>
      <c r="V9" s="333"/>
      <c r="W9" s="39"/>
      <c r="X9" s="26"/>
      <c r="Y9" s="287"/>
      <c r="Z9" s="364"/>
      <c r="AA9" s="366"/>
      <c r="AB9" s="290"/>
      <c r="AC9" s="346"/>
      <c r="AD9" s="346"/>
      <c r="AE9" s="353"/>
      <c r="AF9" s="356"/>
      <c r="AG9" s="342"/>
    </row>
    <row r="10" spans="1:33" ht="14.25" customHeight="1" x14ac:dyDescent="0.3">
      <c r="A10" s="284"/>
      <c r="B10" s="287"/>
      <c r="C10" s="290"/>
      <c r="D10" s="309"/>
      <c r="E10" s="306"/>
      <c r="F10" s="4" t="s">
        <v>40</v>
      </c>
      <c r="G10" s="5" t="s">
        <v>41</v>
      </c>
      <c r="H10" s="6">
        <v>5</v>
      </c>
      <c r="I10" s="7">
        <v>120</v>
      </c>
      <c r="J10" s="7">
        <v>600</v>
      </c>
      <c r="K10" s="326"/>
      <c r="L10" s="284"/>
      <c r="M10" s="284"/>
      <c r="N10" s="322"/>
      <c r="O10" s="39"/>
      <c r="P10" s="330"/>
      <c r="Q10" s="26"/>
      <c r="R10" s="26"/>
      <c r="S10" s="333"/>
      <c r="T10" s="26"/>
      <c r="U10" s="26"/>
      <c r="V10" s="333"/>
      <c r="W10" s="39"/>
      <c r="X10" s="26"/>
      <c r="Y10" s="287"/>
      <c r="Z10" s="364"/>
      <c r="AA10" s="366"/>
      <c r="AB10" s="290"/>
      <c r="AC10" s="346"/>
      <c r="AD10" s="346"/>
      <c r="AE10" s="353"/>
      <c r="AF10" s="356"/>
      <c r="AG10" s="342"/>
    </row>
    <row r="11" spans="1:33" ht="14.25" customHeight="1" x14ac:dyDescent="0.3">
      <c r="A11" s="284"/>
      <c r="B11" s="288"/>
      <c r="C11" s="291"/>
      <c r="D11" s="310"/>
      <c r="E11" s="307"/>
      <c r="F11" s="4" t="s">
        <v>42</v>
      </c>
      <c r="G11" s="5" t="s">
        <v>43</v>
      </c>
      <c r="H11" s="6">
        <v>10</v>
      </c>
      <c r="I11" s="7">
        <v>120</v>
      </c>
      <c r="J11" s="7">
        <v>1200</v>
      </c>
      <c r="K11" s="327"/>
      <c r="L11" s="285"/>
      <c r="M11" s="285"/>
      <c r="N11" s="322"/>
      <c r="O11" s="38"/>
      <c r="P11" s="331"/>
      <c r="Q11" s="25"/>
      <c r="R11" s="25"/>
      <c r="S11" s="334"/>
      <c r="T11" s="25"/>
      <c r="U11" s="25"/>
      <c r="V11" s="334"/>
      <c r="W11" s="38"/>
      <c r="X11" s="25"/>
      <c r="Y11" s="288"/>
      <c r="Z11" s="314"/>
      <c r="AA11" s="367"/>
      <c r="AB11" s="291"/>
      <c r="AC11" s="347"/>
      <c r="AD11" s="347"/>
      <c r="AE11" s="354"/>
      <c r="AF11" s="357"/>
      <c r="AG11" s="343"/>
    </row>
    <row r="12" spans="1:33" ht="15" customHeight="1" x14ac:dyDescent="0.3">
      <c r="A12" s="284"/>
      <c r="B12" s="286">
        <v>45855</v>
      </c>
      <c r="C12" s="289" t="s">
        <v>18</v>
      </c>
      <c r="D12" s="311" t="s">
        <v>44</v>
      </c>
      <c r="E12" s="295" t="s">
        <v>9</v>
      </c>
      <c r="F12" s="5" t="s">
        <v>45</v>
      </c>
      <c r="G12" s="5" t="s">
        <v>46</v>
      </c>
      <c r="H12" s="8">
        <v>2350</v>
      </c>
      <c r="I12" s="9">
        <v>13</v>
      </c>
      <c r="J12" s="9">
        <v>30550</v>
      </c>
      <c r="K12" s="298">
        <f>SUM(J12:J13)</f>
        <v>39000</v>
      </c>
      <c r="L12" s="283" t="s">
        <v>63</v>
      </c>
      <c r="M12" s="301">
        <v>45862</v>
      </c>
      <c r="N12" s="322" t="s">
        <v>76</v>
      </c>
      <c r="O12" s="36"/>
      <c r="P12" s="335" t="s">
        <v>136</v>
      </c>
      <c r="Q12" s="21"/>
      <c r="R12" s="21"/>
      <c r="S12" s="319" t="s">
        <v>66</v>
      </c>
      <c r="T12" s="21"/>
      <c r="U12" s="21"/>
      <c r="V12" s="319" t="s">
        <v>90</v>
      </c>
      <c r="W12" s="301" t="s">
        <v>191</v>
      </c>
      <c r="X12" s="313" t="s">
        <v>192</v>
      </c>
      <c r="Y12" s="301" t="s">
        <v>193</v>
      </c>
      <c r="Z12" s="335" t="s">
        <v>167</v>
      </c>
      <c r="AA12" s="315" t="s">
        <v>210</v>
      </c>
      <c r="AB12" s="289" t="s">
        <v>188</v>
      </c>
      <c r="AC12" s="289" t="s">
        <v>190</v>
      </c>
      <c r="AD12" s="344" t="s">
        <v>206</v>
      </c>
      <c r="AE12" s="352" t="s">
        <v>58</v>
      </c>
      <c r="AF12" s="329" t="s">
        <v>104</v>
      </c>
      <c r="AG12" s="335" t="s">
        <v>163</v>
      </c>
    </row>
    <row r="13" spans="1:33" ht="61.5" customHeight="1" x14ac:dyDescent="0.3">
      <c r="A13" s="284"/>
      <c r="B13" s="288"/>
      <c r="C13" s="291"/>
      <c r="D13" s="312"/>
      <c r="E13" s="297"/>
      <c r="F13" s="5" t="s">
        <v>47</v>
      </c>
      <c r="G13" s="5" t="s">
        <v>48</v>
      </c>
      <c r="H13" s="8">
        <v>650</v>
      </c>
      <c r="I13" s="9">
        <v>13</v>
      </c>
      <c r="J13" s="9">
        <v>8450</v>
      </c>
      <c r="K13" s="300"/>
      <c r="L13" s="285"/>
      <c r="M13" s="285"/>
      <c r="N13" s="322"/>
      <c r="O13" s="38"/>
      <c r="P13" s="336"/>
      <c r="Q13" s="24"/>
      <c r="R13" s="24"/>
      <c r="S13" s="320"/>
      <c r="T13" s="24"/>
      <c r="U13" s="24"/>
      <c r="V13" s="320"/>
      <c r="W13" s="285"/>
      <c r="X13" s="304"/>
      <c r="Y13" s="314"/>
      <c r="Z13" s="336"/>
      <c r="AA13" s="316"/>
      <c r="AB13" s="291"/>
      <c r="AC13" s="291"/>
      <c r="AD13" s="345"/>
      <c r="AE13" s="354"/>
      <c r="AF13" s="331"/>
      <c r="AG13" s="336"/>
    </row>
    <row r="14" spans="1:33" ht="15" customHeight="1" x14ac:dyDescent="0.3">
      <c r="A14" s="284"/>
      <c r="B14" s="286">
        <v>45887</v>
      </c>
      <c r="C14" s="289" t="s">
        <v>105</v>
      </c>
      <c r="D14" s="323" t="s">
        <v>107</v>
      </c>
      <c r="E14" s="295" t="s">
        <v>141</v>
      </c>
      <c r="F14" s="5" t="s">
        <v>108</v>
      </c>
      <c r="G14" s="5" t="s">
        <v>112</v>
      </c>
      <c r="H14" s="8">
        <v>200</v>
      </c>
      <c r="I14" s="9">
        <v>2.75</v>
      </c>
      <c r="J14" s="9">
        <f>(H14*I14)</f>
        <v>550</v>
      </c>
      <c r="K14" s="298">
        <f>SUM(J14,J15)</f>
        <v>695</v>
      </c>
      <c r="L14" s="283" t="s">
        <v>63</v>
      </c>
      <c r="M14" s="301">
        <v>45887</v>
      </c>
      <c r="N14" s="322" t="s">
        <v>76</v>
      </c>
      <c r="O14" s="36"/>
      <c r="P14" s="289" t="s">
        <v>127</v>
      </c>
      <c r="Q14" s="21"/>
      <c r="R14" s="21"/>
      <c r="S14" s="319" t="s">
        <v>66</v>
      </c>
      <c r="T14" s="21"/>
      <c r="U14" s="21"/>
      <c r="V14" s="319" t="s">
        <v>90</v>
      </c>
      <c r="W14" s="302" t="s">
        <v>127</v>
      </c>
      <c r="X14" s="302"/>
      <c r="Y14" s="283" t="s">
        <v>194</v>
      </c>
      <c r="Z14" s="283" t="s">
        <v>207</v>
      </c>
      <c r="AA14" s="317" t="s">
        <v>208</v>
      </c>
      <c r="AB14" s="289" t="s">
        <v>209</v>
      </c>
      <c r="AC14" s="344" t="s">
        <v>222</v>
      </c>
      <c r="AD14" s="344" t="s">
        <v>221</v>
      </c>
      <c r="AE14" s="329" t="s">
        <v>113</v>
      </c>
      <c r="AF14" s="329" t="s">
        <v>126</v>
      </c>
      <c r="AG14" s="5"/>
    </row>
    <row r="15" spans="1:33" ht="69.75" customHeight="1" x14ac:dyDescent="0.3">
      <c r="A15" s="284"/>
      <c r="B15" s="288"/>
      <c r="C15" s="291"/>
      <c r="D15" s="324"/>
      <c r="E15" s="297"/>
      <c r="F15" s="5" t="s">
        <v>27</v>
      </c>
      <c r="G15" s="5" t="s">
        <v>109</v>
      </c>
      <c r="H15" s="8"/>
      <c r="I15" s="9"/>
      <c r="J15" s="9">
        <v>145</v>
      </c>
      <c r="K15" s="300"/>
      <c r="L15" s="285"/>
      <c r="M15" s="285"/>
      <c r="N15" s="322"/>
      <c r="O15" s="38"/>
      <c r="P15" s="291"/>
      <c r="Q15" s="24"/>
      <c r="R15" s="24"/>
      <c r="S15" s="320"/>
      <c r="T15" s="24"/>
      <c r="U15" s="24"/>
      <c r="V15" s="320"/>
      <c r="W15" s="304"/>
      <c r="X15" s="304"/>
      <c r="Y15" s="285"/>
      <c r="Z15" s="285"/>
      <c r="AA15" s="318"/>
      <c r="AB15" s="291"/>
      <c r="AC15" s="345"/>
      <c r="AD15" s="345"/>
      <c r="AE15" s="331"/>
      <c r="AF15" s="331"/>
      <c r="AG15" s="22"/>
    </row>
    <row r="16" spans="1:33" ht="12.75" customHeight="1" x14ac:dyDescent="0.3">
      <c r="A16" s="284"/>
      <c r="B16" s="286">
        <v>45887</v>
      </c>
      <c r="C16" s="289" t="s">
        <v>17</v>
      </c>
      <c r="D16" s="292" t="s">
        <v>138</v>
      </c>
      <c r="E16" s="295" t="s">
        <v>8</v>
      </c>
      <c r="F16" s="4" t="s">
        <v>30</v>
      </c>
      <c r="G16" s="5" t="s">
        <v>116</v>
      </c>
      <c r="H16" s="8">
        <v>3000</v>
      </c>
      <c r="I16" s="9">
        <v>2.2000000000000002</v>
      </c>
      <c r="J16" s="9">
        <f t="shared" ref="J16:J23" si="0">(H16*I16)</f>
        <v>6600.0000000000009</v>
      </c>
      <c r="K16" s="298">
        <f>SUM(J16:J20)</f>
        <v>10560</v>
      </c>
      <c r="L16" s="302" t="s">
        <v>63</v>
      </c>
      <c r="M16" s="301">
        <v>45896</v>
      </c>
      <c r="N16" s="283" t="s">
        <v>76</v>
      </c>
      <c r="O16" s="36"/>
      <c r="P16" s="289" t="s">
        <v>127</v>
      </c>
      <c r="Q16" s="22"/>
      <c r="R16" s="22"/>
      <c r="S16" s="319" t="s">
        <v>66</v>
      </c>
      <c r="T16" s="22"/>
      <c r="U16" s="22"/>
      <c r="V16" s="319" t="s">
        <v>90</v>
      </c>
      <c r="W16" s="313">
        <v>45908</v>
      </c>
      <c r="X16" s="363" t="s">
        <v>211</v>
      </c>
      <c r="Y16" s="5"/>
      <c r="Z16" s="37"/>
      <c r="AA16" s="12"/>
      <c r="AB16" s="289" t="s">
        <v>212</v>
      </c>
      <c r="AC16" s="289" t="s">
        <v>200</v>
      </c>
      <c r="AD16" s="344" t="s">
        <v>201</v>
      </c>
      <c r="AE16" s="349" t="s">
        <v>143</v>
      </c>
      <c r="AF16" s="329" t="s">
        <v>142</v>
      </c>
      <c r="AG16" s="12"/>
    </row>
    <row r="17" spans="1:33" x14ac:dyDescent="0.3">
      <c r="A17" s="284"/>
      <c r="B17" s="287"/>
      <c r="C17" s="290"/>
      <c r="D17" s="293"/>
      <c r="E17" s="296"/>
      <c r="F17" s="5" t="s">
        <v>114</v>
      </c>
      <c r="G17" s="5" t="s">
        <v>117</v>
      </c>
      <c r="H17" s="8">
        <v>600</v>
      </c>
      <c r="I17" s="9">
        <v>2.2000000000000002</v>
      </c>
      <c r="J17" s="9">
        <f t="shared" si="0"/>
        <v>1320</v>
      </c>
      <c r="K17" s="299"/>
      <c r="L17" s="303"/>
      <c r="M17" s="284"/>
      <c r="N17" s="284"/>
      <c r="O17" s="39"/>
      <c r="P17" s="290"/>
      <c r="Q17" s="26"/>
      <c r="R17" s="26"/>
      <c r="S17" s="321"/>
      <c r="T17" s="26"/>
      <c r="U17" s="26"/>
      <c r="V17" s="321"/>
      <c r="W17" s="303"/>
      <c r="X17" s="290"/>
      <c r="Y17" s="5"/>
      <c r="Z17" s="37"/>
      <c r="AA17" s="12"/>
      <c r="AB17" s="290"/>
      <c r="AC17" s="330"/>
      <c r="AD17" s="348"/>
      <c r="AE17" s="350"/>
      <c r="AF17" s="330"/>
      <c r="AG17" s="12"/>
    </row>
    <row r="18" spans="1:33" x14ac:dyDescent="0.3">
      <c r="A18" s="284"/>
      <c r="B18" s="287"/>
      <c r="C18" s="290"/>
      <c r="D18" s="293"/>
      <c r="E18" s="296"/>
      <c r="F18" s="5" t="s">
        <v>115</v>
      </c>
      <c r="G18" s="5" t="s">
        <v>118</v>
      </c>
      <c r="H18" s="8">
        <v>600</v>
      </c>
      <c r="I18" s="9">
        <v>2.2000000000000002</v>
      </c>
      <c r="J18" s="9">
        <f t="shared" si="0"/>
        <v>1320</v>
      </c>
      <c r="K18" s="299"/>
      <c r="L18" s="303"/>
      <c r="M18" s="284"/>
      <c r="N18" s="284"/>
      <c r="O18" s="39"/>
      <c r="P18" s="290"/>
      <c r="Q18" s="26"/>
      <c r="R18" s="26"/>
      <c r="S18" s="321"/>
      <c r="T18" s="26"/>
      <c r="U18" s="26"/>
      <c r="V18" s="321"/>
      <c r="W18" s="303"/>
      <c r="X18" s="290"/>
      <c r="Y18" s="5"/>
      <c r="Z18" s="37"/>
      <c r="AA18" s="12"/>
      <c r="AB18" s="290"/>
      <c r="AC18" s="330"/>
      <c r="AD18" s="348"/>
      <c r="AE18" s="350"/>
      <c r="AF18" s="330"/>
      <c r="AG18" s="12"/>
    </row>
    <row r="19" spans="1:33" x14ac:dyDescent="0.3">
      <c r="A19" s="284"/>
      <c r="B19" s="287"/>
      <c r="C19" s="290"/>
      <c r="D19" s="293"/>
      <c r="E19" s="296"/>
      <c r="F19" s="5" t="s">
        <v>34</v>
      </c>
      <c r="G19" s="27" t="s">
        <v>35</v>
      </c>
      <c r="H19" s="8">
        <v>400</v>
      </c>
      <c r="I19" s="9">
        <v>2.2000000000000002</v>
      </c>
      <c r="J19" s="9">
        <f t="shared" si="0"/>
        <v>880.00000000000011</v>
      </c>
      <c r="K19" s="299"/>
      <c r="L19" s="303"/>
      <c r="M19" s="284"/>
      <c r="N19" s="284"/>
      <c r="O19" s="39"/>
      <c r="P19" s="290"/>
      <c r="Q19" s="26"/>
      <c r="R19" s="26"/>
      <c r="S19" s="321"/>
      <c r="T19" s="26"/>
      <c r="U19" s="26"/>
      <c r="V19" s="321"/>
      <c r="W19" s="303"/>
      <c r="X19" s="290"/>
      <c r="Y19" s="5"/>
      <c r="Z19" s="37"/>
      <c r="AA19" s="12"/>
      <c r="AB19" s="290"/>
      <c r="AC19" s="330"/>
      <c r="AD19" s="348"/>
      <c r="AE19" s="350"/>
      <c r="AF19" s="330"/>
      <c r="AG19" s="12"/>
    </row>
    <row r="20" spans="1:33" x14ac:dyDescent="0.3">
      <c r="A20" s="284"/>
      <c r="B20" s="288"/>
      <c r="C20" s="291"/>
      <c r="D20" s="294"/>
      <c r="E20" s="297"/>
      <c r="F20" s="5" t="s">
        <v>36</v>
      </c>
      <c r="G20" s="27" t="s">
        <v>37</v>
      </c>
      <c r="H20" s="8">
        <v>200</v>
      </c>
      <c r="I20" s="9">
        <v>2.2000000000000002</v>
      </c>
      <c r="J20" s="9">
        <f t="shared" si="0"/>
        <v>440.00000000000006</v>
      </c>
      <c r="K20" s="300"/>
      <c r="L20" s="304"/>
      <c r="M20" s="285"/>
      <c r="N20" s="285"/>
      <c r="O20" s="38"/>
      <c r="P20" s="291"/>
      <c r="Q20" s="25"/>
      <c r="R20" s="25"/>
      <c r="S20" s="320"/>
      <c r="T20" s="25"/>
      <c r="U20" s="25"/>
      <c r="V20" s="320"/>
      <c r="W20" s="304"/>
      <c r="X20" s="291"/>
      <c r="Y20" s="5"/>
      <c r="Z20" s="37"/>
      <c r="AA20" s="12"/>
      <c r="AB20" s="291"/>
      <c r="AC20" s="331"/>
      <c r="AD20" s="345"/>
      <c r="AE20" s="351"/>
      <c r="AF20" s="331"/>
      <c r="AG20" s="12"/>
    </row>
    <row r="21" spans="1:33" x14ac:dyDescent="0.3">
      <c r="A21" s="284"/>
      <c r="B21" s="337">
        <v>45887</v>
      </c>
      <c r="C21" s="196" t="s">
        <v>119</v>
      </c>
      <c r="D21" s="338" t="s">
        <v>120</v>
      </c>
      <c r="E21" s="339" t="s">
        <v>121</v>
      </c>
      <c r="F21" s="5" t="s">
        <v>122</v>
      </c>
      <c r="G21" s="5" t="s">
        <v>124</v>
      </c>
      <c r="H21" s="8">
        <v>6000</v>
      </c>
      <c r="I21" s="9">
        <v>0.21</v>
      </c>
      <c r="J21" s="9">
        <f t="shared" si="0"/>
        <v>1260</v>
      </c>
      <c r="K21" s="340">
        <f>SUM(J21:J22)</f>
        <v>14460</v>
      </c>
      <c r="L21" s="328" t="s">
        <v>63</v>
      </c>
      <c r="M21" s="301">
        <v>45891</v>
      </c>
      <c r="N21" s="283" t="s">
        <v>76</v>
      </c>
      <c r="O21" s="36"/>
      <c r="P21" s="329" t="s">
        <v>165</v>
      </c>
      <c r="Q21" s="21"/>
      <c r="R21" s="21"/>
      <c r="S21" s="319"/>
      <c r="T21" s="21"/>
      <c r="U21" s="21"/>
      <c r="V21" s="319"/>
      <c r="W21" s="302" t="s">
        <v>148</v>
      </c>
      <c r="X21" s="21"/>
      <c r="Y21" s="5"/>
      <c r="Z21" s="37"/>
      <c r="AA21" s="5"/>
      <c r="AB21" s="289" t="s">
        <v>197</v>
      </c>
      <c r="AC21" s="289" t="s">
        <v>196</v>
      </c>
      <c r="AD21" s="344" t="s">
        <v>195</v>
      </c>
      <c r="AE21" s="329" t="s">
        <v>133</v>
      </c>
      <c r="AF21" s="25" t="s">
        <v>230</v>
      </c>
      <c r="AG21" s="25"/>
    </row>
    <row r="22" spans="1:33" ht="26.25" customHeight="1" x14ac:dyDescent="0.3">
      <c r="A22" s="284"/>
      <c r="B22" s="337"/>
      <c r="C22" s="196"/>
      <c r="D22" s="338"/>
      <c r="E22" s="339"/>
      <c r="F22" s="5" t="s">
        <v>123</v>
      </c>
      <c r="G22" s="5" t="s">
        <v>125</v>
      </c>
      <c r="H22" s="8">
        <v>60000</v>
      </c>
      <c r="I22" s="9">
        <v>0.22</v>
      </c>
      <c r="J22" s="9">
        <f t="shared" si="0"/>
        <v>13200</v>
      </c>
      <c r="K22" s="340"/>
      <c r="L22" s="328"/>
      <c r="M22" s="285"/>
      <c r="N22" s="285"/>
      <c r="O22" s="38"/>
      <c r="P22" s="331"/>
      <c r="Q22" s="24"/>
      <c r="R22" s="24"/>
      <c r="S22" s="320"/>
      <c r="T22" s="24"/>
      <c r="U22" s="24"/>
      <c r="V22" s="320"/>
      <c r="W22" s="304"/>
      <c r="X22" s="24"/>
      <c r="Y22" s="5"/>
      <c r="Z22" s="37"/>
      <c r="AA22" s="5"/>
      <c r="AB22" s="291"/>
      <c r="AC22" s="291"/>
      <c r="AD22" s="345"/>
      <c r="AE22" s="331"/>
      <c r="AF22" s="5"/>
      <c r="AG22" s="5"/>
    </row>
    <row r="23" spans="1:33" ht="42" customHeight="1" x14ac:dyDescent="0.3">
      <c r="A23" s="285"/>
      <c r="B23" s="23">
        <v>45840</v>
      </c>
      <c r="C23" s="4" t="s">
        <v>158</v>
      </c>
      <c r="D23" s="33" t="s">
        <v>159</v>
      </c>
      <c r="E23" s="28" t="s">
        <v>166</v>
      </c>
      <c r="F23" s="4" t="s">
        <v>162</v>
      </c>
      <c r="G23" s="5" t="s">
        <v>160</v>
      </c>
      <c r="H23" s="8">
        <v>24</v>
      </c>
      <c r="I23" s="9">
        <v>6.26</v>
      </c>
      <c r="J23" s="9">
        <f t="shared" si="0"/>
        <v>150.24</v>
      </c>
      <c r="K23" s="32" t="str">
        <f>SUM(J23:J24)&amp;" (150.20 in Proforma Invoice)"</f>
        <v>150.24 (150.20 in Proforma Invoice)</v>
      </c>
      <c r="L23" s="37" t="s">
        <v>164</v>
      </c>
      <c r="M23" s="37" t="s">
        <v>164</v>
      </c>
      <c r="N23" s="37" t="s">
        <v>164</v>
      </c>
      <c r="O23" s="37"/>
      <c r="P23" s="5" t="s">
        <v>127</v>
      </c>
      <c r="Q23" s="5"/>
      <c r="R23" s="5"/>
      <c r="S23" s="37" t="s">
        <v>164</v>
      </c>
      <c r="T23" s="5"/>
      <c r="U23" s="5"/>
      <c r="V23" s="37" t="s">
        <v>164</v>
      </c>
      <c r="W23" s="37" t="s">
        <v>164</v>
      </c>
      <c r="X23" s="5" t="s">
        <v>164</v>
      </c>
      <c r="Y23" s="5" t="s">
        <v>164</v>
      </c>
      <c r="Z23" s="49">
        <v>45910</v>
      </c>
      <c r="AA23" s="46" t="s">
        <v>169</v>
      </c>
      <c r="AB23" s="5" t="s">
        <v>189</v>
      </c>
      <c r="AC23" s="5" t="s">
        <v>183</v>
      </c>
      <c r="AD23" s="48" t="s">
        <v>203</v>
      </c>
      <c r="AE23" s="5" t="s">
        <v>164</v>
      </c>
      <c r="AF23" s="5" t="s">
        <v>204</v>
      </c>
      <c r="AG23" s="5" t="s">
        <v>161</v>
      </c>
    </row>
    <row r="24" spans="1:33" x14ac:dyDescent="0.3">
      <c r="C24" s="13"/>
      <c r="K24" s="16"/>
    </row>
  </sheetData>
  <autoFilter ref="A2:P2" xr:uid="{BACAB051-FD14-41FD-8E0E-A499ABF8E49A}"/>
  <mergeCells count="127">
    <mergeCell ref="AE1:AF1"/>
    <mergeCell ref="AB1:AD1"/>
    <mergeCell ref="X3:X4"/>
    <mergeCell ref="W3:W4"/>
    <mergeCell ref="Y3:Y4"/>
    <mergeCell ref="Z3:Z4"/>
    <mergeCell ref="AA3:AA4"/>
    <mergeCell ref="T3:T4"/>
    <mergeCell ref="U3:U4"/>
    <mergeCell ref="V3:V4"/>
    <mergeCell ref="AC3:AC4"/>
    <mergeCell ref="AB14:AB15"/>
    <mergeCell ref="AB5:AB11"/>
    <mergeCell ref="AB12:AB13"/>
    <mergeCell ref="X14:X15"/>
    <mergeCell ref="Y14:Y15"/>
    <mergeCell ref="AB16:AB20"/>
    <mergeCell ref="F1:K1"/>
    <mergeCell ref="L1:O1"/>
    <mergeCell ref="P1:R1"/>
    <mergeCell ref="V1:AA1"/>
    <mergeCell ref="K3:K4"/>
    <mergeCell ref="M5:M11"/>
    <mergeCell ref="N3:N4"/>
    <mergeCell ref="P16:P20"/>
    <mergeCell ref="X16:X20"/>
    <mergeCell ref="Y5:Y11"/>
    <mergeCell ref="Z5:Z11"/>
    <mergeCell ref="Z12:Z13"/>
    <mergeCell ref="AA5:AA11"/>
    <mergeCell ref="AB3:AB4"/>
    <mergeCell ref="P14:P15"/>
    <mergeCell ref="S16:S20"/>
    <mergeCell ref="N5:N11"/>
    <mergeCell ref="V5:V11"/>
    <mergeCell ref="AG5:AG11"/>
    <mergeCell ref="AG12:AG13"/>
    <mergeCell ref="AF14:AF15"/>
    <mergeCell ref="AD3:AD4"/>
    <mergeCell ref="AD5:AD11"/>
    <mergeCell ref="AD14:AD15"/>
    <mergeCell ref="AE21:AE22"/>
    <mergeCell ref="AC21:AC22"/>
    <mergeCell ref="AD21:AD22"/>
    <mergeCell ref="AD16:AD20"/>
    <mergeCell ref="AE16:AE20"/>
    <mergeCell ref="AF12:AF13"/>
    <mergeCell ref="AF16:AF20"/>
    <mergeCell ref="AE5:AE11"/>
    <mergeCell ref="AE14:AE15"/>
    <mergeCell ref="AF5:AF11"/>
    <mergeCell ref="AE3:AE4"/>
    <mergeCell ref="AE12:AE13"/>
    <mergeCell ref="AF3:AF4"/>
    <mergeCell ref="AC12:AC13"/>
    <mergeCell ref="AC5:AC11"/>
    <mergeCell ref="AD12:AD13"/>
    <mergeCell ref="AC14:AC15"/>
    <mergeCell ref="AC16:AC20"/>
    <mergeCell ref="AB21:AB22"/>
    <mergeCell ref="S21:S22"/>
    <mergeCell ref="V21:V22"/>
    <mergeCell ref="P21:P22"/>
    <mergeCell ref="W21:W22"/>
    <mergeCell ref="B21:B22"/>
    <mergeCell ref="C21:C22"/>
    <mergeCell ref="D21:D22"/>
    <mergeCell ref="E21:E22"/>
    <mergeCell ref="K21:K22"/>
    <mergeCell ref="C12:C13"/>
    <mergeCell ref="C14:C15"/>
    <mergeCell ref="D14:D15"/>
    <mergeCell ref="W12:W13"/>
    <mergeCell ref="K5:K11"/>
    <mergeCell ref="K12:K13"/>
    <mergeCell ref="L3:L4"/>
    <mergeCell ref="L5:L11"/>
    <mergeCell ref="L21:L22"/>
    <mergeCell ref="M21:M22"/>
    <mergeCell ref="N21:N22"/>
    <mergeCell ref="W16:W20"/>
    <mergeCell ref="W14:W15"/>
    <mergeCell ref="L12:L13"/>
    <mergeCell ref="P5:P11"/>
    <mergeCell ref="P3:P4"/>
    <mergeCell ref="S5:S11"/>
    <mergeCell ref="V12:V13"/>
    <mergeCell ref="S12:S13"/>
    <mergeCell ref="N12:N13"/>
    <mergeCell ref="S3:S4"/>
    <mergeCell ref="M12:M13"/>
    <mergeCell ref="P12:P13"/>
    <mergeCell ref="M3:M4"/>
    <mergeCell ref="X12:X13"/>
    <mergeCell ref="Y12:Y13"/>
    <mergeCell ref="AA12:AA13"/>
    <mergeCell ref="Z14:Z15"/>
    <mergeCell ref="AA14:AA15"/>
    <mergeCell ref="S14:S15"/>
    <mergeCell ref="V14:V15"/>
    <mergeCell ref="N16:N20"/>
    <mergeCell ref="V16:V20"/>
    <mergeCell ref="N14:N15"/>
    <mergeCell ref="A3:A23"/>
    <mergeCell ref="B16:B20"/>
    <mergeCell ref="C16:C20"/>
    <mergeCell ref="D16:D20"/>
    <mergeCell ref="E16:E20"/>
    <mergeCell ref="K16:K20"/>
    <mergeCell ref="K14:K15"/>
    <mergeCell ref="L14:L15"/>
    <mergeCell ref="M14:M15"/>
    <mergeCell ref="L16:L20"/>
    <mergeCell ref="M16:M20"/>
    <mergeCell ref="E3:E4"/>
    <mergeCell ref="E5:E11"/>
    <mergeCell ref="E12:E13"/>
    <mergeCell ref="E14:E15"/>
    <mergeCell ref="B14:B15"/>
    <mergeCell ref="B3:B4"/>
    <mergeCell ref="B5:B11"/>
    <mergeCell ref="B12:B13"/>
    <mergeCell ref="D3:D4"/>
    <mergeCell ref="D5:D11"/>
    <mergeCell ref="D12:D13"/>
    <mergeCell ref="C3:C4"/>
    <mergeCell ref="C5:C11"/>
  </mergeCells>
  <phoneticPr fontId="3" type="noConversion"/>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A62BC0B-7469-4261-84AE-4F34770D3786}">
          <x14:formula1>
            <xm:f>DDL!$B$2:$B$10</xm:f>
          </x14:formula1>
          <xm:sqref>C3 C5 C12</xm:sqref>
        </x14:dataValidation>
        <x14:dataValidation type="list" allowBlank="1" showInputMessage="1" showErrorMessage="1" xr:uid="{6D11C44F-1C45-4CC6-AB24-13E911B9083C}">
          <x14:formula1>
            <xm:f>DDL!$C$1:$C$10</xm:f>
          </x14:formula1>
          <xm:sqref>L3:L15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A5F7-06DD-420F-B0D5-F06BAA4E0FCA}">
  <dimension ref="A1:C12"/>
  <sheetViews>
    <sheetView workbookViewId="0">
      <selection activeCell="C2" sqref="C2"/>
    </sheetView>
  </sheetViews>
  <sheetFormatPr defaultRowHeight="14.4" x14ac:dyDescent="0.3"/>
  <sheetData>
    <row r="1" spans="1:3" x14ac:dyDescent="0.3">
      <c r="A1" t="s">
        <v>66</v>
      </c>
      <c r="C1" t="s">
        <v>85</v>
      </c>
    </row>
    <row r="2" spans="1:3" x14ac:dyDescent="0.3">
      <c r="A2">
        <v>1260</v>
      </c>
      <c r="C2">
        <v>2790</v>
      </c>
    </row>
    <row r="3" spans="1:3" x14ac:dyDescent="0.3">
      <c r="A3">
        <v>100</v>
      </c>
    </row>
    <row r="4" spans="1:3" x14ac:dyDescent="0.3">
      <c r="A4">
        <v>250</v>
      </c>
    </row>
    <row r="5" spans="1:3" x14ac:dyDescent="0.3">
      <c r="A5" s="11">
        <f>SUM(A2:A4)</f>
        <v>1610</v>
      </c>
    </row>
    <row r="6" spans="1:3" x14ac:dyDescent="0.3">
      <c r="B6">
        <f>A5+A12</f>
        <v>2573.4</v>
      </c>
    </row>
    <row r="7" spans="1:3" x14ac:dyDescent="0.3">
      <c r="A7">
        <v>239.9</v>
      </c>
    </row>
    <row r="8" spans="1:3" x14ac:dyDescent="0.3">
      <c r="A8">
        <v>300</v>
      </c>
    </row>
    <row r="9" spans="1:3" x14ac:dyDescent="0.3">
      <c r="A9">
        <v>73.5</v>
      </c>
    </row>
    <row r="10" spans="1:3" x14ac:dyDescent="0.3">
      <c r="A10">
        <v>100</v>
      </c>
    </row>
    <row r="11" spans="1:3" x14ac:dyDescent="0.3">
      <c r="A11">
        <v>250</v>
      </c>
    </row>
    <row r="12" spans="1:3" x14ac:dyDescent="0.3">
      <c r="A12" s="11">
        <f>SUM(A7:A11)</f>
        <v>963.4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Contacts List</vt:lpstr>
      <vt:lpstr>SUMMARY</vt:lpstr>
      <vt:lpstr>SKIN MARKER - TONDAUS</vt:lpstr>
      <vt:lpstr>IOB BLANKET-MACHINE</vt:lpstr>
      <vt:lpstr>LABTEK - SLEEVES-MACHINE</vt:lpstr>
      <vt:lpstr>ULTRASOUND GEL - TIANJIN</vt:lpstr>
      <vt:lpstr>GAUZE - JIUJIANG HUADA</vt:lpstr>
      <vt:lpstr>STOCKINGS - VARIMED</vt:lpstr>
      <vt:lpstr>ELECTROSURGICAL PENCIL - ZHEJIA</vt:lpstr>
      <vt:lpstr>SWAB APPLICATOR</vt:lpstr>
      <vt:lpstr>VEIN VIEWER</vt:lpstr>
      <vt:lpstr>SLEEVES - Suzhou Minha</vt:lpstr>
      <vt:lpstr>GAUZE - JIUJANG HUADA</vt:lpstr>
      <vt:lpstr>DDL</vt:lpstr>
      <vt:lpstr>Monitor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Eoc Dxb</dc:creator>
  <cp:lastModifiedBy>Leolou Jeffrey Sanchez</cp:lastModifiedBy>
  <dcterms:created xsi:type="dcterms:W3CDTF">2025-07-03T09:57:47Z</dcterms:created>
  <dcterms:modified xsi:type="dcterms:W3CDTF">2026-06-16T00:53:00Z</dcterms:modified>
</cp:coreProperties>
</file>