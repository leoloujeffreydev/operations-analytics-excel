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\Downloads\eoc monitoring for portfolio\"/>
    </mc:Choice>
  </mc:AlternateContent>
  <xr:revisionPtr revIDLastSave="0" documentId="13_ncr:1_{F0F1591D-9340-4FFA-8073-54C2F85BA86F}" xr6:coauthVersionLast="47" xr6:coauthVersionMax="47" xr10:uidLastSave="{00000000-0000-0000-0000-000000000000}"/>
  <bookViews>
    <workbookView xWindow="-108" yWindow="-108" windowWidth="23256" windowHeight="12456" tabRatio="601" activeTab="3" xr2:uid="{00000000-000D-0000-FFFF-FFFF00000000}"/>
  </bookViews>
  <sheets>
    <sheet name="DISPOSABLE ITEMS" sheetId="1" r:id="rId1"/>
    <sheet name="SAMPLES 2026" sheetId="15" r:id="rId2"/>
    <sheet name="MACHINE AND SPARE PARTS 2026" sheetId="16" r:id="rId3"/>
    <sheet name="STOCK WARNING" sheetId="14" r:id="rId4"/>
    <sheet name="DDL" sheetId="2" r:id="rId5"/>
  </sheets>
  <definedNames>
    <definedName name="_xlnm._FilterDatabase" localSheetId="0" hidden="1">'DISPOSABLE ITEMS'!$A$1:$AX$170</definedName>
    <definedName name="_xlnm._FilterDatabase" localSheetId="2" hidden="1">'MACHINE AND SPARE PARTS 2026'!$A$1:$AS$142</definedName>
    <definedName name="_xlnm._FilterDatabase" localSheetId="1" hidden="1">'SAMPLES 2026'!$A$1:$AR$58</definedName>
    <definedName name="_xlnm._FilterDatabase" localSheetId="3" hidden="1">'STOCK WARNING'!$A$1:$G$40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96" i="16" l="1"/>
  <c r="AU142" i="1"/>
  <c r="AU169" i="1" l="1"/>
  <c r="AU168" i="1"/>
  <c r="AU98" i="1"/>
  <c r="AU97" i="1"/>
  <c r="AU93" i="1"/>
  <c r="AU136" i="1"/>
  <c r="AU135" i="1"/>
  <c r="AU103" i="1" l="1"/>
  <c r="AU100" i="1"/>
  <c r="AU119" i="1"/>
  <c r="AU2" i="15"/>
  <c r="M96" i="16"/>
  <c r="K96" i="16" s="1"/>
  <c r="N96" i="16" s="1"/>
  <c r="AT83" i="1"/>
  <c r="AT81" i="1"/>
  <c r="AT78" i="1"/>
  <c r="AT76" i="1"/>
  <c r="AU48" i="16"/>
  <c r="M70" i="16"/>
  <c r="K70" i="16" s="1"/>
  <c r="N70" i="16" s="1"/>
  <c r="AS79" i="1"/>
  <c r="AT79" i="1"/>
  <c r="AT25" i="1"/>
  <c r="AT17" i="1"/>
  <c r="AT77" i="1"/>
  <c r="K77" i="1"/>
  <c r="M50" i="16"/>
  <c r="AU135" i="16"/>
  <c r="AU128" i="16"/>
  <c r="AS29" i="1"/>
  <c r="AS11" i="1"/>
  <c r="AS126" i="1"/>
  <c r="AS43" i="1"/>
  <c r="AS37" i="1"/>
  <c r="AS17" i="1"/>
  <c r="AS125" i="1" l="1"/>
  <c r="AS100" i="1" l="1"/>
  <c r="AS83" i="1"/>
  <c r="AS84" i="1" l="1"/>
  <c r="AS81" i="1"/>
  <c r="AS72" i="1" l="1"/>
  <c r="AS82" i="1"/>
  <c r="AS76" i="1" l="1"/>
  <c r="AS75" i="1"/>
  <c r="AS74" i="1"/>
  <c r="AS77" i="1" l="1"/>
  <c r="L83" i="1" l="1"/>
  <c r="J83" i="1" s="1"/>
  <c r="E83" i="1"/>
  <c r="L81" i="1"/>
  <c r="J81" i="1" s="1"/>
  <c r="E81" i="1"/>
  <c r="L78" i="1"/>
  <c r="J78" i="1" s="1"/>
  <c r="E78" i="1"/>
  <c r="L76" i="1"/>
  <c r="J76" i="1" s="1"/>
  <c r="L74" i="1"/>
  <c r="E76" i="1"/>
  <c r="J74" i="1" l="1"/>
  <c r="E74" i="1"/>
  <c r="AL79" i="1"/>
  <c r="AL77" i="1"/>
  <c r="AL75" i="1"/>
  <c r="AK17" i="1"/>
  <c r="AK114" i="1"/>
  <c r="AK72" i="1"/>
  <c r="AI37" i="1"/>
  <c r="AH72" i="1"/>
  <c r="AH37" i="1"/>
  <c r="AH11" i="1"/>
  <c r="AH4" i="1"/>
  <c r="L2" i="1"/>
  <c r="M3" i="16"/>
  <c r="M4" i="16"/>
  <c r="M5" i="16"/>
  <c r="M6" i="16"/>
  <c r="M7" i="16"/>
  <c r="M8" i="16"/>
  <c r="M9" i="16"/>
  <c r="M10" i="16"/>
  <c r="M11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6" i="16"/>
  <c r="M37" i="16"/>
  <c r="M38" i="16"/>
  <c r="M39" i="16"/>
  <c r="M40" i="16"/>
  <c r="M42" i="16"/>
  <c r="M43" i="16"/>
  <c r="M44" i="16"/>
  <c r="M45" i="16"/>
  <c r="M46" i="16"/>
  <c r="M47" i="16"/>
  <c r="M48" i="16"/>
  <c r="M49" i="16"/>
  <c r="M51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8" i="16"/>
  <c r="M89" i="16"/>
  <c r="M90" i="16"/>
  <c r="M91" i="16"/>
  <c r="M92" i="16"/>
  <c r="M94" i="16"/>
  <c r="M95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36" i="16"/>
  <c r="M137" i="16"/>
  <c r="M138" i="16"/>
  <c r="M139" i="16"/>
  <c r="M140" i="16"/>
  <c r="M141" i="16"/>
  <c r="M142" i="16"/>
  <c r="M2" i="16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2" i="15"/>
  <c r="L141" i="1"/>
  <c r="L3" i="1"/>
  <c r="L5" i="1"/>
  <c r="L6" i="1"/>
  <c r="L7" i="1"/>
  <c r="L8" i="1"/>
  <c r="L9" i="1"/>
  <c r="L10" i="1"/>
  <c r="L12" i="1"/>
  <c r="L13" i="1"/>
  <c r="L14" i="1"/>
  <c r="L15" i="1"/>
  <c r="L18" i="1"/>
  <c r="L19" i="1"/>
  <c r="L20" i="1"/>
  <c r="L21" i="1"/>
  <c r="L22" i="1"/>
  <c r="L23" i="1"/>
  <c r="L24" i="1"/>
  <c r="L26" i="1"/>
  <c r="L27" i="1"/>
  <c r="L28" i="1"/>
  <c r="L30" i="1"/>
  <c r="L31" i="1"/>
  <c r="L32" i="1"/>
  <c r="L33" i="1"/>
  <c r="L34" i="1"/>
  <c r="L35" i="1"/>
  <c r="L36" i="1"/>
  <c r="L38" i="1"/>
  <c r="L39" i="1"/>
  <c r="L40" i="1"/>
  <c r="L41" i="1"/>
  <c r="L42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7" i="1"/>
  <c r="L68" i="1"/>
  <c r="L69" i="1"/>
  <c r="L70" i="1"/>
  <c r="L71" i="1"/>
  <c r="L73" i="1"/>
  <c r="L80" i="1"/>
  <c r="L85" i="1"/>
  <c r="L86" i="1"/>
  <c r="L87" i="1"/>
  <c r="L88" i="1"/>
  <c r="L89" i="1"/>
  <c r="L90" i="1"/>
  <c r="L91" i="1"/>
  <c r="L92" i="1"/>
  <c r="L94" i="1"/>
  <c r="L95" i="1"/>
  <c r="L96" i="1"/>
  <c r="L97" i="1"/>
  <c r="L99" i="1"/>
  <c r="L101" i="1"/>
  <c r="L102" i="1"/>
  <c r="L104" i="1"/>
  <c r="L105" i="1"/>
  <c r="L106" i="1"/>
  <c r="L107" i="1"/>
  <c r="L108" i="1"/>
  <c r="L109" i="1"/>
  <c r="L110" i="1"/>
  <c r="L111" i="1"/>
  <c r="L112" i="1"/>
  <c r="L113" i="1"/>
  <c r="L115" i="1"/>
  <c r="L116" i="1"/>
  <c r="L117" i="1"/>
  <c r="L118" i="1"/>
  <c r="L120" i="1"/>
  <c r="L121" i="1"/>
  <c r="L122" i="1"/>
  <c r="L123" i="1"/>
  <c r="L124" i="1"/>
  <c r="L127" i="1"/>
  <c r="L129" i="1"/>
  <c r="L130" i="1"/>
  <c r="L131" i="1"/>
  <c r="L132" i="1"/>
  <c r="L133" i="1"/>
  <c r="L134" i="1"/>
  <c r="L135" i="1"/>
  <c r="L137" i="1"/>
  <c r="L138" i="1"/>
  <c r="L139" i="1"/>
  <c r="L145" i="1"/>
  <c r="L146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70" i="1"/>
  <c r="AH100" i="1"/>
  <c r="AG17" i="1"/>
  <c r="AF77" i="1"/>
  <c r="AF79" i="1"/>
  <c r="AG79" i="1"/>
  <c r="AG77" i="1"/>
  <c r="AG75" i="1"/>
  <c r="AH69" i="16" l="1"/>
  <c r="M69" i="16" s="1"/>
  <c r="AF11" i="1"/>
  <c r="AF128" i="1"/>
  <c r="AF126" i="1"/>
  <c r="L126" i="1" s="1"/>
  <c r="AF82" i="1"/>
  <c r="AF72" i="1"/>
  <c r="AE125" i="1" l="1"/>
  <c r="AE79" i="1"/>
  <c r="AE77" i="1" l="1"/>
  <c r="AE75" i="1"/>
  <c r="AE142" i="1" l="1"/>
  <c r="AE25" i="1"/>
  <c r="L25" i="1" s="1"/>
  <c r="AE17" i="1"/>
  <c r="AE43" i="1"/>
  <c r="AF35" i="16" l="1"/>
  <c r="M35" i="16" s="1"/>
  <c r="AF132" i="16"/>
  <c r="M132" i="16" s="1"/>
  <c r="AF13" i="16"/>
  <c r="M13" i="16" s="1"/>
  <c r="AC52" i="16"/>
  <c r="M52" i="16" s="1"/>
  <c r="AB82" i="1"/>
  <c r="AB79" i="1"/>
  <c r="AB77" i="1"/>
  <c r="AB75" i="1"/>
  <c r="AB84" i="1"/>
  <c r="AA75" i="1"/>
  <c r="AA114" i="1" l="1"/>
  <c r="AA103" i="1"/>
  <c r="AA100" i="1"/>
  <c r="AA98" i="1"/>
  <c r="L98" i="1" s="1"/>
  <c r="AA93" i="1"/>
  <c r="AA125" i="1" l="1"/>
  <c r="K13" i="16"/>
  <c r="N13" i="16" s="1"/>
  <c r="AA144" i="1" l="1"/>
  <c r="L144" i="1" s="1"/>
  <c r="AA143" i="1"/>
  <c r="L143" i="1" s="1"/>
  <c r="AA119" i="1"/>
  <c r="AA136" i="1"/>
  <c r="L136" i="1" s="1"/>
  <c r="AA72" i="1"/>
  <c r="AA17" i="1"/>
  <c r="AA16" i="1"/>
  <c r="Z82" i="1"/>
  <c r="Y4" i="1"/>
  <c r="Z41" i="16" l="1"/>
  <c r="M41" i="16" s="1"/>
  <c r="K41" i="16" s="1"/>
  <c r="N41" i="16" s="1"/>
  <c r="Y16" i="1"/>
  <c r="K42" i="16"/>
  <c r="N42" i="16" s="1"/>
  <c r="Y147" i="1"/>
  <c r="Y119" i="1"/>
  <c r="Y114" i="1"/>
  <c r="X147" i="1"/>
  <c r="X142" i="1"/>
  <c r="V77" i="1"/>
  <c r="V119" i="1"/>
  <c r="V114" i="1"/>
  <c r="V11" i="1"/>
  <c r="L11" i="1" s="1"/>
  <c r="J11" i="1" s="1"/>
  <c r="V17" i="1"/>
  <c r="V84" i="1"/>
  <c r="L84" i="1" s="1"/>
  <c r="J118" i="1"/>
  <c r="E118" i="1"/>
  <c r="E114" i="1"/>
  <c r="K51" i="16"/>
  <c r="N51" i="16" s="1"/>
  <c r="K46" i="16"/>
  <c r="N46" i="16" s="1"/>
  <c r="L45" i="16"/>
  <c r="L34" i="16"/>
  <c r="K69" i="16"/>
  <c r="N69" i="16" s="1"/>
  <c r="J44" i="1"/>
  <c r="E44" i="1"/>
  <c r="E17" i="1"/>
  <c r="E11" i="1"/>
  <c r="X100" i="1"/>
  <c r="X103" i="1"/>
  <c r="L103" i="1" s="1"/>
  <c r="U82" i="1"/>
  <c r="U5" i="15"/>
  <c r="U142" i="1"/>
  <c r="U66" i="1"/>
  <c r="L66" i="1" s="1"/>
  <c r="U16" i="1"/>
  <c r="V131" i="16"/>
  <c r="V133" i="16"/>
  <c r="M133" i="16" s="1"/>
  <c r="V135" i="16"/>
  <c r="M135" i="16" s="1"/>
  <c r="V129" i="16"/>
  <c r="M129" i="16" s="1"/>
  <c r="V93" i="16"/>
  <c r="M93" i="16" s="1"/>
  <c r="U79" i="1"/>
  <c r="U77" i="1"/>
  <c r="U75" i="1"/>
  <c r="L142" i="1" l="1"/>
  <c r="L147" i="1"/>
  <c r="L17" i="1"/>
  <c r="J17" i="1" s="1"/>
  <c r="L114" i="1"/>
  <c r="J114" i="1" s="1"/>
  <c r="U43" i="1"/>
  <c r="T125" i="1" l="1"/>
  <c r="T77" i="1"/>
  <c r="T79" i="1"/>
  <c r="T75" i="1"/>
  <c r="T119" i="1" l="1"/>
  <c r="U131" i="16" l="1"/>
  <c r="T128" i="1"/>
  <c r="L128" i="1" s="1"/>
  <c r="T29" i="1"/>
  <c r="L29" i="1" s="1"/>
  <c r="S125" i="1" l="1"/>
  <c r="S82" i="1"/>
  <c r="L82" i="1" s="1"/>
  <c r="S72" i="1"/>
  <c r="S16" i="1"/>
  <c r="S119" i="1"/>
  <c r="S140" i="1"/>
  <c r="L140" i="1" s="1"/>
  <c r="S2" i="15"/>
  <c r="S5" i="15"/>
  <c r="S100" i="1"/>
  <c r="S169" i="1"/>
  <c r="L169" i="1" s="1"/>
  <c r="S168" i="1"/>
  <c r="L168" i="1" s="1"/>
  <c r="S93" i="1"/>
  <c r="L93" i="1" s="1"/>
  <c r="S77" i="1" l="1"/>
  <c r="S75" i="1"/>
  <c r="L75" i="1" s="1"/>
  <c r="R4" i="1"/>
  <c r="L4" i="1" s="1"/>
  <c r="R43" i="1"/>
  <c r="R16" i="1"/>
  <c r="R119" i="1"/>
  <c r="L119" i="1" s="1"/>
  <c r="Q100" i="1"/>
  <c r="L100" i="1" s="1"/>
  <c r="R34" i="16"/>
  <c r="M34" i="16" s="1"/>
  <c r="R12" i="16"/>
  <c r="M12" i="16" s="1"/>
  <c r="Q43" i="1"/>
  <c r="Q125" i="1"/>
  <c r="L43" i="1" l="1"/>
  <c r="O125" i="1"/>
  <c r="L125" i="1" s="1"/>
  <c r="N37" i="1"/>
  <c r="L37" i="1" s="1"/>
  <c r="O131" i="16"/>
  <c r="M131" i="16" s="1"/>
  <c r="O134" i="16"/>
  <c r="M134" i="16" s="1"/>
  <c r="O130" i="16"/>
  <c r="M130" i="16" s="1"/>
  <c r="O87" i="16"/>
  <c r="M87" i="16" s="1"/>
  <c r="N16" i="1" l="1"/>
  <c r="L16" i="1" s="1"/>
  <c r="N72" i="1"/>
  <c r="L72" i="1" s="1"/>
  <c r="N79" i="1"/>
  <c r="L79" i="1" s="1"/>
  <c r="N77" i="1"/>
  <c r="L77" i="1" s="1"/>
  <c r="K12" i="16" l="1"/>
  <c r="N12" i="16" s="1"/>
  <c r="J58" i="15" l="1"/>
  <c r="M58" i="15" s="1"/>
  <c r="J57" i="15"/>
  <c r="M57" i="15" s="1"/>
  <c r="J55" i="15"/>
  <c r="M55" i="15" s="1"/>
  <c r="J52" i="15"/>
  <c r="M52" i="15" s="1"/>
  <c r="J50" i="15"/>
  <c r="M50" i="15" s="1"/>
  <c r="J56" i="15"/>
  <c r="M56" i="15" s="1"/>
  <c r="J54" i="15"/>
  <c r="M54" i="15" s="1"/>
  <c r="J53" i="15"/>
  <c r="M53" i="15" s="1"/>
  <c r="J51" i="15"/>
  <c r="M51" i="15" s="1"/>
  <c r="J49" i="15"/>
  <c r="M49" i="15" s="1"/>
  <c r="J103" i="1" l="1"/>
  <c r="J100" i="1"/>
  <c r="J93" i="1"/>
  <c r="J88" i="1"/>
  <c r="E88" i="1"/>
  <c r="E103" i="1"/>
  <c r="E100" i="1"/>
  <c r="E93" i="1"/>
  <c r="J97" i="1"/>
  <c r="E97" i="1"/>
  <c r="J147" i="1" l="1"/>
  <c r="E147" i="1"/>
  <c r="K18" i="16" l="1"/>
  <c r="N18" i="16" s="1"/>
  <c r="E92" i="1"/>
  <c r="K130" i="16" l="1"/>
  <c r="N130" i="16" s="1"/>
  <c r="K134" i="16"/>
  <c r="N134" i="16" s="1"/>
  <c r="K95" i="16"/>
  <c r="N95" i="16" s="1"/>
  <c r="K94" i="16"/>
  <c r="N94" i="16" s="1"/>
  <c r="K93" i="16"/>
  <c r="N93" i="16" s="1"/>
  <c r="K92" i="16"/>
  <c r="N92" i="16" s="1"/>
  <c r="K91" i="16"/>
  <c r="N91" i="16" s="1"/>
  <c r="K90" i="16"/>
  <c r="N90" i="16" s="1"/>
  <c r="K89" i="16"/>
  <c r="N89" i="16" s="1"/>
  <c r="K88" i="16"/>
  <c r="N88" i="16" s="1"/>
  <c r="K87" i="16"/>
  <c r="N87" i="16" s="1"/>
  <c r="K86" i="16"/>
  <c r="N86" i="16" s="1"/>
  <c r="E125" i="1" l="1"/>
  <c r="K11" i="16" l="1"/>
  <c r="N11" i="16" s="1"/>
  <c r="K113" i="16" l="1"/>
  <c r="N113" i="16" s="1"/>
  <c r="K129" i="16" l="1"/>
  <c r="N129" i="16" s="1"/>
  <c r="K101" i="16" l="1"/>
  <c r="N101" i="16" s="1"/>
  <c r="K100" i="16"/>
  <c r="N100" i="16" s="1"/>
  <c r="K99" i="16"/>
  <c r="N99" i="16" s="1"/>
  <c r="K98" i="16"/>
  <c r="N98" i="16" s="1"/>
  <c r="E141" i="1"/>
  <c r="J125" i="1" l="1"/>
  <c r="E124" i="1"/>
  <c r="E126" i="1"/>
  <c r="K133" i="16"/>
  <c r="N133" i="16" s="1"/>
  <c r="J129" i="1" l="1"/>
  <c r="E129" i="1"/>
  <c r="C19" i="14" l="1"/>
  <c r="C18" i="14"/>
  <c r="C17" i="14"/>
  <c r="C16" i="14"/>
  <c r="C15" i="14"/>
  <c r="C14" i="14"/>
  <c r="C13" i="14"/>
  <c r="E80" i="1" l="1"/>
  <c r="E75" i="1"/>
  <c r="E82" i="1"/>
  <c r="E79" i="1"/>
  <c r="E77" i="1"/>
  <c r="E84" i="1" l="1"/>
  <c r="K85" i="16"/>
  <c r="N85" i="16" s="1"/>
  <c r="K128" i="16" l="1"/>
  <c r="N128" i="16" s="1"/>
  <c r="K77" i="16"/>
  <c r="N77" i="16" s="1"/>
  <c r="K76" i="16"/>
  <c r="N76" i="16" s="1"/>
  <c r="K74" i="16"/>
  <c r="N74" i="16" s="1"/>
  <c r="K132" i="16"/>
  <c r="N132" i="16" s="1"/>
  <c r="K131" i="16"/>
  <c r="N131" i="16" s="1"/>
  <c r="K78" i="16"/>
  <c r="N78" i="16" s="1"/>
  <c r="K75" i="16"/>
  <c r="N75" i="16" s="1"/>
  <c r="K112" i="16"/>
  <c r="N112" i="16" s="1"/>
  <c r="K111" i="16"/>
  <c r="N111" i="16" s="1"/>
  <c r="K110" i="16"/>
  <c r="N110" i="16" s="1"/>
  <c r="K109" i="16"/>
  <c r="N109" i="16" s="1"/>
  <c r="K108" i="16"/>
  <c r="N108" i="16" s="1"/>
  <c r="K107" i="16"/>
  <c r="N107" i="16" s="1"/>
  <c r="K106" i="16"/>
  <c r="N106" i="16" s="1"/>
  <c r="K105" i="16"/>
  <c r="N105" i="16" s="1"/>
  <c r="K104" i="16"/>
  <c r="N104" i="16" s="1"/>
  <c r="K103" i="16"/>
  <c r="N103" i="16" s="1"/>
  <c r="J84" i="1"/>
  <c r="M84" i="1" s="1"/>
  <c r="J82" i="1"/>
  <c r="M82" i="1" s="1"/>
  <c r="J80" i="1"/>
  <c r="M80" i="1" s="1"/>
  <c r="J79" i="1"/>
  <c r="M79" i="1" s="1"/>
  <c r="J77" i="1"/>
  <c r="M77" i="1" s="1"/>
  <c r="J75" i="1"/>
  <c r="M75" i="1" s="1"/>
  <c r="K127" i="16" l="1"/>
  <c r="N127" i="16" s="1"/>
  <c r="K102" i="16"/>
  <c r="N102" i="16" s="1"/>
  <c r="K39" i="16"/>
  <c r="N39" i="16" s="1"/>
  <c r="K84" i="16" l="1"/>
  <c r="N84" i="16" s="1"/>
  <c r="K83" i="16"/>
  <c r="N83" i="16" s="1"/>
  <c r="K40" i="16"/>
  <c r="N40" i="16" s="1"/>
  <c r="E86" i="1"/>
  <c r="K17" i="16" l="1"/>
  <c r="N17" i="16" s="1"/>
  <c r="K14" i="16"/>
  <c r="N14" i="16" s="1"/>
  <c r="K15" i="16"/>
  <c r="N15" i="16" s="1"/>
  <c r="K16" i="16"/>
  <c r="N16" i="16" s="1"/>
  <c r="E117" i="1"/>
  <c r="E119" i="1"/>
  <c r="E120" i="1"/>
  <c r="J69" i="1" l="1"/>
  <c r="E69" i="1"/>
  <c r="J43" i="1"/>
  <c r="J36" i="1"/>
  <c r="J24" i="1"/>
  <c r="E45" i="1"/>
  <c r="E43" i="1"/>
  <c r="J37" i="1"/>
  <c r="E37" i="1"/>
  <c r="E36" i="1"/>
  <c r="J25" i="1"/>
  <c r="E25" i="1"/>
  <c r="E24" i="1"/>
  <c r="J4" i="1"/>
  <c r="E4" i="1"/>
  <c r="J8" i="1"/>
  <c r="E8" i="1"/>
  <c r="J16" i="1"/>
  <c r="E16" i="1"/>
  <c r="K29" i="16" l="1"/>
  <c r="N29" i="16" s="1"/>
  <c r="K30" i="16"/>
  <c r="N30" i="16" s="1"/>
  <c r="K62" i="16"/>
  <c r="N62" i="16" s="1"/>
  <c r="K23" i="16"/>
  <c r="N23" i="16" s="1"/>
  <c r="K31" i="16"/>
  <c r="N31" i="16" s="1"/>
  <c r="K63" i="16"/>
  <c r="N63" i="16" s="1"/>
  <c r="K24" i="16"/>
  <c r="N24" i="16" s="1"/>
  <c r="K32" i="16"/>
  <c r="N32" i="16" s="1"/>
  <c r="K19" i="16"/>
  <c r="N19" i="16" s="1"/>
  <c r="K64" i="16"/>
  <c r="N64" i="16" s="1"/>
  <c r="K21" i="16"/>
  <c r="N21" i="16" s="1"/>
  <c r="K22" i="16"/>
  <c r="N22" i="16" s="1"/>
  <c r="K25" i="16"/>
  <c r="N25" i="16" s="1"/>
  <c r="K67" i="16"/>
  <c r="N67" i="16" s="1"/>
  <c r="K26" i="16"/>
  <c r="N26" i="16" s="1"/>
  <c r="K52" i="16"/>
  <c r="N52" i="16" s="1"/>
  <c r="K66" i="16"/>
  <c r="N66" i="16" s="1"/>
  <c r="K27" i="16"/>
  <c r="N27" i="16" s="1"/>
  <c r="K50" i="16"/>
  <c r="N50" i="16" s="1"/>
  <c r="K60" i="16"/>
  <c r="N60" i="16" s="1"/>
  <c r="K61" i="16"/>
  <c r="N61" i="16" s="1"/>
  <c r="K33" i="16"/>
  <c r="N33" i="16" s="1"/>
  <c r="K65" i="16"/>
  <c r="N65" i="16" s="1"/>
  <c r="K68" i="16"/>
  <c r="N68" i="16" s="1"/>
  <c r="K59" i="16"/>
  <c r="N59" i="16" s="1"/>
  <c r="K20" i="16"/>
  <c r="N20" i="16" s="1"/>
  <c r="K28" i="16"/>
  <c r="N28" i="16" s="1"/>
  <c r="K49" i="16"/>
  <c r="N49" i="16" s="1"/>
  <c r="J45" i="1"/>
  <c r="J144" i="1" l="1"/>
  <c r="E144" i="1"/>
  <c r="E85" i="1"/>
  <c r="E146" i="1"/>
  <c r="E142" i="1"/>
  <c r="E140" i="1"/>
  <c r="E139" i="1"/>
  <c r="E138" i="1"/>
  <c r="E137" i="1"/>
  <c r="E136" i="1"/>
  <c r="E135" i="1"/>
  <c r="E134" i="1"/>
  <c r="E133" i="1"/>
  <c r="E112" i="1"/>
  <c r="E111" i="1"/>
  <c r="E110" i="1"/>
  <c r="E109" i="1"/>
  <c r="E108" i="1"/>
  <c r="E107" i="1"/>
  <c r="E106" i="1"/>
  <c r="E105" i="1"/>
  <c r="E104" i="1"/>
  <c r="E102" i="1"/>
  <c r="E101" i="1"/>
  <c r="E99" i="1"/>
  <c r="E98" i="1"/>
  <c r="E96" i="1"/>
  <c r="E95" i="1"/>
  <c r="E94" i="1"/>
  <c r="E91" i="1"/>
  <c r="E90" i="1"/>
  <c r="E89" i="1"/>
  <c r="E87" i="1"/>
  <c r="E72" i="1"/>
  <c r="E71" i="1"/>
  <c r="E70" i="1"/>
  <c r="E68" i="1"/>
  <c r="E67" i="1"/>
  <c r="E66" i="1"/>
  <c r="E65" i="1"/>
  <c r="E64" i="1"/>
  <c r="E63" i="1"/>
  <c r="E62" i="1"/>
  <c r="E60" i="1"/>
  <c r="E59" i="1"/>
  <c r="E58" i="1"/>
  <c r="E57" i="1"/>
  <c r="E56" i="1"/>
  <c r="E55" i="1"/>
  <c r="E53" i="1"/>
  <c r="E52" i="1"/>
  <c r="E51" i="1"/>
  <c r="E49" i="1"/>
  <c r="K58" i="16" l="1"/>
  <c r="N58" i="16" s="1"/>
  <c r="K38" i="16"/>
  <c r="N38" i="16" s="1"/>
  <c r="K82" i="16"/>
  <c r="N82" i="16" s="1"/>
  <c r="E145" i="1"/>
  <c r="E143" i="1"/>
  <c r="E132" i="1"/>
  <c r="E131" i="1"/>
  <c r="E128" i="1"/>
  <c r="E130" i="1"/>
  <c r="E127" i="1"/>
  <c r="E123" i="1"/>
  <c r="E122" i="1"/>
  <c r="E121" i="1"/>
  <c r="E115" i="1"/>
  <c r="E116" i="1"/>
  <c r="E113" i="1"/>
  <c r="I73" i="1"/>
  <c r="H73" i="1"/>
  <c r="E61" i="1"/>
  <c r="E54" i="1"/>
  <c r="E50" i="1"/>
  <c r="E48" i="1"/>
  <c r="E42" i="1"/>
  <c r="E46" i="1"/>
  <c r="E47" i="1"/>
  <c r="E41" i="1"/>
  <c r="E40" i="1"/>
  <c r="E39" i="1"/>
  <c r="E35" i="1"/>
  <c r="E38" i="1"/>
  <c r="E34" i="1"/>
  <c r="E33" i="1"/>
  <c r="E32" i="1"/>
  <c r="E31" i="1"/>
  <c r="E29" i="1"/>
  <c r="E30" i="1"/>
  <c r="E28" i="1"/>
  <c r="E27" i="1"/>
  <c r="E23" i="1"/>
  <c r="E26" i="1"/>
  <c r="E22" i="1"/>
  <c r="E21" i="1"/>
  <c r="E15" i="1"/>
  <c r="E18" i="1"/>
  <c r="E19" i="1"/>
  <c r="E20" i="1"/>
  <c r="E14" i="1"/>
  <c r="E9" i="1"/>
  <c r="E10" i="1"/>
  <c r="E12" i="1"/>
  <c r="E13" i="1"/>
  <c r="E7" i="1"/>
  <c r="E2" i="1"/>
  <c r="E3" i="1"/>
  <c r="E5" i="1"/>
  <c r="E6" i="1"/>
  <c r="E73" i="1" l="1"/>
  <c r="K37" i="16"/>
  <c r="N37" i="16" s="1"/>
  <c r="K141" i="16" l="1"/>
  <c r="N141" i="16" s="1"/>
  <c r="K142" i="16"/>
  <c r="N142" i="16" s="1"/>
  <c r="K137" i="16"/>
  <c r="N137" i="16" s="1"/>
  <c r="K10" i="16" l="1"/>
  <c r="N10" i="16" s="1"/>
  <c r="K81" i="16"/>
  <c r="N81" i="16" s="1"/>
  <c r="J23" i="15" l="1"/>
  <c r="M23" i="15" s="1"/>
  <c r="J24" i="15"/>
  <c r="M24" i="15" s="1"/>
  <c r="J25" i="15"/>
  <c r="J26" i="15"/>
  <c r="J27" i="15"/>
  <c r="J28" i="15"/>
  <c r="J29" i="15"/>
  <c r="M29" i="15" s="1"/>
  <c r="J30" i="15"/>
  <c r="J31" i="15"/>
  <c r="J32" i="15"/>
  <c r="M32" i="15" s="1"/>
  <c r="J33" i="15"/>
  <c r="M33" i="15" s="1"/>
  <c r="J34" i="15"/>
  <c r="M34" i="15" s="1"/>
  <c r="J35" i="15"/>
  <c r="M35" i="15" s="1"/>
  <c r="J36" i="15"/>
  <c r="J37" i="15"/>
  <c r="J38" i="15"/>
  <c r="M38" i="15" s="1"/>
  <c r="J39" i="15"/>
  <c r="M39" i="15" s="1"/>
  <c r="J40" i="15"/>
  <c r="M40" i="15" s="1"/>
  <c r="J41" i="15"/>
  <c r="M41" i="15" s="1"/>
  <c r="J42" i="15"/>
  <c r="M42" i="15" s="1"/>
  <c r="J43" i="15"/>
  <c r="M43" i="15" s="1"/>
  <c r="J44" i="15"/>
  <c r="M44" i="15" s="1"/>
  <c r="J45" i="15"/>
  <c r="M45" i="15" s="1"/>
  <c r="J46" i="15"/>
  <c r="M46" i="15" s="1"/>
  <c r="J47" i="15"/>
  <c r="J48" i="15"/>
  <c r="J22" i="15"/>
  <c r="J19" i="15"/>
  <c r="J20" i="15"/>
  <c r="J16" i="15"/>
  <c r="M16" i="15" s="1"/>
  <c r="J17" i="15"/>
  <c r="M17" i="15" s="1"/>
  <c r="J18" i="15"/>
  <c r="M18" i="15" s="1"/>
  <c r="J21" i="15"/>
  <c r="J15" i="15"/>
  <c r="J12" i="15"/>
  <c r="M12" i="15" s="1"/>
  <c r="J13" i="15"/>
  <c r="J14" i="15"/>
  <c r="J10" i="15"/>
  <c r="M10" i="15" s="1"/>
  <c r="J11" i="15"/>
  <c r="M11" i="15" s="1"/>
  <c r="J8" i="15"/>
  <c r="M8" i="15" s="1"/>
  <c r="J9" i="15"/>
  <c r="M9" i="15" s="1"/>
  <c r="J6" i="15"/>
  <c r="J7" i="15"/>
  <c r="M7" i="15" s="1"/>
  <c r="J5" i="15"/>
  <c r="J3" i="15"/>
  <c r="J4" i="15"/>
  <c r="M4" i="15" s="1"/>
  <c r="J2" i="15"/>
  <c r="J123" i="1"/>
  <c r="K124" i="16" l="1"/>
  <c r="N124" i="16" s="1"/>
  <c r="K47" i="16"/>
  <c r="N47" i="16" s="1"/>
  <c r="K73" i="16"/>
  <c r="N73" i="16" s="1"/>
  <c r="K118" i="16"/>
  <c r="N118" i="16" s="1"/>
  <c r="K126" i="16"/>
  <c r="N126" i="16" s="1"/>
  <c r="K71" i="16"/>
  <c r="N71" i="16" s="1"/>
  <c r="K7" i="16"/>
  <c r="N7" i="16" s="1"/>
  <c r="K2" i="16"/>
  <c r="N2" i="16" s="1"/>
  <c r="K53" i="16"/>
  <c r="N53" i="16" s="1"/>
  <c r="K79" i="16"/>
  <c r="N79" i="16" s="1"/>
  <c r="K119" i="16"/>
  <c r="N119" i="16" s="1"/>
  <c r="K136" i="16"/>
  <c r="N136" i="16" s="1"/>
  <c r="K45" i="16"/>
  <c r="N45" i="16" s="1"/>
  <c r="K36" i="16"/>
  <c r="N36" i="16" s="1"/>
  <c r="K48" i="16"/>
  <c r="N48" i="16" s="1"/>
  <c r="K3" i="16"/>
  <c r="N3" i="16" s="1"/>
  <c r="K54" i="16"/>
  <c r="N54" i="16" s="1"/>
  <c r="K80" i="16"/>
  <c r="N80" i="16" s="1"/>
  <c r="K120" i="16"/>
  <c r="N120" i="16" s="1"/>
  <c r="K138" i="16"/>
  <c r="N138" i="16" s="1"/>
  <c r="K34" i="16"/>
  <c r="N34" i="16" s="1"/>
  <c r="K44" i="16"/>
  <c r="N44" i="16" s="1"/>
  <c r="K125" i="16"/>
  <c r="N125" i="16" s="1"/>
  <c r="K55" i="16"/>
  <c r="N55" i="16" s="1"/>
  <c r="K97" i="16"/>
  <c r="N97" i="16" s="1"/>
  <c r="K121" i="16"/>
  <c r="N121" i="16" s="1"/>
  <c r="K139" i="16"/>
  <c r="N139" i="16" s="1"/>
  <c r="K9" i="16"/>
  <c r="N9" i="16" s="1"/>
  <c r="K116" i="16"/>
  <c r="N116" i="16" s="1"/>
  <c r="K72" i="16"/>
  <c r="N72" i="16" s="1"/>
  <c r="K35" i="16"/>
  <c r="N35" i="16" s="1"/>
  <c r="K56" i="16"/>
  <c r="N56" i="16" s="1"/>
  <c r="K114" i="16"/>
  <c r="N114" i="16" s="1"/>
  <c r="K122" i="16"/>
  <c r="N122" i="16" s="1"/>
  <c r="K140" i="16"/>
  <c r="N140" i="16" s="1"/>
  <c r="K5" i="16"/>
  <c r="N5" i="16" s="1"/>
  <c r="K117" i="16"/>
  <c r="N117" i="16" s="1"/>
  <c r="K43" i="16"/>
  <c r="N43" i="16" s="1"/>
  <c r="K57" i="16"/>
  <c r="N57" i="16" s="1"/>
  <c r="K115" i="16"/>
  <c r="N115" i="16" s="1"/>
  <c r="K123" i="16"/>
  <c r="N123" i="16" s="1"/>
  <c r="K135" i="16"/>
  <c r="N135" i="16" s="1"/>
  <c r="K6" i="16"/>
  <c r="N6" i="16" s="1"/>
  <c r="K4" i="16"/>
  <c r="N4" i="16" s="1"/>
  <c r="K8" i="16"/>
  <c r="N8" i="16" s="1"/>
  <c r="M28" i="15"/>
  <c r="M22" i="15"/>
  <c r="M26" i="15"/>
  <c r="M20" i="15"/>
  <c r="M48" i="15"/>
  <c r="M6" i="15"/>
  <c r="M3" i="15"/>
  <c r="M15" i="15"/>
  <c r="M37" i="15"/>
  <c r="M31" i="15"/>
  <c r="J115" i="1" l="1"/>
  <c r="J119" i="1"/>
  <c r="M123" i="1" l="1"/>
  <c r="J128" i="1"/>
  <c r="J18" i="1" l="1"/>
  <c r="J29" i="1"/>
  <c r="J46" i="1"/>
  <c r="J31" i="1"/>
  <c r="J3" i="1"/>
  <c r="J51" i="1" l="1"/>
  <c r="J56" i="1"/>
  <c r="J47" i="1" l="1"/>
  <c r="J35" i="1"/>
  <c r="J5" i="1"/>
  <c r="J7" i="1" l="1"/>
  <c r="J14" i="1" l="1"/>
  <c r="J53" i="1" l="1"/>
  <c r="J28" i="1" l="1"/>
  <c r="J19" i="1"/>
  <c r="J117" i="1" l="1"/>
  <c r="J113" i="1"/>
  <c r="J15" i="1" l="1"/>
  <c r="J61" i="1" l="1"/>
  <c r="J67" i="1"/>
  <c r="J58" i="1"/>
  <c r="J64" i="1"/>
  <c r="J54" i="1"/>
  <c r="J50" i="1"/>
  <c r="J39" i="1"/>
  <c r="J12" i="1" l="1"/>
  <c r="J23" i="1"/>
  <c r="J41" i="1" l="1"/>
  <c r="J127" i="1"/>
  <c r="J131" i="1"/>
  <c r="J142" i="1"/>
  <c r="J22" i="1" l="1"/>
  <c r="J26" i="1"/>
  <c r="J34" i="1"/>
  <c r="J42" i="1"/>
  <c r="J49" i="1"/>
  <c r="J55" i="1"/>
  <c r="J59" i="1"/>
  <c r="J62" i="1"/>
  <c r="J65" i="1"/>
  <c r="J68" i="1"/>
  <c r="J71" i="1"/>
  <c r="J86" i="1"/>
  <c r="J87" i="1"/>
  <c r="J90" i="1"/>
  <c r="J91" i="1"/>
  <c r="J92" i="1"/>
  <c r="J95" i="1"/>
  <c r="J96" i="1"/>
  <c r="J99" i="1"/>
  <c r="J102" i="1"/>
  <c r="J107" i="1"/>
  <c r="J111" i="1"/>
  <c r="J124" i="1"/>
  <c r="J133" i="1"/>
  <c r="J139" i="1"/>
  <c r="J141" i="1"/>
  <c r="J145" i="1"/>
  <c r="J2" i="1" l="1"/>
  <c r="J10" i="1"/>
  <c r="J9" i="1" l="1"/>
  <c r="J20" i="1"/>
  <c r="M20" i="1" s="1"/>
  <c r="D2" i="14" s="1"/>
  <c r="J32" i="1"/>
  <c r="M32" i="1" s="1"/>
  <c r="D10" i="14" s="1"/>
  <c r="J166" i="1"/>
  <c r="M166" i="1" s="1"/>
  <c r="J165" i="1"/>
  <c r="M165" i="1" s="1"/>
  <c r="J164" i="1"/>
  <c r="M164" i="1" s="1"/>
  <c r="J138" i="1"/>
  <c r="M138" i="1" s="1"/>
  <c r="J137" i="1"/>
  <c r="M137" i="1" s="1"/>
  <c r="D38" i="14" s="1"/>
  <c r="J136" i="1"/>
  <c r="M136" i="1" s="1"/>
  <c r="D37" i="14" s="1"/>
  <c r="J149" i="1"/>
  <c r="M149" i="1" s="1"/>
  <c r="J157" i="1"/>
  <c r="M157" i="1" s="1"/>
  <c r="J168" i="1"/>
  <c r="M168" i="1" s="1"/>
  <c r="J110" i="1"/>
  <c r="M110" i="1" s="1"/>
  <c r="D23" i="14" s="1"/>
  <c r="J155" i="1"/>
  <c r="M155" i="1" s="1"/>
  <c r="J21" i="1"/>
  <c r="M21" i="1" s="1"/>
  <c r="D7" i="14" s="1"/>
  <c r="J109" i="1"/>
  <c r="M109" i="1" s="1"/>
  <c r="D22" i="14" s="1"/>
  <c r="J122" i="1"/>
  <c r="M122" i="1" s="1"/>
  <c r="J150" i="1"/>
  <c r="M150" i="1" s="1"/>
  <c r="J158" i="1"/>
  <c r="M158" i="1" s="1"/>
  <c r="J169" i="1"/>
  <c r="M169" i="1" s="1"/>
  <c r="J105" i="1"/>
  <c r="M105" i="1" s="1"/>
  <c r="J148" i="1"/>
  <c r="M148" i="1" s="1"/>
  <c r="J151" i="1"/>
  <c r="M151" i="1" s="1"/>
  <c r="J159" i="1"/>
  <c r="M159" i="1" s="1"/>
  <c r="J170" i="1"/>
  <c r="M170" i="1" s="1"/>
  <c r="M131" i="1"/>
  <c r="J152" i="1"/>
  <c r="M152" i="1" s="1"/>
  <c r="J160" i="1"/>
  <c r="M160" i="1" s="1"/>
  <c r="J85" i="1"/>
  <c r="M85" i="1" s="1"/>
  <c r="J106" i="1"/>
  <c r="M106" i="1" s="1"/>
  <c r="D20" i="14" s="1"/>
  <c r="J132" i="1"/>
  <c r="M132" i="1" s="1"/>
  <c r="J153" i="1"/>
  <c r="M153" i="1" s="1"/>
  <c r="J161" i="1"/>
  <c r="M161" i="1" s="1"/>
  <c r="J73" i="1"/>
  <c r="M73" i="1" s="1"/>
  <c r="J163" i="1"/>
  <c r="M163" i="1" s="1"/>
  <c r="J156" i="1"/>
  <c r="M156" i="1" s="1"/>
  <c r="J135" i="1"/>
  <c r="M135" i="1" s="1"/>
  <c r="J154" i="1"/>
  <c r="M154" i="1" s="1"/>
  <c r="J162" i="1"/>
  <c r="M162" i="1" s="1"/>
  <c r="J33" i="1"/>
  <c r="M33" i="1" s="1"/>
  <c r="D6" i="14" s="1"/>
  <c r="J167" i="1"/>
  <c r="M167" i="1" s="1"/>
  <c r="J143" i="1"/>
  <c r="M144" i="1" s="1"/>
  <c r="D35" i="14" s="1"/>
  <c r="J121" i="1"/>
  <c r="M121" i="1" s="1"/>
  <c r="J13" i="1"/>
  <c r="J134" i="1"/>
  <c r="M134" i="1" s="1"/>
  <c r="D36" i="14" s="1"/>
  <c r="J126" i="1"/>
  <c r="M126" i="1" s="1"/>
  <c r="D32" i="14" s="1"/>
  <c r="J98" i="1"/>
  <c r="M98" i="1" s="1"/>
  <c r="D27" i="14" s="1"/>
  <c r="J108" i="1"/>
  <c r="M108" i="1" s="1"/>
  <c r="D21" i="14" s="1"/>
  <c r="J89" i="1"/>
  <c r="M89" i="1" s="1"/>
  <c r="D25" i="14" s="1"/>
  <c r="J72" i="1"/>
  <c r="M72" i="1" s="1"/>
  <c r="D19" i="14" s="1"/>
  <c r="J101" i="1"/>
  <c r="M101" i="1" s="1"/>
  <c r="D28" i="14" s="1"/>
  <c r="J112" i="1"/>
  <c r="M112" i="1" s="1"/>
  <c r="D24" i="14" s="1"/>
  <c r="J6" i="1"/>
  <c r="M6" i="1" s="1"/>
  <c r="D4" i="14" s="1"/>
  <c r="J94" i="1"/>
  <c r="M94" i="1" s="1"/>
  <c r="D26" i="14" s="1"/>
  <c r="J104" i="1"/>
  <c r="M104" i="1" s="1"/>
  <c r="D29" i="14" s="1"/>
  <c r="J27" i="1"/>
  <c r="M27" i="1" s="1"/>
  <c r="D5" i="14" s="1"/>
  <c r="J140" i="1"/>
  <c r="M140" i="1" s="1"/>
  <c r="D39" i="14" s="1"/>
  <c r="J38" i="1"/>
  <c r="M38" i="1" s="1"/>
  <c r="D12" i="14" s="1"/>
  <c r="J48" i="1"/>
  <c r="M48" i="1" s="1"/>
  <c r="D9" i="14" s="1"/>
  <c r="M142" i="1"/>
  <c r="D40" i="14" s="1"/>
  <c r="J52" i="1"/>
  <c r="M52" i="1" s="1"/>
  <c r="D13" i="14" s="1"/>
  <c r="J130" i="1"/>
  <c r="M130" i="1" s="1"/>
  <c r="D33" i="14" s="1"/>
  <c r="J30" i="1"/>
  <c r="M30" i="1" s="1"/>
  <c r="D8" i="14" s="1"/>
  <c r="J146" i="1"/>
  <c r="M147" i="1" s="1"/>
  <c r="J70" i="1"/>
  <c r="M70" i="1" s="1"/>
  <c r="D18" i="14" s="1"/>
  <c r="J116" i="1"/>
  <c r="M116" i="1" s="1"/>
  <c r="D31" i="14" s="1"/>
  <c r="J60" i="1"/>
  <c r="M60" i="1" s="1"/>
  <c r="D15" i="14" s="1"/>
  <c r="J120" i="1"/>
  <c r="M120" i="1" s="1"/>
  <c r="D30" i="14" s="1"/>
  <c r="J66" i="1"/>
  <c r="M66" i="1" s="1"/>
  <c r="D17" i="14" s="1"/>
  <c r="J40" i="1"/>
  <c r="M40" i="1" s="1"/>
  <c r="D11" i="14" s="1"/>
  <c r="J63" i="1"/>
  <c r="M63" i="1" s="1"/>
  <c r="D16" i="14" s="1"/>
  <c r="J57" i="1"/>
  <c r="M57" i="1" s="1"/>
  <c r="D14" i="14" s="1"/>
  <c r="G25" i="14" l="1"/>
  <c r="F25" i="14"/>
  <c r="G37" i="14"/>
  <c r="F37" i="14"/>
  <c r="G21" i="14"/>
  <c r="F21" i="14"/>
  <c r="G22" i="14"/>
  <c r="F22" i="14"/>
  <c r="G16" i="14"/>
  <c r="F16" i="14"/>
  <c r="G29" i="14"/>
  <c r="F29" i="14"/>
  <c r="G33" i="14"/>
  <c r="F33" i="14"/>
  <c r="G32" i="14"/>
  <c r="F32" i="14"/>
  <c r="G20" i="14"/>
  <c r="F20" i="14"/>
  <c r="G17" i="14"/>
  <c r="F17" i="14"/>
  <c r="G13" i="14"/>
  <c r="F13" i="14"/>
  <c r="G4" i="14"/>
  <c r="F4" i="14"/>
  <c r="G36" i="14"/>
  <c r="F36" i="14"/>
  <c r="G23" i="14"/>
  <c r="F23" i="14"/>
  <c r="G30" i="14"/>
  <c r="F30" i="14"/>
  <c r="G40" i="14"/>
  <c r="F40" i="14"/>
  <c r="G24" i="14"/>
  <c r="F24" i="14"/>
  <c r="G18" i="14"/>
  <c r="F18" i="14"/>
  <c r="G38" i="14"/>
  <c r="F38" i="14"/>
  <c r="G39" i="14"/>
  <c r="F39" i="14"/>
  <c r="G14" i="14"/>
  <c r="F14" i="14"/>
  <c r="G5" i="14"/>
  <c r="F5" i="14"/>
  <c r="G6" i="14"/>
  <c r="F6" i="14"/>
  <c r="G8" i="14"/>
  <c r="F8" i="14"/>
  <c r="G27" i="14"/>
  <c r="F27" i="14"/>
  <c r="G7" i="14"/>
  <c r="F7" i="14"/>
  <c r="G11" i="14"/>
  <c r="F11" i="14"/>
  <c r="G26" i="14"/>
  <c r="F26" i="14"/>
  <c r="G15" i="14"/>
  <c r="F15" i="14"/>
  <c r="G9" i="14"/>
  <c r="F9" i="14"/>
  <c r="G28" i="14"/>
  <c r="F28" i="14"/>
  <c r="G10" i="14"/>
  <c r="F10" i="14"/>
  <c r="G31" i="14"/>
  <c r="F31" i="14"/>
  <c r="G12" i="14"/>
  <c r="F12" i="14"/>
  <c r="G19" i="14"/>
  <c r="F19" i="14"/>
  <c r="G35" i="14"/>
  <c r="F35" i="14"/>
  <c r="G2" i="14"/>
  <c r="F2" i="14"/>
  <c r="E31" i="14"/>
  <c r="E39" i="14"/>
  <c r="E14" i="14"/>
  <c r="D34" i="14"/>
  <c r="E5" i="14"/>
  <c r="E21" i="14"/>
  <c r="E6" i="14"/>
  <c r="E22" i="14"/>
  <c r="E38" i="14"/>
  <c r="E16" i="14"/>
  <c r="E8" i="14"/>
  <c r="E29" i="14"/>
  <c r="E27" i="14"/>
  <c r="E7" i="14"/>
  <c r="E33" i="14"/>
  <c r="E32" i="14"/>
  <c r="E13" i="14"/>
  <c r="E23" i="14"/>
  <c r="E11" i="14"/>
  <c r="E26" i="14"/>
  <c r="E17" i="14"/>
  <c r="E24" i="14"/>
  <c r="E12" i="14"/>
  <c r="E20" i="14"/>
  <c r="E4" i="14"/>
  <c r="E36" i="14"/>
  <c r="E30" i="14"/>
  <c r="E40" i="14"/>
  <c r="E15" i="14"/>
  <c r="E9" i="14"/>
  <c r="E28" i="14"/>
  <c r="E10" i="14"/>
  <c r="E19" i="14"/>
  <c r="E35" i="14"/>
  <c r="E2" i="14"/>
  <c r="E18" i="14"/>
  <c r="E25" i="14"/>
  <c r="E37" i="14"/>
  <c r="M13" i="1"/>
  <c r="D3" i="14" s="1"/>
  <c r="G3" i="14" l="1"/>
  <c r="F3" i="14"/>
  <c r="G34" i="14"/>
  <c r="F34" i="14"/>
  <c r="E34" i="14"/>
  <c r="E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EOC Medical</author>
    <author>Leolou Jeffrey Sanchez</author>
  </authors>
  <commentList>
    <comment ref="H2" authorId="0" shapeId="0" xr:uid="{AEFF6A2F-4F71-4C20-8CCF-DCD67512C330}">
      <text>
        <r>
          <rPr>
            <b/>
            <sz val="9"/>
            <color indexed="81"/>
            <rFont val="Tahoma"/>
            <family val="2"/>
          </rPr>
          <t>Items Expired: Changed ( Lot No, Exp, Mfg Date)
Previous:
LOT: WB220608002S
MFG: 20220608
EXP: 07/06/2025
New:
LOT: WB250608002S
MFG: 20250608
EXP: 07/06/2028</t>
        </r>
      </text>
    </comment>
    <comment ref="H9" authorId="0" shapeId="0" xr:uid="{4B3FD65A-D4A7-4BAB-9CA3-CDEB7064C5CC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Items Expired:</t>
        </r>
        <r>
          <rPr>
            <sz val="9"/>
            <color indexed="81"/>
            <rFont val="Tahoma"/>
            <family val="2"/>
          </rPr>
          <t xml:space="preserve"> Changed ( Lot No, Exp, Mfg Date)
Previous:
LOT: WB220607003S
MFG: 20220607
EXP: 06/06/2025
New:
LOT: WB250607003S
MFG: 20250607
EXP: 06/06/2028</t>
        </r>
      </text>
    </comment>
    <comment ref="K9" authorId="0" shapeId="0" xr:uid="{60512FCF-6545-4600-8E39-6EFCB8E1F37B}">
      <text>
        <r>
          <rPr>
            <b/>
            <sz val="9"/>
            <color indexed="81"/>
            <rFont val="Tahoma"/>
            <family val="2"/>
          </rPr>
          <t xml:space="preserve">
ADDED 21 PCS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REASON:</t>
        </r>
        <r>
          <rPr>
            <sz val="9"/>
            <color indexed="81"/>
            <rFont val="Tahoma"/>
            <family val="2"/>
          </rPr>
          <t xml:space="preserve"> 
DN-REPLACEMENT CENTRAL HOSPITAL
REPLACED BY ITEM: 25030501003 | 04/03/2028 (21 PCS)
DATE PREPARED: 04/07/2025
DATE REPLACED: 05/07/2025
</t>
        </r>
      </text>
    </comment>
    <comment ref="K10" authorId="0" shapeId="0" xr:uid="{21AE103A-C57A-4295-9048-93D08ED9B954}">
      <text>
        <r>
          <rPr>
            <sz val="9"/>
            <color indexed="81"/>
            <rFont val="Tahoma"/>
            <family val="2"/>
          </rPr>
          <t xml:space="preserve">
Added 5 pcs from SINO Hospital pull out
Date: 02-06-2025
</t>
        </r>
      </text>
    </comment>
    <comment ref="I11" authorId="0" shapeId="0" xr:uid="{1F6108B0-3966-4C02-B2B3-49170041C735}">
      <text>
        <r>
          <rPr>
            <sz val="9"/>
            <color indexed="81"/>
            <rFont val="Tahoma"/>
            <family val="2"/>
          </rPr>
          <t xml:space="preserve">
DATE RECEIVED: 09-05-2026
1,400 PCS
</t>
        </r>
      </text>
    </comment>
    <comment ref="K12" authorId="0" shapeId="0" xr:uid="{CF48FB35-605F-46BE-AE58-C59F164E6994}">
      <text>
        <r>
          <rPr>
            <sz val="9"/>
            <color indexed="81"/>
            <rFont val="Tahoma"/>
            <family val="2"/>
          </rPr>
          <t xml:space="preserve">
Added 1 pc from SINO Hospital pull out
Date: 02-06-2025
</t>
        </r>
      </text>
    </comment>
    <comment ref="H13" authorId="1" shapeId="0" xr:uid="{5D629363-5202-4537-A312-89F399FD3C4A}">
      <text>
        <r>
          <rPr>
            <sz val="11"/>
            <color theme="1"/>
            <rFont val="Aptos Narrow"/>
            <family val="2"/>
            <scheme val="minor"/>
          </rPr>
          <t xml:space="preserve">DELIVERY DATE: 17/04/2025
</t>
        </r>
      </text>
    </comment>
    <comment ref="I17" authorId="0" shapeId="0" xr:uid="{06AAD644-07E8-4F1B-A1A9-EEE08A2430F4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DATE RECEIVED: 11-05-2026
11,000 PCS</t>
        </r>
      </text>
    </comment>
    <comment ref="H19" authorId="0" shapeId="0" xr:uid="{4DD99105-D08B-4B2B-967E-822073B56922}">
      <text>
        <r>
          <rPr>
            <b/>
            <sz val="9"/>
            <color indexed="81"/>
            <rFont val="Tahoma"/>
            <family val="2"/>
          </rPr>
          <t xml:space="preserve">
SHIPMENT RECEIVED DATE: 02/07/2025</t>
        </r>
      </text>
    </comment>
    <comment ref="H21" authorId="1" shapeId="0" xr:uid="{E24C2B38-1FC6-431F-BCD7-2FD1A6D6F3D7}">
      <text>
        <r>
          <rPr>
            <b/>
            <sz val="11"/>
            <color theme="1"/>
            <rFont val="Aptos Narrow"/>
            <family val="2"/>
            <scheme val="minor"/>
          </rPr>
          <t>IOB-006</t>
        </r>
        <r>
          <rPr>
            <sz val="11"/>
            <color theme="1"/>
            <rFont val="Aptos Narrow"/>
            <family val="2"/>
            <scheme val="minor"/>
          </rPr>
          <t xml:space="preserve"> Expired Items
</t>
        </r>
        <r>
          <rPr>
            <b/>
            <sz val="11"/>
            <color theme="1"/>
            <rFont val="Aptos Narrow"/>
            <family val="2"/>
            <scheme val="minor"/>
          </rPr>
          <t>PREVIOUS</t>
        </r>
        <r>
          <rPr>
            <sz val="11"/>
            <color theme="1"/>
            <rFont val="Aptos Narrow"/>
            <family val="2"/>
            <scheme val="minor"/>
          </rPr>
          <t xml:space="preserve">
</t>
        </r>
        <r>
          <rPr>
            <b/>
            <sz val="11"/>
            <color theme="1"/>
            <rFont val="Aptos Narrow"/>
            <family val="2"/>
            <scheme val="minor"/>
          </rPr>
          <t>LOT:</t>
        </r>
        <r>
          <rPr>
            <sz val="11"/>
            <color theme="1"/>
            <rFont val="Aptos Narrow"/>
            <family val="2"/>
            <scheme val="minor"/>
          </rPr>
          <t xml:space="preserve"> WB211025006S
</t>
        </r>
        <r>
          <rPr>
            <b/>
            <sz val="11"/>
            <color theme="1"/>
            <rFont val="Aptos Narrow"/>
            <family val="2"/>
            <scheme val="minor"/>
          </rPr>
          <t>MFG:</t>
        </r>
        <r>
          <rPr>
            <sz val="11"/>
            <color theme="1"/>
            <rFont val="Aptos Narrow"/>
            <family val="2"/>
            <scheme val="minor"/>
          </rPr>
          <t xml:space="preserve"> 20211025
</t>
        </r>
        <r>
          <rPr>
            <b/>
            <sz val="11"/>
            <color theme="1"/>
            <rFont val="Aptos Narrow"/>
            <family val="2"/>
            <scheme val="minor"/>
          </rPr>
          <t>EXP:</t>
        </r>
        <r>
          <rPr>
            <sz val="11"/>
            <color theme="1"/>
            <rFont val="Aptos Narrow"/>
            <family val="2"/>
            <scheme val="minor"/>
          </rPr>
          <t xml:space="preserve"> 20241024
</t>
        </r>
        <r>
          <rPr>
            <b/>
            <sz val="11"/>
            <color theme="1"/>
            <rFont val="Aptos Narrow"/>
            <family val="2"/>
            <scheme val="minor"/>
          </rPr>
          <t>NEW
LOT:</t>
        </r>
        <r>
          <rPr>
            <sz val="11"/>
            <color theme="1"/>
            <rFont val="Aptos Narrow"/>
            <family val="2"/>
            <scheme val="minor"/>
          </rPr>
          <t xml:space="preserve"> WB230612004
</t>
        </r>
        <r>
          <rPr>
            <b/>
            <sz val="11"/>
            <color theme="1"/>
            <rFont val="Aptos Narrow"/>
            <family val="2"/>
            <scheme val="minor"/>
          </rPr>
          <t>MFG:</t>
        </r>
        <r>
          <rPr>
            <sz val="11"/>
            <color theme="1"/>
            <rFont val="Aptos Narrow"/>
            <family val="2"/>
            <scheme val="minor"/>
          </rPr>
          <t xml:space="preserve"> 20250612
</t>
        </r>
        <r>
          <rPr>
            <b/>
            <sz val="11"/>
            <color theme="1"/>
            <rFont val="Aptos Narrow"/>
            <family val="2"/>
            <scheme val="minor"/>
          </rPr>
          <t>EXP:</t>
        </r>
        <r>
          <rPr>
            <sz val="11"/>
            <color theme="1"/>
            <rFont val="Aptos Narrow"/>
            <family val="2"/>
            <scheme val="minor"/>
          </rPr>
          <t xml:space="preserve"> 20280610
</t>
        </r>
      </text>
    </comment>
    <comment ref="K22" authorId="0" shapeId="0" xr:uid="{3D119334-9234-415B-A5AE-464B2B15D233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Added 5 pcs from SINO Hospital pull out
Date: 02-06-2025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3" authorId="0" shapeId="0" xr:uid="{CE221D87-7049-4CBB-A843-645ECF371616}">
      <text>
        <r>
          <rPr>
            <sz val="9"/>
            <color indexed="81"/>
            <rFont val="Tahoma"/>
            <family val="2"/>
          </rPr>
          <t xml:space="preserve">
Added 1 pc from SINO Hospital pull out
Date: 02-06-2025</t>
        </r>
      </text>
    </comment>
    <comment ref="H26" authorId="1" shapeId="0" xr:uid="{4CDA994D-F7AB-42A4-9AA6-8121B6FB63FB}">
      <text>
        <r>
          <rPr>
            <sz val="11"/>
            <color theme="1"/>
            <rFont val="Aptos Narrow"/>
            <family val="2"/>
            <scheme val="minor"/>
          </rPr>
          <t>HMS - 30 PCS
RECEIVED ON 14-03-25</t>
        </r>
      </text>
    </comment>
    <comment ref="H32" authorId="1" shapeId="0" xr:uid="{57B109E2-5DC7-4F81-8593-53E311596CA6}">
      <text>
        <r>
          <rPr>
            <b/>
            <sz val="11"/>
            <color theme="1"/>
            <rFont val="Aptos Narrow"/>
            <family val="2"/>
            <scheme val="minor"/>
          </rPr>
          <t>Items Expired: Changed ( Lot No, Exp, Mfg Date)</t>
        </r>
        <r>
          <rPr>
            <sz val="11"/>
            <color theme="1"/>
            <rFont val="Aptos Narrow"/>
            <family val="2"/>
            <scheme val="minor"/>
          </rPr>
          <t xml:space="preserve">
</t>
        </r>
        <r>
          <rPr>
            <b/>
            <sz val="11"/>
            <color theme="1"/>
            <rFont val="Aptos Narrow"/>
            <family val="2"/>
            <scheme val="minor"/>
          </rPr>
          <t xml:space="preserve">Previous:
LOT: </t>
        </r>
        <r>
          <rPr>
            <sz val="11"/>
            <color theme="1"/>
            <rFont val="Aptos Narrow"/>
            <family val="2"/>
            <scheme val="minor"/>
          </rPr>
          <t>WB20220620</t>
        </r>
        <r>
          <rPr>
            <b/>
            <sz val="11"/>
            <color theme="1"/>
            <rFont val="Aptos Narrow"/>
            <family val="2"/>
            <scheme val="minor"/>
          </rPr>
          <t xml:space="preserve">
MFG: </t>
        </r>
        <r>
          <rPr>
            <sz val="11"/>
            <color theme="1"/>
            <rFont val="Aptos Narrow"/>
            <family val="2"/>
            <scheme val="minor"/>
          </rPr>
          <t>20220620</t>
        </r>
        <r>
          <rPr>
            <b/>
            <sz val="11"/>
            <color theme="1"/>
            <rFont val="Aptos Narrow"/>
            <family val="2"/>
            <scheme val="minor"/>
          </rPr>
          <t xml:space="preserve">
EXP: </t>
        </r>
        <r>
          <rPr>
            <sz val="11"/>
            <color theme="1"/>
            <rFont val="Aptos Narrow"/>
            <family val="2"/>
            <scheme val="minor"/>
          </rPr>
          <t>19/06/2024</t>
        </r>
        <r>
          <rPr>
            <b/>
            <sz val="11"/>
            <color theme="1"/>
            <rFont val="Aptos Narrow"/>
            <family val="2"/>
            <scheme val="minor"/>
          </rPr>
          <t xml:space="preserve">
New:</t>
        </r>
        <r>
          <rPr>
            <sz val="11"/>
            <color theme="1"/>
            <rFont val="Aptos Narrow"/>
            <family val="2"/>
            <scheme val="minor"/>
          </rPr>
          <t xml:space="preserve">
</t>
        </r>
        <r>
          <rPr>
            <b/>
            <sz val="11"/>
            <color theme="1"/>
            <rFont val="Aptos Narrow"/>
            <family val="2"/>
            <scheme val="minor"/>
          </rPr>
          <t xml:space="preserve">LOT: </t>
        </r>
        <r>
          <rPr>
            <sz val="11"/>
            <color theme="1"/>
            <rFont val="Aptos Narrow"/>
            <family val="2"/>
            <scheme val="minor"/>
          </rPr>
          <t xml:space="preserve">WB202406200
</t>
        </r>
        <r>
          <rPr>
            <b/>
            <sz val="11"/>
            <color theme="1"/>
            <rFont val="Aptos Narrow"/>
            <family val="2"/>
            <scheme val="minor"/>
          </rPr>
          <t>MFG:</t>
        </r>
        <r>
          <rPr>
            <sz val="11"/>
            <color theme="1"/>
            <rFont val="Aptos Narrow"/>
            <family val="2"/>
            <scheme val="minor"/>
          </rPr>
          <t xml:space="preserve"> 20240620</t>
        </r>
        <r>
          <rPr>
            <b/>
            <sz val="11"/>
            <color theme="1"/>
            <rFont val="Aptos Narrow"/>
            <family val="2"/>
            <scheme val="minor"/>
          </rPr>
          <t xml:space="preserve">
EXP: </t>
        </r>
        <r>
          <rPr>
            <sz val="11"/>
            <color theme="1"/>
            <rFont val="Aptos Narrow"/>
            <family val="2"/>
            <scheme val="minor"/>
          </rPr>
          <t>19/06/2027</t>
        </r>
      </text>
    </comment>
    <comment ref="H33" authorId="1" shapeId="0" xr:uid="{BCDECB91-918F-404A-840B-6220420B558D}">
      <text>
        <r>
          <rPr>
            <sz val="11"/>
            <color theme="1"/>
            <rFont val="Aptos Narrow"/>
            <family val="2"/>
            <scheme val="minor"/>
          </rPr>
          <t xml:space="preserve">Items Expired: Changed ( Lot No, Exp, Mfg Date)
Previous:
LOT: 20220918
MFG: 20220918
EXP: 17/09/2024
New:
LOT: 20240918
MFG: 20240918
EXP: 17/09/2027
New as of 06-11-2025:
LOT: 20240120
MFG: 20240918
EXP: 20270917
</t>
        </r>
      </text>
    </comment>
    <comment ref="K33" authorId="0" shapeId="0" xr:uid="{10931A04-4034-48AD-AEAA-C9AE533F0AFE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REMAINING STOCK CHECK</t>
        </r>
        <r>
          <rPr>
            <sz val="9"/>
            <color indexed="81"/>
            <rFont val="Tahoma"/>
            <family val="2"/>
          </rPr>
          <t xml:space="preserve"> (06-11-2025)
</t>
        </r>
        <r>
          <rPr>
            <b/>
            <sz val="9"/>
            <color indexed="81"/>
            <rFont val="Tahoma"/>
            <family val="2"/>
          </rPr>
          <t>PREVIOUS COUNT:</t>
        </r>
        <r>
          <rPr>
            <sz val="9"/>
            <color indexed="81"/>
            <rFont val="Tahoma"/>
            <family val="2"/>
          </rPr>
          <t xml:space="preserve"> 336
</t>
        </r>
        <r>
          <rPr>
            <b/>
            <sz val="9"/>
            <color indexed="81"/>
            <rFont val="Tahoma"/>
            <family val="2"/>
          </rPr>
          <t xml:space="preserve">UPDATED COUNT: </t>
        </r>
        <r>
          <rPr>
            <sz val="9"/>
            <color indexed="81"/>
            <rFont val="Tahoma"/>
            <family val="2"/>
          </rPr>
          <t xml:space="preserve">337
</t>
        </r>
        <r>
          <rPr>
            <b/>
            <sz val="9"/>
            <color indexed="81"/>
            <rFont val="Tahoma"/>
            <family val="2"/>
          </rPr>
          <t>REASON:</t>
        </r>
        <r>
          <rPr>
            <sz val="9"/>
            <color indexed="81"/>
            <rFont val="Tahoma"/>
            <family val="2"/>
          </rPr>
          <t xml:space="preserve"> FOUND 1 BOX WITH </t>
        </r>
        <r>
          <rPr>
            <u/>
            <sz val="9"/>
            <color indexed="81"/>
            <rFont val="Tahoma"/>
            <family val="2"/>
          </rPr>
          <t>41 PCS</t>
        </r>
        <r>
          <rPr>
            <sz val="9"/>
            <color indexed="81"/>
            <rFont val="Tahoma"/>
            <family val="2"/>
          </rPr>
          <t xml:space="preserve"> INSTEAD OF 40</t>
        </r>
      </text>
    </comment>
    <comment ref="K39" authorId="0" shapeId="0" xr:uid="{0CC37B8B-725C-473E-A070-D143969B525E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Added 3 pcs from SINO Hospital pull out
Date: 02-06-2025</t>
        </r>
      </text>
    </comment>
    <comment ref="H40" authorId="1" shapeId="0" xr:uid="{0E522B58-7623-4269-8118-C6994E32A587}">
      <text>
        <r>
          <rPr>
            <b/>
            <sz val="11"/>
            <color theme="1"/>
            <rFont val="Aptos Narrow"/>
            <family val="2"/>
            <scheme val="minor"/>
          </rPr>
          <t>IOB-025</t>
        </r>
        <r>
          <rPr>
            <sz val="11"/>
            <color theme="1"/>
            <rFont val="Aptos Narrow"/>
            <family val="2"/>
            <scheme val="minor"/>
          </rPr>
          <t xml:space="preserve"> Expired Items:
We will change the expiry date from 04/08/2024 to 15/03/2027
</t>
        </r>
        <r>
          <rPr>
            <b/>
            <sz val="11"/>
            <color theme="1"/>
            <rFont val="Aptos Narrow"/>
            <family val="2"/>
            <scheme val="minor"/>
          </rPr>
          <t>PREVIOUS</t>
        </r>
        <r>
          <rPr>
            <sz val="11"/>
            <color theme="1"/>
            <rFont val="Aptos Narrow"/>
            <family val="2"/>
            <scheme val="minor"/>
          </rPr>
          <t xml:space="preserve">
LOT: 20220620
MFG: 20220620
EXP: 20240619
</t>
        </r>
        <r>
          <rPr>
            <b/>
            <sz val="11"/>
            <color theme="1"/>
            <rFont val="Aptos Narrow"/>
            <family val="2"/>
            <scheme val="minor"/>
          </rPr>
          <t>NEW</t>
        </r>
        <r>
          <rPr>
            <sz val="11"/>
            <color theme="1"/>
            <rFont val="Aptos Narrow"/>
            <family val="2"/>
            <scheme val="minor"/>
          </rPr>
          <t xml:space="preserve">
LOT: WU240737015
MFG: 20240316
EXP: 20270315
</t>
        </r>
      </text>
    </comment>
    <comment ref="I44" authorId="0" shapeId="0" xr:uid="{10167A96-DB36-48AC-BC98-CE871FB1DC7C}">
      <text>
        <r>
          <rPr>
            <sz val="9"/>
            <color indexed="81"/>
            <rFont val="Tahoma"/>
            <family val="2"/>
          </rPr>
          <t xml:space="preserve">
DATE RECEIVED: 09-05-2026
400 PCS</t>
        </r>
      </text>
    </comment>
    <comment ref="J46" authorId="0" shapeId="0" xr:uid="{D74D08BF-B43B-4B76-A157-A2B077FE314F}">
      <text>
        <r>
          <rPr>
            <sz val="9"/>
            <color indexed="81"/>
            <rFont val="Tahoma"/>
            <family val="2"/>
          </rPr>
          <t xml:space="preserve">13 PCS REMAINING 06-01-2026
WB220701028 | 30/06/2025 (expired)
CHANGED TO
25082707028 | 26/08/2028
1 PC TAKEN FROM SAMPLES
THEN ADDED TO STOCK
TO DELIVER TO MEDICLINIC CITY - 14-01-2026
 </t>
        </r>
      </text>
    </comment>
    <comment ref="K46" authorId="0" shapeId="0" xr:uid="{9525B2F5-CDD4-4A00-8948-068C2410C9DB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WB220701028 | 30/06/2025 (expired)
CHANGED TO
25082707028 | 26/08/2028
1 PC TAKEN FROM SAMPLES
THEN ADDED TO STOCK
TO DELIVER TO MEDICLINIC CITY - 14-01-2026
before (73 pcs) now (74 pcs) 14-01-2026</t>
        </r>
      </text>
    </comment>
    <comment ref="K49" authorId="0" shapeId="0" xr:uid="{29338460-8EF1-48ED-825E-EE696A9CA1EB}">
      <text>
        <r>
          <rPr>
            <b/>
            <sz val="9"/>
            <color indexed="81"/>
            <rFont val="Tahoma"/>
            <family val="2"/>
          </rPr>
          <t xml:space="preserve">
NOTE: </t>
        </r>
        <r>
          <rPr>
            <sz val="9"/>
            <color indexed="81"/>
            <rFont val="Tahoma"/>
            <family val="2"/>
          </rPr>
          <t xml:space="preserve">ADDED QTY 20 PCS
</t>
        </r>
        <r>
          <rPr>
            <b/>
            <sz val="9"/>
            <color indexed="81"/>
            <rFont val="Tahoma"/>
            <family val="2"/>
          </rPr>
          <t>REASON:</t>
        </r>
        <r>
          <rPr>
            <sz val="9"/>
            <color indexed="81"/>
            <rFont val="Tahoma"/>
            <family val="2"/>
          </rPr>
          <t xml:space="preserve"> REPLACEMENT
</t>
        </r>
        <r>
          <rPr>
            <b/>
            <sz val="9"/>
            <color indexed="81"/>
            <rFont val="Tahoma"/>
            <family val="2"/>
          </rPr>
          <t xml:space="preserve">HOSPITAL: </t>
        </r>
        <r>
          <rPr>
            <sz val="9"/>
            <color indexed="81"/>
            <rFont val="Tahoma"/>
            <family val="2"/>
          </rPr>
          <t xml:space="preserve">AHALIA MUSAFFAH
</t>
        </r>
        <r>
          <rPr>
            <b/>
            <sz val="9"/>
            <color indexed="81"/>
            <rFont val="Tahoma"/>
            <family val="2"/>
          </rPr>
          <t>DATE RETURNED:</t>
        </r>
        <r>
          <rPr>
            <sz val="9"/>
            <color indexed="81"/>
            <rFont val="Tahoma"/>
            <family val="2"/>
          </rPr>
          <t xml:space="preserve"> 29-05-2025
</t>
        </r>
        <r>
          <rPr>
            <b/>
            <sz val="9"/>
            <color indexed="81"/>
            <rFont val="Tahoma"/>
            <family val="2"/>
          </rPr>
          <t>REPLACED BY:</t>
        </r>
        <r>
          <rPr>
            <sz val="9"/>
            <color indexed="81"/>
            <rFont val="Tahoma"/>
            <family val="2"/>
          </rPr>
          <t xml:space="preserve"> BOV-300-M (10 PCS), BOV-300-L (10 PCS)
</t>
        </r>
        <r>
          <rPr>
            <b/>
            <sz val="9"/>
            <color indexed="81"/>
            <rFont val="Tahoma"/>
            <family val="2"/>
          </rPr>
          <t>REPLACEMENT PREPARATION DATE:</t>
        </r>
        <r>
          <rPr>
            <sz val="9"/>
            <color indexed="81"/>
            <rFont val="Tahoma"/>
            <family val="2"/>
          </rPr>
          <t xml:space="preserve"> 28-05-2025
</t>
        </r>
      </text>
    </comment>
    <comment ref="K50" authorId="0" shapeId="0" xr:uid="{CEFA28CF-EFA1-4E15-8538-6256C931CC03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Added 5 pcs from SINO Hospital pull out
Date: 02-06-2025
ITEM HAS NO EXPIRY</t>
        </r>
      </text>
    </comment>
    <comment ref="K51" authorId="0" shapeId="0" xr:uid="{732347E2-4243-4BE6-B1BC-30DA5279D3E2}">
      <text>
        <r>
          <rPr>
            <sz val="9"/>
            <color indexed="81"/>
            <rFont val="Tahoma"/>
            <family val="2"/>
          </rPr>
          <t xml:space="preserve">
EXCEED </t>
        </r>
        <r>
          <rPr>
            <b/>
            <sz val="9"/>
            <color indexed="81"/>
            <rFont val="Tahoma"/>
            <family val="2"/>
          </rPr>
          <t>1 PC</t>
        </r>
        <r>
          <rPr>
            <sz val="9"/>
            <color indexed="81"/>
            <rFont val="Tahoma"/>
            <family val="2"/>
          </rPr>
          <t xml:space="preserve"> OF QUANTITY FROM PL OF SHIPMENT RECEIVED ON 13-10-2025
</t>
        </r>
      </text>
    </comment>
    <comment ref="K54" authorId="0" shapeId="0" xr:uid="{2D864CC7-BB04-4DE1-A09D-56295F05AE2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Added 4 pcs from SINO Hospital pull out
Date: 02-06-2025
</t>
        </r>
      </text>
    </comment>
    <comment ref="K58" authorId="0" shapeId="0" xr:uid="{B4C2C5C3-2386-4645-9705-AC2558501397}">
      <text>
        <r>
          <rPr>
            <sz val="9"/>
            <color indexed="81"/>
            <rFont val="Tahoma"/>
            <family val="2"/>
          </rPr>
          <t xml:space="preserve">
Added 4 pcs from SINO Hospital pull out
Date: 02-06-2025
</t>
        </r>
      </text>
    </comment>
    <comment ref="K61" authorId="0" shapeId="0" xr:uid="{6462FCE8-DFC2-4F59-9469-47651CCC33F5}">
      <text>
        <r>
          <rPr>
            <sz val="9"/>
            <color indexed="81"/>
            <rFont val="Tahoma"/>
            <family val="2"/>
          </rPr>
          <t xml:space="preserve">
Added 5 pcs from SINO Hospital pull out
Date: 02-06-2025
</t>
        </r>
      </text>
    </comment>
    <comment ref="K64" authorId="0" shapeId="0" xr:uid="{58617A78-397C-4AF3-92B4-48E8131B94F9}">
      <text>
        <r>
          <rPr>
            <sz val="9"/>
            <color indexed="81"/>
            <rFont val="Tahoma"/>
            <family val="2"/>
          </rPr>
          <t xml:space="preserve">
Added 4 pcs from SINO Hospital pull out
Date: 02-06-2025
</t>
        </r>
      </text>
    </comment>
    <comment ref="K67" authorId="0" shapeId="0" xr:uid="{B2D5DCAD-92D0-4276-AE66-DBB09FF07F3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Added 4 pcs from SINO Hospital pull out
Date: 02-06-2025
</t>
        </r>
      </text>
    </comment>
    <comment ref="A69" authorId="0" shapeId="0" xr:uid="{1F9DC92D-51A5-4606-8CA9-411EE9C3B85C}">
      <text>
        <r>
          <rPr>
            <sz val="9"/>
            <color indexed="81"/>
            <rFont val="Tahoma"/>
            <family val="2"/>
          </rPr>
          <t xml:space="preserve">REMOVED FROM SAMPLES TRANSFERRED TO STOCK 28-01-2026 (7 PCS) TO DELIVER TO DANAT AL EMARAT
INV/DAE-2026/4001D
</t>
        </r>
      </text>
    </comment>
    <comment ref="K77" authorId="0" shapeId="0" xr:uid="{1A2C4B71-008C-400F-BD9F-6BCED09CCDA6}">
      <text>
        <r>
          <rPr>
            <b/>
            <sz val="9"/>
            <color indexed="81"/>
            <rFont val="Tahoma"/>
            <family val="2"/>
          </rPr>
          <t xml:space="preserve">1 pc extra found
01-06-2026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77" authorId="0" shapeId="0" xr:uid="{2081B01E-D5FF-4BA6-877E-CCDC82CBFE07}">
      <text>
        <r>
          <rPr>
            <b/>
            <sz val="9"/>
            <color indexed="81"/>
            <rFont val="Tahoma"/>
            <family val="2"/>
          </rPr>
          <t xml:space="preserve">
DN-AZH-DXB-2026-4044D-DN ADVANCE
AL ZAHRA
15-05-2026
25 PCS</t>
        </r>
      </text>
    </comment>
    <comment ref="AB84" authorId="0" shapeId="0" xr:uid="{65F10BC8-2006-49FF-A198-1A81E8100D61}">
      <text>
        <r>
          <rPr>
            <sz val="9"/>
            <color indexed="81"/>
            <rFont val="Tahoma"/>
            <family val="2"/>
          </rPr>
          <t xml:space="preserve">
DN-AZH-DXB-2026-4044D-DN ADVANCE
AL ZAHRA
15-05-2026
1 PCS
</t>
        </r>
      </text>
    </comment>
    <comment ref="I92" authorId="1" shapeId="0" xr:uid="{F3549912-C9C1-4343-BBDF-6AAE60DAC514}">
      <text>
        <r>
          <rPr>
            <sz val="11"/>
            <color theme="1"/>
            <rFont val="Aptos Narrow"/>
            <family val="2"/>
            <scheme val="minor"/>
          </rPr>
          <t>Delivery date: 09/04/2025</t>
        </r>
      </text>
    </comment>
    <comment ref="I98" authorId="1" shapeId="0" xr:uid="{319DE03F-39AC-4FB9-A32C-931E1D68AC4B}">
      <text>
        <r>
          <rPr>
            <sz val="11"/>
            <color theme="1"/>
            <rFont val="Aptos Narrow"/>
            <family val="2"/>
            <scheme val="minor"/>
          </rPr>
          <t>Delivery date: 09/04/2025</t>
        </r>
      </text>
    </comment>
    <comment ref="I101" authorId="1" shapeId="0" xr:uid="{A96052D5-6246-4A46-B864-833FB4D2328D}">
      <text>
        <r>
          <rPr>
            <sz val="11"/>
            <color theme="1"/>
            <rFont val="Aptos Narrow"/>
            <family val="2"/>
            <scheme val="minor"/>
          </rPr>
          <t>Delivery date: 09/04/2025</t>
        </r>
      </text>
    </comment>
    <comment ref="I104" authorId="1" shapeId="0" xr:uid="{30DBB63B-B8B5-49C9-B787-CCF1763A794A}">
      <text>
        <r>
          <rPr>
            <sz val="11"/>
            <color theme="1"/>
            <rFont val="Aptos Narrow"/>
            <family val="2"/>
            <scheme val="minor"/>
          </rPr>
          <t>Delivery date: 09/04/2025</t>
        </r>
      </text>
    </comment>
    <comment ref="H113" authorId="0" shapeId="0" xr:uid="{23837CAB-7B99-4CF2-9E34-FB5D5262B0DA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DELIVERY DATE: 16/06/2025
5,000 PCS
</t>
        </r>
      </text>
    </comment>
    <comment ref="K114" authorId="0" shapeId="0" xr:uid="{917442CD-351F-4D69-8099-AE06F908E2D9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RECEIVED DATE: 09-05-2026
13,000 PCS</t>
        </r>
      </text>
    </comment>
    <comment ref="Y114" authorId="0" shapeId="0" xr:uid="{CBE4583C-2CAA-4568-B25C-5FF2050A7A7A}">
      <text>
        <r>
          <rPr>
            <sz val="9"/>
            <color indexed="81"/>
            <rFont val="Tahoma"/>
            <family val="2"/>
          </rPr>
          <t xml:space="preserve">
DN-RAK-2026-4020D-SAMPLES
RAK HOSPITAL
12-05-2026
3 PCS
</t>
        </r>
      </text>
    </comment>
    <comment ref="E115" authorId="0" shapeId="0" xr:uid="{F99EF815-7B35-477C-8BA8-C5090C8852EA}">
      <text>
        <r>
          <rPr>
            <b/>
            <sz val="9"/>
            <color indexed="81"/>
            <rFont val="Tahoma"/>
            <family val="2"/>
          </rPr>
          <t xml:space="preserve">
1 CTN = 1,000 PCS
1 CTN = 20 PACKS
1 PACK = 50 PCS</t>
        </r>
      </text>
    </comment>
    <comment ref="H115" authorId="0" shapeId="0" xr:uid="{BC3748B6-24A6-4B89-8CF0-1E2D51186675}">
      <text>
        <r>
          <rPr>
            <sz val="9"/>
            <color indexed="81"/>
            <rFont val="Tahoma"/>
            <family val="2"/>
          </rPr>
          <t xml:space="preserve">
shipment received date: 17-11-2025 (6,000 pcs)
</t>
        </r>
      </text>
    </comment>
    <comment ref="E116" authorId="0" shapeId="0" xr:uid="{13B48809-C97D-4508-8829-7AC18CB48B02}">
      <text>
        <r>
          <rPr>
            <b/>
            <sz val="9"/>
            <color indexed="81"/>
            <rFont val="Tahoma"/>
            <family val="2"/>
          </rPr>
          <t xml:space="preserve">
1 CTN = 1,000 PCS
1 CTN = 20 PACKS
1 PACK = 50 PCS</t>
        </r>
      </text>
    </comment>
    <comment ref="E117" authorId="0" shapeId="0" xr:uid="{6381E6C4-5DFA-4646-A08D-2E467D703AAC}">
      <text>
        <r>
          <rPr>
            <b/>
            <sz val="9"/>
            <color indexed="81"/>
            <rFont val="Tahoma"/>
            <family val="2"/>
          </rPr>
          <t xml:space="preserve">
1 CTN = 1,000 PCS
1 CTN = 20 PACKS
1 PACK = 50 PCS</t>
        </r>
      </text>
    </comment>
    <comment ref="H117" authorId="0" shapeId="0" xr:uid="{6CE5DDFF-48C3-45BB-BE40-FB70F0A08472}">
      <text>
        <r>
          <rPr>
            <sz val="9"/>
            <color indexed="81"/>
            <rFont val="Tahoma"/>
            <family val="2"/>
          </rPr>
          <t xml:space="preserve">
DELIVERY DATE: 16-06-2025
40,000 PCS
</t>
        </r>
      </text>
    </comment>
    <comment ref="E118" authorId="0" shapeId="0" xr:uid="{05D165BB-058C-4694-8B32-706BDB36F025}">
      <text>
        <r>
          <rPr>
            <b/>
            <sz val="9"/>
            <color indexed="81"/>
            <rFont val="Tahoma"/>
            <family val="2"/>
          </rPr>
          <t xml:space="preserve">
1 CTN = 1,000 PCS
1 CTN = 20 PACKS
1 PACK = 50 PCS</t>
        </r>
      </text>
    </comment>
    <comment ref="K118" authorId="0" shapeId="0" xr:uid="{4C9EF5E1-A63D-41F7-BF18-F8EFE62B362C}">
      <text>
        <r>
          <rPr>
            <sz val="9"/>
            <color indexed="81"/>
            <rFont val="Tahoma"/>
            <family val="2"/>
          </rPr>
          <t xml:space="preserve">
RECEIVED DATE: 09-05-2026
35,000 PCS
</t>
        </r>
      </text>
    </comment>
    <comment ref="E119" authorId="0" shapeId="0" xr:uid="{4F789787-D5B4-4C61-BE6D-2A2C3635C53F}">
      <text>
        <r>
          <rPr>
            <b/>
            <sz val="9"/>
            <color indexed="81"/>
            <rFont val="Tahoma"/>
            <family val="2"/>
          </rPr>
          <t xml:space="preserve">
1 CTN = 1,000 PCS
1 CTN = 20 PACKS
1 PACK = 50 PCS</t>
        </r>
      </text>
    </comment>
    <comment ref="H119" authorId="0" shapeId="0" xr:uid="{A7A4649E-C004-4E62-871F-BD134E616802}">
      <text>
        <r>
          <rPr>
            <sz val="9"/>
            <color indexed="81"/>
            <rFont val="Tahoma"/>
            <family val="2"/>
          </rPr>
          <t xml:space="preserve">
shipment received date: 17-11-2025 (60,000 pcs)
</t>
        </r>
      </text>
    </comment>
    <comment ref="Y119" authorId="0" shapeId="0" xr:uid="{41C5F35F-365C-4BDF-844C-098DEA6E652F}">
      <text>
        <r>
          <rPr>
            <sz val="9"/>
            <color indexed="81"/>
            <rFont val="Tahoma"/>
            <family val="2"/>
          </rPr>
          <t xml:space="preserve">
DN-RAK-2026-4020D-SAMPLES
RAK HOSPITAL
12-05-2026
3 PCS
</t>
        </r>
      </text>
    </comment>
    <comment ref="E120" authorId="0" shapeId="0" xr:uid="{CCD31A5F-C758-4499-B969-209C23BF27D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 CTN = 1,000 PCS
1 CTN = 20 PACKS
1 PACK = 50 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1" authorId="0" shapeId="0" xr:uid="{1A5A666C-D15E-41FB-B825-8FBF73CFFB45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 CTN = 1,000 PCS
1 CTN = 20 PACKS
1 PACK = 50 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1" authorId="0" shapeId="0" xr:uid="{576A73B2-ABC0-4DD7-B591-58D8EC110384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MISSING: </t>
        </r>
        <r>
          <rPr>
            <sz val="9"/>
            <color indexed="81"/>
            <rFont val="Tahoma"/>
            <family val="2"/>
          </rPr>
          <t>6 PCS</t>
        </r>
      </text>
    </comment>
    <comment ref="E122" authorId="0" shapeId="0" xr:uid="{7CEBB971-CCBE-48D0-85DA-61DB1541AE1A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 CTN = 1,000 PCS
1 CTN = 20 PACKS
1 PACK = 50 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3" authorId="0" shapeId="0" xr:uid="{2D53CAE4-004A-4C2C-A332-A1BA6CBCDF14}">
      <text>
        <r>
          <rPr>
            <b/>
            <sz val="9"/>
            <color indexed="81"/>
            <rFont val="Tahoma"/>
            <family val="2"/>
          </rPr>
          <t xml:space="preserve">DELIVERED: 04-11-2025 (2100 PCS)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5" authorId="0" shapeId="0" xr:uid="{ECB43EE9-CB3C-4EBF-8F66-1C2E9FE5CEE0}">
      <text>
        <r>
          <rPr>
            <sz val="9"/>
            <color indexed="81"/>
            <rFont val="Tahoma"/>
            <family val="2"/>
          </rPr>
          <t xml:space="preserve">
REFILLED FROM 5L CLEAR
12-03-2026
TOTAL: </t>
        </r>
        <r>
          <rPr>
            <b/>
            <sz val="9"/>
            <color indexed="81"/>
            <rFont val="Tahoma"/>
            <family val="2"/>
          </rPr>
          <t>356 PCS</t>
        </r>
        <r>
          <rPr>
            <sz val="9"/>
            <color indexed="81"/>
            <rFont val="Tahoma"/>
            <family val="2"/>
          </rPr>
          <t xml:space="preserve">
REFILLED FROM 5L CLEAR
14-04-2026
TOTAL: </t>
        </r>
        <r>
          <rPr>
            <b/>
            <sz val="9"/>
            <color indexed="81"/>
            <rFont val="Tahoma"/>
            <family val="2"/>
          </rPr>
          <t>157 PCS</t>
        </r>
        <r>
          <rPr>
            <sz val="9"/>
            <color indexed="81"/>
            <rFont val="Tahoma"/>
            <family val="2"/>
          </rPr>
          <t xml:space="preserve">
REFILLED FROM 5L CLEAR
24-04-2026
TOTAL: </t>
        </r>
        <r>
          <rPr>
            <b/>
            <sz val="9"/>
            <color indexed="81"/>
            <rFont val="Tahoma"/>
            <family val="2"/>
          </rPr>
          <t xml:space="preserve">641 PCS
</t>
        </r>
        <r>
          <rPr>
            <sz val="9"/>
            <color indexed="81"/>
            <rFont val="Tahoma"/>
            <family val="2"/>
          </rPr>
          <t xml:space="preserve">REFILLED FROM 5L CLEAR
28-04-2026
TOTAL: </t>
        </r>
        <r>
          <rPr>
            <b/>
            <sz val="9"/>
            <color indexed="81"/>
            <rFont val="Tahoma"/>
            <family val="2"/>
          </rPr>
          <t>438 PCS</t>
        </r>
      </text>
    </comment>
    <comment ref="J127" authorId="0" shapeId="0" xr:uid="{927BA915-799B-4959-8241-27770166786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ADD:</t>
        </r>
        <r>
          <rPr>
            <sz val="9"/>
            <color indexed="81"/>
            <rFont val="Tahoma"/>
            <family val="2"/>
          </rPr>
          <t xml:space="preserve"> 92 PCS
</t>
        </r>
        <r>
          <rPr>
            <b/>
            <sz val="9"/>
            <color indexed="81"/>
            <rFont val="Tahoma"/>
            <family val="2"/>
          </rPr>
          <t>REASON:</t>
        </r>
        <r>
          <rPr>
            <sz val="9"/>
            <color indexed="81"/>
            <rFont val="Tahoma"/>
            <family val="2"/>
          </rPr>
          <t xml:space="preserve"> REFILL 92 BOTTLES FROM 2 PCS  OF 5L GALLONS
</t>
        </r>
        <r>
          <rPr>
            <b/>
            <sz val="9"/>
            <color indexed="81"/>
            <rFont val="Tahoma"/>
            <family val="2"/>
          </rPr>
          <t>DATE:</t>
        </r>
        <r>
          <rPr>
            <sz val="9"/>
            <color indexed="81"/>
            <rFont val="Tahoma"/>
            <family val="2"/>
          </rPr>
          <t xml:space="preserve"> 15-08-2025
</t>
        </r>
      </text>
    </comment>
    <comment ref="K127" authorId="0" shapeId="0" xr:uid="{31C5F67C-C1E4-4B7B-B687-02F53F01DE2E}">
      <text>
        <r>
          <rPr>
            <b/>
            <sz val="9"/>
            <color indexed="81"/>
            <rFont val="Tahoma"/>
            <family val="2"/>
          </rPr>
          <t xml:space="preserve">
ADDED: </t>
        </r>
        <r>
          <rPr>
            <sz val="9"/>
            <color indexed="81"/>
            <rFont val="Tahoma"/>
            <family val="2"/>
          </rPr>
          <t>108 PCS</t>
        </r>
        <r>
          <rPr>
            <b/>
            <sz val="9"/>
            <color indexed="81"/>
            <rFont val="Tahoma"/>
            <family val="2"/>
          </rPr>
          <t xml:space="preserve">
HOW: 
</t>
        </r>
        <r>
          <rPr>
            <sz val="9"/>
            <color indexed="81"/>
            <rFont val="Tahoma"/>
            <family val="2"/>
          </rPr>
          <t xml:space="preserve">REFILL FROM </t>
        </r>
        <r>
          <rPr>
            <b/>
            <sz val="9"/>
            <color indexed="81"/>
            <rFont val="Tahoma"/>
            <family val="2"/>
          </rPr>
          <t>5L ULTRASOUND GEL BLUE</t>
        </r>
        <r>
          <rPr>
            <sz val="9"/>
            <color indexed="81"/>
            <rFont val="Tahoma"/>
            <family val="2"/>
          </rPr>
          <t xml:space="preserve"> TO 
</t>
        </r>
        <r>
          <rPr>
            <b/>
            <sz val="9"/>
            <color indexed="81"/>
            <rFont val="Tahoma"/>
            <family val="2"/>
          </rPr>
          <t xml:space="preserve">250 ML BOTTLES </t>
        </r>
        <r>
          <rPr>
            <sz val="9"/>
            <color indexed="81"/>
            <rFont val="Tahoma"/>
            <family val="2"/>
          </rPr>
          <t xml:space="preserve">(108 PCS)
</t>
        </r>
        <r>
          <rPr>
            <b/>
            <sz val="9"/>
            <color indexed="81"/>
            <rFont val="Tahoma"/>
            <family val="2"/>
          </rPr>
          <t>DATE:</t>
        </r>
        <r>
          <rPr>
            <sz val="9"/>
            <color indexed="81"/>
            <rFont val="Tahoma"/>
            <family val="2"/>
          </rPr>
          <t xml:space="preserve"> 12-08-2025</t>
        </r>
      </text>
    </comment>
    <comment ref="A128" authorId="0" shapeId="0" xr:uid="{4B6B2BD4-2022-4C61-8911-A940F2E4131F}">
      <text>
        <r>
          <rPr>
            <b/>
            <sz val="9"/>
            <color indexed="81"/>
            <rFont val="Tahoma"/>
            <family val="2"/>
          </rPr>
          <t>DELIVERED: 04-10-2025 (6,000 PCS)</t>
        </r>
      </text>
    </comment>
    <comment ref="K129" authorId="0" shapeId="0" xr:uid="{5C2504BA-50B5-46C6-8441-D0AA51EE1C53}">
      <text>
        <r>
          <rPr>
            <sz val="9"/>
            <color indexed="81"/>
            <rFont val="Tahoma"/>
            <family val="2"/>
          </rPr>
          <t xml:space="preserve">389 PCS OF EMPTY BOTTLES REFILLED WITH ULTRASOUND GEL BLUE (YC.002)
</t>
        </r>
      </text>
    </comment>
    <comment ref="J131" authorId="0" shapeId="0" xr:uid="{634D49CE-597B-4EBE-8026-756EA37DADF2}">
      <text>
        <r>
          <rPr>
            <sz val="9"/>
            <color indexed="81"/>
            <rFont val="Tahoma"/>
            <family val="2"/>
          </rPr>
          <t xml:space="preserve">
WE USED </t>
        </r>
        <r>
          <rPr>
            <b/>
            <sz val="9"/>
            <color indexed="81"/>
            <rFont val="Tahoma"/>
            <family val="2"/>
          </rPr>
          <t>18 PCS</t>
        </r>
        <r>
          <rPr>
            <sz val="9"/>
            <color indexed="81"/>
            <rFont val="Tahoma"/>
            <family val="2"/>
          </rPr>
          <t xml:space="preserve"> OF 5L CLEAR IN REFILLING </t>
        </r>
        <r>
          <rPr>
            <b/>
            <sz val="9"/>
            <color indexed="81"/>
            <rFont val="Tahoma"/>
            <family val="2"/>
          </rPr>
          <t>356 PCS</t>
        </r>
        <r>
          <rPr>
            <sz val="9"/>
            <color indexed="81"/>
            <rFont val="Tahoma"/>
            <family val="2"/>
          </rPr>
          <t xml:space="preserve"> OF 250 ML CLEAR
LOT: 2025082005, EXP: 05-05-2028
DATE: 12-03-2026
REMAINING: </t>
        </r>
        <r>
          <rPr>
            <b/>
            <sz val="9"/>
            <color indexed="81"/>
            <rFont val="Tahoma"/>
            <family val="2"/>
          </rPr>
          <t>62 PCS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8 PCS</t>
        </r>
        <r>
          <rPr>
            <sz val="9"/>
            <color indexed="81"/>
            <rFont val="Tahoma"/>
            <family val="2"/>
          </rPr>
          <t xml:space="preserve"> OF </t>
        </r>
        <r>
          <rPr>
            <u/>
            <sz val="9"/>
            <color indexed="81"/>
            <rFont val="Tahoma"/>
            <family val="2"/>
          </rPr>
          <t>5L ULTRASOUND GEL CLEAR</t>
        </r>
        <r>
          <rPr>
            <sz val="9"/>
            <color indexed="81"/>
            <rFont val="Tahoma"/>
            <family val="2"/>
          </rPr>
          <t xml:space="preserve"> USED IN REFILLING
</t>
        </r>
        <r>
          <rPr>
            <b/>
            <sz val="9"/>
            <color indexed="81"/>
            <rFont val="Tahoma"/>
            <family val="2"/>
          </rPr>
          <t>157 PCS</t>
        </r>
        <r>
          <rPr>
            <sz val="9"/>
            <color indexed="81"/>
            <rFont val="Tahoma"/>
            <family val="2"/>
          </rPr>
          <t xml:space="preserve"> OF</t>
        </r>
        <r>
          <rPr>
            <u/>
            <sz val="9"/>
            <color indexed="81"/>
            <rFont val="Tahoma"/>
            <family val="2"/>
          </rPr>
          <t xml:space="preserve"> 250 ML ULTRASOUND GEL CLEAR</t>
        </r>
        <r>
          <rPr>
            <sz val="9"/>
            <color indexed="81"/>
            <rFont val="Tahoma"/>
            <family val="2"/>
          </rPr>
          <t xml:space="preserve">
DATE: 14-04-2026
REMAINING: </t>
        </r>
        <r>
          <rPr>
            <b/>
            <sz val="9"/>
            <color indexed="81"/>
            <rFont val="Tahoma"/>
            <family val="2"/>
          </rPr>
          <t>54 PCS
32 PCS</t>
        </r>
        <r>
          <rPr>
            <sz val="9"/>
            <color indexed="81"/>
            <rFont val="Tahoma"/>
            <family val="2"/>
          </rPr>
          <t xml:space="preserve"> OF </t>
        </r>
        <r>
          <rPr>
            <u/>
            <sz val="9"/>
            <color indexed="81"/>
            <rFont val="Tahoma"/>
            <family val="2"/>
          </rPr>
          <t>5L ULTRASOUND GEL CLEAR</t>
        </r>
        <r>
          <rPr>
            <sz val="9"/>
            <color indexed="81"/>
            <rFont val="Tahoma"/>
            <family val="2"/>
          </rPr>
          <t xml:space="preserve"> USED IN REFILLING
</t>
        </r>
        <r>
          <rPr>
            <b/>
            <sz val="9"/>
            <color indexed="81"/>
            <rFont val="Tahoma"/>
            <family val="2"/>
          </rPr>
          <t>641 PCS</t>
        </r>
        <r>
          <rPr>
            <sz val="9"/>
            <color indexed="81"/>
            <rFont val="Tahoma"/>
            <family val="2"/>
          </rPr>
          <t xml:space="preserve"> OF </t>
        </r>
        <r>
          <rPr>
            <u/>
            <sz val="9"/>
            <color indexed="81"/>
            <rFont val="Tahoma"/>
            <family val="2"/>
          </rPr>
          <t>250 ML ULTRASOUND GEL CLEAR</t>
        </r>
        <r>
          <rPr>
            <sz val="9"/>
            <color indexed="81"/>
            <rFont val="Tahoma"/>
            <family val="2"/>
          </rPr>
          <t xml:space="preserve">
DATE: 24-04-2026
REMAINING:</t>
        </r>
        <r>
          <rPr>
            <b/>
            <sz val="9"/>
            <color indexed="81"/>
            <rFont val="Tahoma"/>
            <family val="2"/>
          </rPr>
          <t xml:space="preserve"> 22 PCS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22 PCS</t>
        </r>
        <r>
          <rPr>
            <sz val="9"/>
            <color indexed="81"/>
            <rFont val="Tahoma"/>
            <family val="2"/>
          </rPr>
          <t xml:space="preserve"> OF 5L ULTRASOUND GEL CLEAR USED IN REFILLING
</t>
        </r>
        <r>
          <rPr>
            <b/>
            <sz val="9"/>
            <color indexed="81"/>
            <rFont val="Tahoma"/>
            <family val="2"/>
          </rPr>
          <t>438 PCS</t>
        </r>
        <r>
          <rPr>
            <sz val="9"/>
            <color indexed="81"/>
            <rFont val="Tahoma"/>
            <family val="2"/>
          </rPr>
          <t xml:space="preserve"> OF 250 ML ULTRASOUND GEL CLEAR
DATE: 28-04-2026
REMAINING: 0 PCS</t>
        </r>
      </text>
    </comment>
    <comment ref="J132" authorId="0" shapeId="0" xr:uid="{ACEDDC3E-7596-4B96-BBBE-9A7664D23E3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DEDUCT: </t>
        </r>
        <r>
          <rPr>
            <sz val="9"/>
            <color indexed="81"/>
            <rFont val="Tahoma"/>
            <family val="2"/>
          </rPr>
          <t xml:space="preserve">7 PCS
</t>
        </r>
        <r>
          <rPr>
            <b/>
            <sz val="9"/>
            <color indexed="81"/>
            <rFont val="Tahoma"/>
            <family val="2"/>
          </rPr>
          <t xml:space="preserve">
REASON: </t>
        </r>
        <r>
          <rPr>
            <sz val="9"/>
            <color indexed="81"/>
            <rFont val="Tahoma"/>
            <family val="2"/>
          </rPr>
          <t xml:space="preserve">REFILL 250 ML BOTTLES FROM 5L GALLONS
</t>
        </r>
        <r>
          <rPr>
            <b/>
            <sz val="9"/>
            <color indexed="81"/>
            <rFont val="Tahoma"/>
            <family val="2"/>
          </rPr>
          <t xml:space="preserve">ITEM: </t>
        </r>
        <r>
          <rPr>
            <sz val="9"/>
            <color indexed="81"/>
            <rFont val="Tahoma"/>
            <family val="2"/>
          </rPr>
          <t xml:space="preserve">ULTRASOUND GEL BLUE
</t>
        </r>
        <r>
          <rPr>
            <b/>
            <sz val="9"/>
            <color indexed="81"/>
            <rFont val="Tahoma"/>
            <family val="2"/>
          </rPr>
          <t>DATE 1 :</t>
        </r>
        <r>
          <rPr>
            <sz val="9"/>
            <color indexed="81"/>
            <rFont val="Tahoma"/>
            <family val="2"/>
          </rPr>
          <t xml:space="preserve"> 12-08-2025 (5 PCS)
</t>
        </r>
        <r>
          <rPr>
            <b/>
            <sz val="9"/>
            <color indexed="81"/>
            <rFont val="Tahoma"/>
            <family val="2"/>
          </rPr>
          <t>DATE 2:</t>
        </r>
        <r>
          <rPr>
            <sz val="9"/>
            <color indexed="81"/>
            <rFont val="Tahoma"/>
            <family val="2"/>
          </rPr>
          <t xml:space="preserve"> 15-08-2025 (2 PCS)
</t>
        </r>
      </text>
    </comment>
    <comment ref="H137" authorId="0" shapeId="0" xr:uid="{2CA5B475-DE2C-41FF-A113-AB11D02D8F9F}">
      <text>
        <r>
          <rPr>
            <sz val="9"/>
            <color indexed="81"/>
            <rFont val="Tahoma"/>
            <family val="2"/>
          </rPr>
          <t xml:space="preserve">
1 pack missing – 19/20 packs in one small opened box</t>
        </r>
      </text>
    </comment>
    <comment ref="AE142" authorId="0" shapeId="0" xr:uid="{AB692DEF-DF23-4963-81AD-5930572DE18A}">
      <text>
        <r>
          <rPr>
            <b/>
            <sz val="9"/>
            <color indexed="81"/>
            <rFont val="Tahoma"/>
            <family val="2"/>
          </rPr>
          <t xml:space="preserve">
DN-AHL-2026-4021D-SAMPLES
AHALIA
18-05-2026
2 SMALL BOX
</t>
        </r>
      </text>
    </comment>
    <comment ref="Y143" authorId="0" shapeId="0" xr:uid="{FE42BF70-718F-4F3C-B7EE-DA76A00CD8A3}">
      <text>
        <r>
          <rPr>
            <sz val="9"/>
            <color indexed="81"/>
            <rFont val="Tahoma"/>
            <family val="2"/>
          </rPr>
          <t xml:space="preserve">
DN-RAK-2026-4020D-SAMPLES
RAK HOSPITAL
12-05-2026
2 PCS
</t>
        </r>
      </text>
    </comment>
    <comment ref="H145" authorId="0" shapeId="0" xr:uid="{ABE45E18-C51B-4636-928B-B6DE2796D884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WE WILL NOT DELIVER THIS SWAB APPLICATOR</t>
        </r>
        <r>
          <rPr>
            <b/>
            <sz val="9"/>
            <color indexed="81"/>
            <rFont val="Tahoma"/>
            <family val="2"/>
          </rPr>
          <t xml:space="preserve">
REASON: </t>
        </r>
        <r>
          <rPr>
            <sz val="9"/>
            <color indexed="81"/>
            <rFont val="Tahoma"/>
            <family val="2"/>
          </rPr>
          <t>DIFFERENT QUALITY</t>
        </r>
      </text>
    </comment>
    <comment ref="H146" authorId="0" shapeId="0" xr:uid="{2378B491-5412-49FB-ADDE-58D2D7E9D76B}">
      <text>
        <r>
          <rPr>
            <b/>
            <sz val="9"/>
            <color indexed="81"/>
            <rFont val="Tahoma"/>
            <family val="2"/>
          </rPr>
          <t xml:space="preserve">
LOT #: TC25003
EXP #: 03/2028
Shipment Receive Date:</t>
        </r>
        <r>
          <rPr>
            <sz val="9"/>
            <color indexed="81"/>
            <rFont val="Tahoma"/>
            <family val="2"/>
          </rPr>
          <t xml:space="preserve"> 27/05/2027
</t>
        </r>
        <r>
          <rPr>
            <b/>
            <sz val="9"/>
            <color indexed="81"/>
            <rFont val="Tahoma"/>
            <family val="2"/>
          </rPr>
          <t>Quantity:</t>
        </r>
        <r>
          <rPr>
            <sz val="9"/>
            <color indexed="81"/>
            <rFont val="Tahoma"/>
            <family val="2"/>
          </rPr>
          <t xml:space="preserve">
1,500 PCS</t>
        </r>
      </text>
    </comment>
    <comment ref="Y147" authorId="0" shapeId="0" xr:uid="{6C7570DD-8A3C-4437-A96B-9C559264F4D6}">
      <text>
        <r>
          <rPr>
            <sz val="9"/>
            <color indexed="81"/>
            <rFont val="Tahoma"/>
            <family val="2"/>
          </rPr>
          <t xml:space="preserve">
DN-RAK-2026-4020D-SAMPLES
RAK HOSPITAL
12-05-2026
2 PCS
</t>
        </r>
      </text>
    </comment>
    <comment ref="J148" authorId="0" shapeId="0" xr:uid="{28C71891-FD9B-4243-9871-398386409506}">
      <text>
        <r>
          <rPr>
            <b/>
            <sz val="9"/>
            <color indexed="81"/>
            <rFont val="Tahoma"/>
            <family val="2"/>
          </rPr>
          <t xml:space="preserve">
10969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9" authorId="0" shapeId="0" xr:uid="{A81756A9-D57C-4984-9734-A7E2FDD89B67}">
      <text>
        <r>
          <rPr>
            <b/>
            <sz val="9"/>
            <color indexed="81"/>
            <rFont val="Tahoma"/>
            <family val="2"/>
          </rPr>
          <t xml:space="preserve">
5245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0" authorId="0" shapeId="0" xr:uid="{0055AF19-9093-43EA-AA27-DC99AAEA0656}">
      <text>
        <r>
          <rPr>
            <b/>
            <sz val="9"/>
            <color indexed="81"/>
            <rFont val="Tahoma"/>
            <family val="2"/>
          </rPr>
          <t xml:space="preserve">
3300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1" authorId="0" shapeId="0" xr:uid="{39EB2964-C2EE-4BEF-A3C6-775357E2ADAE}">
      <text>
        <r>
          <rPr>
            <b/>
            <sz val="9"/>
            <color indexed="81"/>
            <rFont val="Tahoma"/>
            <family val="2"/>
          </rPr>
          <t xml:space="preserve">
92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2" authorId="0" shapeId="0" xr:uid="{C2540A26-8F98-47B1-83A0-ABC83741C27E}">
      <text>
        <r>
          <rPr>
            <b/>
            <sz val="9"/>
            <color indexed="81"/>
            <rFont val="Tahoma"/>
            <family val="2"/>
          </rPr>
          <t xml:space="preserve">
136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3" authorId="0" shapeId="0" xr:uid="{C09E73B7-1A95-4C34-8913-840531058152}">
      <text>
        <r>
          <rPr>
            <b/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4" authorId="0" shapeId="0" xr:uid="{635D8FB6-6DA9-43CA-B9C6-1FAA28D0FA97}">
      <text>
        <r>
          <rPr>
            <b/>
            <sz val="9"/>
            <color indexed="81"/>
            <rFont val="Tahoma"/>
            <family val="2"/>
          </rPr>
          <t>1838</t>
        </r>
      </text>
    </comment>
    <comment ref="J155" authorId="0" shapeId="0" xr:uid="{8AF040E1-F490-46F8-A6AC-4A8B5555BAD2}">
      <text>
        <r>
          <rPr>
            <b/>
            <sz val="9"/>
            <color indexed="81"/>
            <rFont val="Tahoma"/>
            <family val="2"/>
          </rPr>
          <t xml:space="preserve">
3150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6" authorId="0" shapeId="0" xr:uid="{BBC10740-E15F-4819-ABEF-F6C1257B5AA2}">
      <text>
        <r>
          <rPr>
            <b/>
            <sz val="9"/>
            <color indexed="81"/>
            <rFont val="Tahoma"/>
            <family val="2"/>
          </rPr>
          <t xml:space="preserve">
3150</t>
        </r>
      </text>
    </comment>
    <comment ref="J157" authorId="0" shapeId="0" xr:uid="{EFB2373E-1BBC-47FF-9E77-AE71A9D94DFD}">
      <text>
        <r>
          <rPr>
            <b/>
            <sz val="9"/>
            <color indexed="81"/>
            <rFont val="Tahoma"/>
            <family val="2"/>
          </rPr>
          <t xml:space="preserve">
5498</t>
        </r>
      </text>
    </comment>
    <comment ref="J158" authorId="0" shapeId="0" xr:uid="{A1B35D2C-22BB-4490-A442-E1B6C19811E4}">
      <text>
        <r>
          <rPr>
            <b/>
            <sz val="9"/>
            <color indexed="81"/>
            <rFont val="Tahoma"/>
            <family val="2"/>
          </rPr>
          <t xml:space="preserve">
4838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9" authorId="0" shapeId="0" xr:uid="{7535E2F2-FEBE-4B72-A499-BB1B1146F7C4}">
      <text>
        <r>
          <rPr>
            <b/>
            <sz val="9"/>
            <color indexed="81"/>
            <rFont val="Tahoma"/>
            <family val="2"/>
          </rPr>
          <t xml:space="preserve">
5400</t>
        </r>
      </text>
    </comment>
    <comment ref="J163" authorId="0" shapeId="0" xr:uid="{1F45B2DF-2E9F-4019-A024-0FAB5E396196}">
      <text>
        <r>
          <rPr>
            <sz val="9"/>
            <color indexed="81"/>
            <rFont val="Tahoma"/>
            <family val="2"/>
          </rPr>
          <t xml:space="preserve">
I CANNOT FIND IN STOCK
</t>
        </r>
      </text>
    </comment>
    <comment ref="J170" authorId="0" shapeId="0" xr:uid="{DD537776-616A-45CB-A4C2-EDDF1B598631}">
      <text>
        <r>
          <rPr>
            <sz val="9"/>
            <color indexed="81"/>
            <rFont val="Tahoma"/>
            <family val="2"/>
          </rPr>
          <t xml:space="preserve">
MISSING 6 PCS
RETURNED TO OFFICE: 6104 (94 PCS INSTEAD OF 100 PCS)
DURING REPLACEMENT OF 6104 (100 PCS) WITH 6204 (100 PCS) - AMERICAN SPINE CENTER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EOC Medical</author>
  </authors>
  <commentList>
    <comment ref="K2" authorId="0" shapeId="0" xr:uid="{187E4C97-9AFB-470B-A174-54B3D3F0793A}">
      <text>
        <r>
          <rPr>
            <b/>
            <sz val="9"/>
            <color indexed="81"/>
            <rFont val="Tahoma"/>
            <family val="2"/>
          </rPr>
          <t xml:space="preserve">
SMALL BOX
</t>
        </r>
      </text>
    </comment>
    <comment ref="S2" authorId="0" shapeId="0" xr:uid="{EF9F1583-148C-4D42-B5E3-A2D89D7E9D0A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INV-GH-2026-4012D
GARGASH
06-05-2026
12 PCS</t>
        </r>
      </text>
    </comment>
    <comment ref="AU2" authorId="0" shapeId="0" xr:uid="{88FEEFE8-9733-4F17-98B6-6140A0161431}">
      <text>
        <r>
          <rPr>
            <b/>
            <sz val="9"/>
            <color indexed="81"/>
            <rFont val="Tahoma"/>
            <family val="2"/>
          </rPr>
          <t>EOC Medical:</t>
        </r>
        <r>
          <rPr>
            <sz val="9"/>
            <color indexed="81"/>
            <rFont val="Tahoma"/>
            <family val="2"/>
          </rPr>
          <t xml:space="preserve">
INV/AACS-2026/4036D
50 BOXES
AMERICAN ACADEMY
</t>
        </r>
      </text>
    </comment>
    <comment ref="K3" authorId="0" shapeId="0" xr:uid="{0E299C3E-DC2D-4DF1-B420-F7A30A9D96B4}">
      <text>
        <r>
          <rPr>
            <b/>
            <sz val="9"/>
            <color indexed="81"/>
            <rFont val="Tahoma"/>
            <family val="2"/>
          </rPr>
          <t xml:space="preserve">SMALL BOX
</t>
        </r>
      </text>
    </comment>
    <comment ref="K4" authorId="0" shapeId="0" xr:uid="{2C76460B-837D-4E09-8192-24957F979E07}">
      <text>
        <r>
          <rPr>
            <b/>
            <sz val="9"/>
            <color indexed="81"/>
            <rFont val="Tahoma"/>
            <family val="2"/>
          </rPr>
          <t>SMALL BOX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" authorId="0" shapeId="0" xr:uid="{445C9A5E-C72C-43FC-80EF-28884A413180}">
      <text>
        <r>
          <rPr>
            <b/>
            <sz val="9"/>
            <color indexed="81"/>
            <rFont val="Tahoma"/>
            <family val="2"/>
          </rPr>
          <t xml:space="preserve">SMALL BOX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" authorId="0" shapeId="0" xr:uid="{56B9F24C-1C30-4C05-ABB9-D060CFD67792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INV-ATSH-2026-4006D
AL TADAWI
06-05-2026
50 PCS</t>
        </r>
      </text>
    </comment>
    <comment ref="U5" authorId="0" shapeId="0" xr:uid="{7B091271-9E12-4F44-BFCD-5310BB00BBA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DN-AACS-2026-FOC
AMERICAN ACADEMY
10 SMALL BOX
08-05-2026</t>
        </r>
      </text>
    </comment>
    <comment ref="K6" authorId="0" shapeId="0" xr:uid="{15A24146-5117-4129-9B8F-2C97F286EA8A}">
      <text>
        <r>
          <rPr>
            <b/>
            <sz val="9"/>
            <color indexed="81"/>
            <rFont val="Tahoma"/>
            <family val="2"/>
          </rPr>
          <t xml:space="preserve">SMALL BOX
</t>
        </r>
      </text>
    </comment>
    <comment ref="K7" authorId="0" shapeId="0" xr:uid="{4C6AFCAE-5C68-4E8C-B34C-748AC5B196E3}">
      <text>
        <r>
          <rPr>
            <b/>
            <sz val="9"/>
            <color indexed="81"/>
            <rFont val="Tahoma"/>
            <family val="2"/>
          </rPr>
          <t xml:space="preserve">SMALL BOX
</t>
        </r>
      </text>
    </comment>
    <comment ref="A8" authorId="0" shapeId="0" xr:uid="{4D694FBC-22BF-4A34-93A3-300F002BA1AB}">
      <text>
        <r>
          <rPr>
            <sz val="9"/>
            <color indexed="81"/>
            <rFont val="Tahoma"/>
            <family val="2"/>
          </rPr>
          <t xml:space="preserve">
SHIPMENT RECEIVED DATE: </t>
        </r>
        <r>
          <rPr>
            <b/>
            <sz val="9"/>
            <color indexed="81"/>
            <rFont val="Tahoma"/>
            <family val="2"/>
          </rPr>
          <t>17-09-2025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 xr:uid="{CECC3E87-5454-4340-BFC2-085C769CAF1B}">
      <text>
        <r>
          <rPr>
            <b/>
            <sz val="9"/>
            <color indexed="81"/>
            <rFont val="Tahoma"/>
            <family val="2"/>
          </rPr>
          <t xml:space="preserve">SMALL BOX
+
3 pcs EMPTY BOX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22C213DC-ED83-457D-A305-3C6AB75D29A7}">
      <text>
        <r>
          <rPr>
            <sz val="9"/>
            <color indexed="81"/>
            <rFont val="Tahoma"/>
            <family val="2"/>
          </rPr>
          <t xml:space="preserve">
SHIPMENT RECEIVED DATE: </t>
        </r>
        <r>
          <rPr>
            <b/>
            <sz val="9"/>
            <color indexed="81"/>
            <rFont val="Tahoma"/>
            <family val="2"/>
          </rPr>
          <t>17-09-2025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" authorId="0" shapeId="0" xr:uid="{E528F10D-69EA-43D6-8C42-06FB6F01158D}">
      <text>
        <r>
          <rPr>
            <b/>
            <sz val="9"/>
            <color indexed="81"/>
            <rFont val="Tahoma"/>
            <family val="2"/>
          </rPr>
          <t xml:space="preserve">PACKS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0" shapeId="0" xr:uid="{C8759F16-0597-4F53-BEC4-2DFAEC38A97D}">
      <text>
        <r>
          <rPr>
            <b/>
            <sz val="9"/>
            <color indexed="81"/>
            <rFont val="Tahoma"/>
            <family val="2"/>
          </rPr>
          <t xml:space="preserve">SMALL BOX
</t>
        </r>
      </text>
    </comment>
    <comment ref="K11" authorId="0" shapeId="0" xr:uid="{C8DB3A2B-47EE-4737-AE03-2E9BCA716EEC}">
      <text>
        <r>
          <rPr>
            <b/>
            <sz val="9"/>
            <color indexed="81"/>
            <rFont val="Tahoma"/>
            <family val="2"/>
          </rPr>
          <t xml:space="preserve">SMALL BOX
</t>
        </r>
      </text>
    </comment>
    <comment ref="A15" authorId="0" shapeId="0" xr:uid="{3EE4C8CA-F8C0-434A-850A-D428421D901E}">
      <text>
        <r>
          <rPr>
            <b/>
            <sz val="9"/>
            <color indexed="81"/>
            <rFont val="Tahoma"/>
            <family val="2"/>
          </rPr>
          <t>M42</t>
        </r>
      </text>
    </comment>
    <comment ref="H32" authorId="0" shapeId="0" xr:uid="{0A495B2C-E836-44F4-ADA1-D3B1017F508E}">
      <text>
        <r>
          <rPr>
            <sz val="9"/>
            <color indexed="81"/>
            <rFont val="Tahoma"/>
            <family val="2"/>
          </rPr>
          <t xml:space="preserve">
WB220701028 | 30/06/2025 (expired)
CHANGED TO
25082707028 | 26/08/2028
1 PC TAKEN FROM SAMPLES
THEN ADDED TO STOCK
TO DELIVER TO MEDICLINIC CITY - 14-01-2026
</t>
        </r>
      </text>
    </comment>
    <comment ref="H35" authorId="0" shapeId="0" xr:uid="{E6883AAA-91FD-46BB-B84A-999CC29A0B7F}">
      <text>
        <r>
          <rPr>
            <b/>
            <sz val="9"/>
            <color indexed="81"/>
            <rFont val="Tahoma"/>
            <family val="2"/>
          </rPr>
          <t xml:space="preserve">
OPEN PACKAGING
</t>
        </r>
      </text>
    </comment>
    <comment ref="H36" authorId="0" shapeId="0" xr:uid="{D3BF5DA8-90CB-47D5-AB85-3D4474621D33}">
      <text>
        <r>
          <rPr>
            <b/>
            <sz val="9"/>
            <color indexed="81"/>
            <rFont val="Tahoma"/>
            <family val="2"/>
          </rPr>
          <t>PREVIOUS:</t>
        </r>
        <r>
          <rPr>
            <sz val="9"/>
            <color indexed="81"/>
            <rFont val="Tahoma"/>
            <family val="2"/>
          </rPr>
          <t xml:space="preserve">
LOT WB221011007S
MFG 20221011
EXP 20251010
</t>
        </r>
        <r>
          <rPr>
            <b/>
            <sz val="9"/>
            <color indexed="81"/>
            <rFont val="Tahoma"/>
            <family val="2"/>
          </rPr>
          <t>NEW:</t>
        </r>
        <r>
          <rPr>
            <sz val="9"/>
            <color indexed="81"/>
            <rFont val="Tahoma"/>
            <family val="2"/>
          </rPr>
          <t xml:space="preserve">
LOT WB221011007
MFG 20251011
EXP 20281010
</t>
        </r>
      </text>
    </comment>
    <comment ref="I36" authorId="0" shapeId="0" xr:uid="{73F93047-5112-4BD9-B68E-50117B6DD247}">
      <text>
        <r>
          <rPr>
            <b/>
            <sz val="9"/>
            <color indexed="81"/>
            <rFont val="Tahoma"/>
            <family val="2"/>
          </rPr>
          <t>PREVIOUS:</t>
        </r>
        <r>
          <rPr>
            <sz val="9"/>
            <color indexed="81"/>
            <rFont val="Tahoma"/>
            <family val="2"/>
          </rPr>
          <t xml:space="preserve">
LOT WB221011007S
MFG 20221011
EXP 20251010
</t>
        </r>
        <r>
          <rPr>
            <b/>
            <sz val="9"/>
            <color indexed="81"/>
            <rFont val="Tahoma"/>
            <family val="2"/>
          </rPr>
          <t>NEW:</t>
        </r>
        <r>
          <rPr>
            <sz val="9"/>
            <color indexed="81"/>
            <rFont val="Tahoma"/>
            <family val="2"/>
          </rPr>
          <t xml:space="preserve">
LOT WB221011007
MFG 20251011
EXP 20281010
</t>
        </r>
      </text>
    </comment>
    <comment ref="A38" authorId="0" shapeId="0" xr:uid="{A695754E-0D9C-455F-BAE7-6102643A0FAF}">
      <text>
        <r>
          <rPr>
            <b/>
            <sz val="9"/>
            <color indexed="81"/>
            <rFont val="Tahoma"/>
            <family val="2"/>
          </rPr>
          <t xml:space="preserve">
SHIPMENT RECEIVE DATE: 11-09-2025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 xr:uid="{83F2E50A-D8AE-48B4-B342-D4D4B93AEA02}">
      <text>
        <r>
          <rPr>
            <b/>
            <sz val="9"/>
            <color indexed="81"/>
            <rFont val="Tahoma"/>
            <family val="2"/>
          </rPr>
          <t xml:space="preserve">
SHIPMENT RECEIVE DATE: 11-09-2025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0" authorId="0" shapeId="0" xr:uid="{651C4918-6E16-4344-9DF3-8CE3C2A1CE02}">
      <text>
        <r>
          <rPr>
            <b/>
            <sz val="9"/>
            <color indexed="81"/>
            <rFont val="Tahoma"/>
            <family val="2"/>
          </rPr>
          <t xml:space="preserve">
SHIPMENT RECEIVE DATE: 11-09-2025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 xr:uid="{8417B1F0-AE42-49AA-8166-E61DCB647C6B}">
      <text>
        <r>
          <rPr>
            <b/>
            <sz val="9"/>
            <color indexed="81"/>
            <rFont val="Tahoma"/>
            <family val="2"/>
          </rPr>
          <t xml:space="preserve">
SHIPMENT RECEIVE DATE: 11-09-2025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EOC Medical</author>
  </authors>
  <commentList>
    <comment ref="R12" authorId="0" shapeId="0" xr:uid="{48FF6272-1D04-4C45-9383-1EDAC9F186F2}">
      <text>
        <r>
          <rPr>
            <b/>
            <sz val="9"/>
            <color indexed="81"/>
            <rFont val="Tahoma"/>
            <family val="2"/>
          </rPr>
          <t xml:space="preserve">
DN-BUR-SHJ-2026-4001D-RETURN - BURJEEL SPECIALTY HOSP - SHARJAH - 04-05-2026</t>
        </r>
      </text>
    </comment>
    <comment ref="AF13" authorId="0" shapeId="0" xr:uid="{7D3EFC92-03C1-482B-95D8-BE89043D0599}">
      <text>
        <r>
          <rPr>
            <b/>
            <sz val="9"/>
            <color indexed="81"/>
            <rFont val="Tahoma"/>
            <family val="2"/>
          </rPr>
          <t>DN-BUR-MC-AD-2026-4007D-RETURN - BMC - 18-05-2026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" authorId="0" shapeId="0" xr:uid="{7C2F43B8-A824-445E-9069-ABBB4A5B71DD}">
      <text>
        <r>
          <rPr>
            <sz val="9"/>
            <color indexed="81"/>
            <rFont val="Tahoma"/>
            <family val="2"/>
          </rPr>
          <t xml:space="preserve">
OFFICE - Pull Out-BRHA-2026-4011D - BURJEEL ROYAL ASHAREJ AL AIN - 29-01-2026</t>
        </r>
      </text>
    </comment>
    <comment ref="H15" authorId="0" shapeId="0" xr:uid="{91B18A04-2D81-476D-8C5B-67730173C78E}">
      <text>
        <r>
          <rPr>
            <sz val="9"/>
            <color indexed="81"/>
            <rFont val="Tahoma"/>
            <family val="2"/>
          </rPr>
          <t xml:space="preserve">
OFFICE - Pull Out-BRHA-2026-4011D - BURJEEL ROYAL ASHAREJ AL AIN - 29-01-2026</t>
        </r>
      </text>
    </comment>
    <comment ref="H16" authorId="0" shapeId="0" xr:uid="{35E3742B-D7E7-45FC-9164-F598FFB8805B}">
      <text>
        <r>
          <rPr>
            <sz val="9"/>
            <color indexed="81"/>
            <rFont val="Tahoma"/>
            <family val="2"/>
          </rPr>
          <t xml:space="preserve">
OFFICE - Pull Out-BRHA-2026-4011D - BURJEEL ROYAL ASHAREJ AL AIN - 29-01-2026</t>
        </r>
      </text>
    </comment>
    <comment ref="H17" authorId="0" shapeId="0" xr:uid="{7009058E-1120-4235-A93D-CA724E6DBB82}">
      <text>
        <r>
          <rPr>
            <sz val="9"/>
            <color indexed="81"/>
            <rFont val="Tahoma"/>
            <family val="2"/>
          </rPr>
          <t xml:space="preserve">
OFFICE - Pull Out-BRHA-2026-4011D - BURJEEL ROYAL ASHAREJ AL AIN - 29-01-2026
</t>
        </r>
      </text>
    </comment>
    <comment ref="A34" authorId="0" shapeId="0" xr:uid="{07F0602D-49A0-418C-9FF9-15D7ECB45B97}">
      <text>
        <r>
          <rPr>
            <b/>
            <sz val="9"/>
            <color indexed="81"/>
            <rFont val="Tahoma"/>
            <family val="2"/>
          </rPr>
          <t xml:space="preserve">
DELIVERY DATE: 
26-01-2026 (10 PC)</t>
        </r>
      </text>
    </comment>
    <comment ref="L34" authorId="0" shapeId="0" xr:uid="{31FBC550-CCE8-4302-BA9B-D9C30A0239F5}">
      <text>
        <r>
          <rPr>
            <sz val="9"/>
            <color indexed="81"/>
            <rFont val="Tahoma"/>
            <family val="2"/>
          </rPr>
          <t xml:space="preserve">
NEW DELIVERY:
10 PCS 26-01-2026
RECEIVED DATE: 09-05-2026
4 PCS</t>
        </r>
      </text>
    </comment>
    <comment ref="R34" authorId="0" shapeId="0" xr:uid="{41FDB687-CFE0-42B5-AA2D-C676EE259FAA}">
      <text>
        <r>
          <rPr>
            <sz val="9"/>
            <color indexed="81"/>
            <rFont val="Tahoma"/>
            <family val="2"/>
          </rPr>
          <t xml:space="preserve">
DN-BUR-AD-2026-4004D-FOC
BURJEEL AL NAJDA
1 PC
04-05-2026
</t>
        </r>
      </text>
    </comment>
    <comment ref="A35" authorId="0" shapeId="0" xr:uid="{CB5D2EC9-11D4-498C-BBBA-53707DAD5A4A}">
      <text>
        <r>
          <rPr>
            <b/>
            <sz val="9"/>
            <color indexed="81"/>
            <rFont val="Tahoma"/>
            <family val="2"/>
          </rPr>
          <t xml:space="preserve">
DELIVERY DATE: 
26-01-2026 (10 PC)</t>
        </r>
      </text>
    </comment>
    <comment ref="L35" authorId="0" shapeId="0" xr:uid="{3A632BBB-59C1-42CA-9A8C-99A293C896BE}">
      <text>
        <r>
          <rPr>
            <sz val="9"/>
            <color indexed="81"/>
            <rFont val="Tahoma"/>
            <family val="2"/>
          </rPr>
          <t xml:space="preserve">NEW DELIVERY:
10 PCS 26-01-2026
</t>
        </r>
      </text>
    </comment>
    <comment ref="AF35" authorId="0" shapeId="0" xr:uid="{C1173576-754A-4109-9F91-06BC5EE8E0C2}">
      <text>
        <r>
          <rPr>
            <b/>
            <sz val="9"/>
            <color indexed="81"/>
            <rFont val="Tahoma"/>
            <family val="2"/>
          </rPr>
          <t>DN-MGH-HCC-2026-4001D-FOC
MEDICLINIC CITY
18-05-2026</t>
        </r>
      </text>
    </comment>
    <comment ref="Z41" authorId="0" shapeId="0" xr:uid="{11BE0BF3-979E-434B-97EE-04DA8FED51F4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DN-AST-M-2026-4001D-RETURN - ASTER MANKHOOL - 12-05-2026
1 PC</t>
        </r>
      </text>
    </comment>
    <comment ref="L45" authorId="0" shapeId="0" xr:uid="{5FEA1A82-C85E-493E-83A3-17A7DA0AC72D}">
      <text>
        <r>
          <rPr>
            <sz val="9"/>
            <color indexed="81"/>
            <rFont val="Tahoma"/>
            <family val="2"/>
          </rPr>
          <t xml:space="preserve">
RECEIVED DATE: 09-05-2026
75 PCS
</t>
        </r>
      </text>
    </comment>
    <comment ref="L46" authorId="0" shapeId="0" xr:uid="{764540C0-1AAB-457C-989A-3E3F91841679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RECEIVED DATE: 09-05-2026
1 PC
</t>
        </r>
      </text>
    </comment>
    <comment ref="AU48" authorId="0" shapeId="0" xr:uid="{10E52709-C3D9-4A97-8DFB-86A4194C94AC}">
      <text>
        <r>
          <rPr>
            <sz val="9"/>
            <color indexed="81"/>
            <rFont val="Tahoma"/>
            <family val="2"/>
          </rPr>
          <t>- DN-BUR-AD-2026-4005D-FOC
- BURJEEL AL NAJDA
- 1 PC
- 02-06-2026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" authorId="0" shapeId="0" xr:uid="{5201E288-A723-4519-BD82-FCCAEAD1C2AD}">
      <text>
        <r>
          <rPr>
            <sz val="9"/>
            <color indexed="81"/>
            <rFont val="Tahoma"/>
            <family val="2"/>
          </rPr>
          <t xml:space="preserve">
DELIVERY DATE: 
26-01-2026 (10 PC)</t>
        </r>
      </text>
    </comment>
    <comment ref="A50" authorId="0" shapeId="0" xr:uid="{7F0B986E-93A8-4BC0-8C29-9340FF77172D}">
      <text>
        <r>
          <rPr>
            <b/>
            <sz val="9"/>
            <color indexed="81"/>
            <rFont val="Tahoma"/>
            <family val="2"/>
          </rPr>
          <t xml:space="preserve">
DELIVERY DATE: 
26-01-2026 (10 PC)</t>
        </r>
      </text>
    </comment>
    <comment ref="L51" authorId="0" shapeId="0" xr:uid="{8706B5C8-3844-4DED-BB17-324205B74949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RECEIVED DATE: 09-05-2026
6 PCS</t>
        </r>
      </text>
    </comment>
    <comment ref="A52" authorId="0" shapeId="0" xr:uid="{8F45C4E2-A21F-4185-AB9A-CD7BA8DBA38A}">
      <text>
        <r>
          <rPr>
            <b/>
            <sz val="9"/>
            <color indexed="81"/>
            <rFont val="Tahoma"/>
            <family val="2"/>
          </rPr>
          <t xml:space="preserve">
DELIVERY DATE: 
26-01-2026 (10 PC)</t>
        </r>
      </text>
    </comment>
    <comment ref="AC52" authorId="0" shapeId="0" xr:uid="{57E25F37-9D88-4646-B4BA-F667D28267CB}">
      <text>
        <r>
          <rPr>
            <b/>
            <sz val="9"/>
            <color indexed="81"/>
            <rFont val="Tahoma"/>
            <family val="2"/>
          </rPr>
          <t>DN-ASLAM-2026-4022D-MACHINE REPAIR
15-05-2026
1 PC</t>
        </r>
      </text>
    </comment>
    <comment ref="A54" authorId="0" shapeId="0" xr:uid="{C225F3D1-7C98-42D6-96C3-7B7699CB42B2}">
      <text>
        <r>
          <rPr>
            <sz val="9"/>
            <color indexed="81"/>
            <rFont val="Tahoma"/>
            <family val="2"/>
          </rPr>
          <t xml:space="preserve">
1 PC UPPER STEM TAKEN FROM DAMAGED ROLLING STAND
DN-BUR-AD-2026-4002D-FOC
BURJEEL AL NAJDAH
05-03-2026
</t>
        </r>
      </text>
    </comment>
    <comment ref="L69" authorId="0" shapeId="0" xr:uid="{B715712F-5516-4C5E-9537-80370CB5C3F3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RECEIVE DATE: 09-05-2026
4 PCS
</t>
        </r>
      </text>
    </comment>
    <comment ref="AH69" authorId="0" shapeId="0" xr:uid="{9E8F73C7-27A9-4D82-8511-7409AAEC078C}">
      <text>
        <r>
          <rPr>
            <sz val="9"/>
            <color indexed="81"/>
            <rFont val="Tahoma"/>
            <family val="2"/>
          </rPr>
          <t xml:space="preserve">
DN-BUR-MCAD-2026-4007D-FOC
BMC
20-05-2026
1 PC</t>
        </r>
      </text>
    </comment>
    <comment ref="L70" authorId="0" shapeId="0" xr:uid="{0F755AF2-3FCC-4496-9ABC-F62CD716FC2B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RECEIVE DATE: 09-05-2026
4 PCS
</t>
        </r>
      </text>
    </comment>
    <comment ref="O87" authorId="0" shapeId="0" xr:uid="{A524FCF4-AB9D-4E6A-9132-B298AC44D7B6}">
      <text>
        <r>
          <rPr>
            <sz val="9"/>
            <color indexed="81"/>
            <rFont val="Tahoma"/>
            <family val="2"/>
          </rPr>
          <t xml:space="preserve">
LDN-EMI-JUM-2026-4004D-EMIRATES REHAB HOMECARE JUM-01-05-2026
</t>
        </r>
      </text>
    </comment>
    <comment ref="V93" authorId="0" shapeId="0" xr:uid="{368BCBF6-ECB8-4A8D-B6C3-8755438A7EE5}">
      <text>
        <r>
          <rPr>
            <sz val="9"/>
            <color indexed="81"/>
            <rFont val="Tahoma"/>
            <family val="2"/>
          </rPr>
          <t xml:space="preserve">
DN-BRHA-2026-DEMONSTRATION - BURJEEL ROYAL ASHAREJ AL AIN - 08-05-2026 - 1 PC
</t>
        </r>
      </text>
    </comment>
    <comment ref="AV96" authorId="0" shapeId="0" xr:uid="{FD3412D9-9904-448C-BB6B-B40D7CC41882}">
      <text>
        <r>
          <rPr>
            <sz val="9"/>
            <color indexed="81"/>
            <rFont val="Tahoma"/>
            <family val="2"/>
          </rPr>
          <t>DN-AACS-2026-4003D-RETURN - AMERICAN ACADEMY - 03-06-2026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7" authorId="0" shapeId="0" xr:uid="{BFB6C500-3A36-4621-91CD-20188029D7BC}">
      <text>
        <r>
          <rPr>
            <sz val="9"/>
            <color indexed="81"/>
            <rFont val="Tahoma"/>
            <family val="2"/>
          </rPr>
          <t xml:space="preserve">
1.) this machines 1 pair air tube was taken and used in:
INV/Cristy Varghese-2026/4001D - cash patient's request.
2.) this machine was delivered to Gargash with 1 pair air tube  taken from machine 
51-2404024098</t>
        </r>
      </text>
    </comment>
    <comment ref="L115" authorId="0" shapeId="0" xr:uid="{7D0B3842-ABF6-461C-A655-41031D301054}">
      <text>
        <r>
          <rPr>
            <sz val="9"/>
            <color indexed="81"/>
            <rFont val="Tahoma"/>
            <family val="2"/>
          </rPr>
          <t xml:space="preserve">
RECEIVED AS FOC-LABTEK-2026-4001D - 2 PCS RECEIVED AS FOC FROM LABTEK - 12-02-2026
</t>
        </r>
      </text>
    </comment>
    <comment ref="L127" authorId="0" shapeId="0" xr:uid="{CF0DD9C3-C06D-48E7-A0DD-AF81D6E56E89}">
      <text>
        <r>
          <rPr>
            <sz val="9"/>
            <color indexed="81"/>
            <rFont val="Tahoma"/>
            <family val="2"/>
          </rPr>
          <t xml:space="preserve">
RECEIVED AS FOC-LABTEK-2026-4001D - 2 PCS RECEIVED AS FOC FROM LABTEK - 12-02-2026</t>
        </r>
      </text>
    </comment>
    <comment ref="AU128" authorId="0" shapeId="0" xr:uid="{7DFE8F30-FF83-4931-8927-0B0AD6875FD1}">
      <text>
        <r>
          <rPr>
            <sz val="9"/>
            <color indexed="81"/>
            <rFont val="Tahoma"/>
            <family val="2"/>
          </rPr>
          <t>- INV-IMH-2026-4012D
- IMH
- 02-06-2026
- 1 PC</t>
        </r>
      </text>
    </comment>
    <comment ref="V129" authorId="0" shapeId="0" xr:uid="{BCC11A2D-C4A9-4AE2-9345-4CF1C61CF311}">
      <text>
        <r>
          <rPr>
            <sz val="9"/>
            <color indexed="81"/>
            <rFont val="Tahoma"/>
            <family val="2"/>
          </rPr>
          <t xml:space="preserve">
DN-BRHA-2026-DEMONSTRATION - BURJEEL ROYAL ASHAREJ AL AIN - 08-05-2026 - 1 PC
</t>
        </r>
      </text>
    </comment>
    <comment ref="O130" authorId="0" shapeId="0" xr:uid="{0454D640-EEEA-4B1F-87D6-88B4156DAB40}">
      <text>
        <r>
          <rPr>
            <sz val="9"/>
            <color indexed="81"/>
            <rFont val="Tahoma"/>
            <family val="2"/>
          </rPr>
          <t xml:space="preserve">
LDN-EMI-JUM-2026-4004D-EMIRATES REHAB HOMECARE JUM-01-05-2026-1 PC
</t>
        </r>
      </text>
    </comment>
    <comment ref="O131" authorId="0" shapeId="0" xr:uid="{EBCA66BB-C074-4DF6-8E71-7A8FDF78920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DN-AMR-2026-4020D-MACHINE REPAIR
01-05-2026
2 PC
</t>
        </r>
      </text>
    </comment>
    <comment ref="U131" authorId="0" shapeId="0" xr:uid="{4B5618CB-EC6C-46F4-974D-EF7AB44B853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DN-ASLAM-2026-4021D-MACHINE REPAIR
07-05-2026
1 PC</t>
        </r>
      </text>
    </comment>
    <comment ref="V131" authorId="0" shapeId="0" xr:uid="{999D8D2E-49AF-4794-AD1C-5FCDD23E4B66}">
      <text>
        <r>
          <rPr>
            <sz val="9"/>
            <color indexed="81"/>
            <rFont val="Tahoma"/>
            <family val="2"/>
          </rPr>
          <t xml:space="preserve">
DN-BRHA-2026-DEMONSTRATION - BURJEEL ROYAL ASHAREJ AL AIN - 08-05-2026 - 2 PC
</t>
        </r>
      </text>
    </comment>
    <comment ref="AF132" authorId="0" shapeId="0" xr:uid="{71295CBE-9BA9-4D23-85E0-BF15D9594480}">
      <text>
        <r>
          <rPr>
            <sz val="9"/>
            <color indexed="81"/>
            <rFont val="Tahoma"/>
            <family val="2"/>
          </rPr>
          <t xml:space="preserve">DN-AHL-2026-4001D-FOC
AHALIA
18-05-2026
2 PC
</t>
        </r>
      </text>
    </comment>
    <comment ref="V133" authorId="0" shapeId="0" xr:uid="{3D9E2A44-AF61-4339-A73C-63012E7B2AA7}">
      <text>
        <r>
          <rPr>
            <sz val="9"/>
            <color indexed="81"/>
            <rFont val="Tahoma"/>
            <family val="2"/>
          </rPr>
          <t xml:space="preserve">
DN-BRHA-2026-DEMONSTRATION - BURJEEL ROYAL ASHAREJ AL AIN - 08-05-2026 - 1 PC
</t>
        </r>
      </text>
    </comment>
    <comment ref="O134" authorId="0" shapeId="0" xr:uid="{F694B37E-2DF2-4FF1-899A-3F91FF698D0C}">
      <text>
        <r>
          <rPr>
            <sz val="9"/>
            <color indexed="81"/>
            <rFont val="Tahoma"/>
            <family val="2"/>
          </rPr>
          <t xml:space="preserve">
LDN-EMI-JUM-2026-4004D-EMIRATES REHAB HOMECARE JUM-01-05-2026-1 PC
</t>
        </r>
      </text>
    </comment>
    <comment ref="L135" authorId="0" shapeId="0" xr:uid="{F4563AA9-BE90-460C-9FD3-1796E79471CC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Over the counter purchase by Aslam
4 pcs power cord
18-02-2026</t>
        </r>
      </text>
    </comment>
    <comment ref="V135" authorId="0" shapeId="0" xr:uid="{98B66F9C-AD26-47CA-A89B-C800C85C9296}">
      <text>
        <r>
          <rPr>
            <sz val="9"/>
            <color indexed="81"/>
            <rFont val="Tahoma"/>
            <family val="2"/>
          </rPr>
          <t xml:space="preserve">
DN-BRHA-2026-DEMONSTRATION - BURJEEL ROYAL ASHAREJ AL AIN - 08-05-2026 - 1 PC
</t>
        </r>
      </text>
    </comment>
    <comment ref="AU135" authorId="0" shapeId="0" xr:uid="{BCD1F551-6C1F-4D58-87AA-28F0E35A01A1}">
      <text>
        <r>
          <rPr>
            <sz val="9"/>
            <color indexed="81"/>
            <rFont val="Tahoma"/>
            <family val="2"/>
          </rPr>
          <t xml:space="preserve">- DN-AZH-DXB-2026-4002D-FOC
- AL ZAHRA
- 02-06-2026
- 2PC
</t>
        </r>
      </text>
    </comment>
    <comment ref="A137" authorId="0" shapeId="0" xr:uid="{C35DD9D5-0166-4D20-BA3C-5550551B409E}">
      <text>
        <r>
          <rPr>
            <sz val="9"/>
            <color indexed="81"/>
            <rFont val="Tahoma"/>
            <family val="2"/>
          </rPr>
          <t xml:space="preserve">
DATE DELIVERED: 23-01-2026
</t>
        </r>
      </text>
    </comment>
    <comment ref="A141" authorId="0" shapeId="0" xr:uid="{5CAAE7E1-ABB6-4A60-890C-C7494AFAE9EE}">
      <text>
        <r>
          <rPr>
            <sz val="9"/>
            <color indexed="81"/>
            <rFont val="Tahoma"/>
            <family val="2"/>
          </rPr>
          <t xml:space="preserve">
DATE DELIVERED: 23-01-2026
</t>
        </r>
      </text>
    </comment>
    <comment ref="A142" authorId="0" shapeId="0" xr:uid="{CDCCA58E-641E-4D50-B44F-A60C4F9A2302}">
      <text>
        <r>
          <rPr>
            <sz val="9"/>
            <color indexed="81"/>
            <rFont val="Tahoma"/>
            <family val="2"/>
          </rPr>
          <t xml:space="preserve">
DATE DELIVERED: 23-01-2026
POWER SUPPLY DATE DELIVERED: 12-02-2026
</t>
        </r>
      </text>
    </comment>
    <comment ref="L142" authorId="0" shapeId="0" xr:uid="{8FFFEC4D-0975-4BD3-9985-6304585DAD53}">
      <text>
        <r>
          <rPr>
            <sz val="9"/>
            <color indexed="81"/>
            <rFont val="Tahoma"/>
            <family val="2"/>
          </rPr>
          <t xml:space="preserve">
RECEIVED-VIVOLIGHT-2026-4001D - 
POWER SUPPLY RECEIVED FROM VIVOLIGHT - 2 PCS - 12-02-20226
</t>
        </r>
      </text>
    </comment>
  </commentList>
</comments>
</file>

<file path=xl/sharedStrings.xml><?xml version="1.0" encoding="utf-8"?>
<sst xmlns="http://schemas.openxmlformats.org/spreadsheetml/2006/main" count="3079" uniqueCount="790">
  <si>
    <t>ITEM CODE</t>
  </si>
  <si>
    <t>ITEM NAME</t>
  </si>
  <si>
    <t>TYPE</t>
  </si>
  <si>
    <t>BODY PART</t>
  </si>
  <si>
    <t>DESCRIPTION</t>
  </si>
  <si>
    <t>MANUFACTURER</t>
  </si>
  <si>
    <t>STATUS</t>
  </si>
  <si>
    <t>LOT NO.</t>
  </si>
  <si>
    <t>EXP. DATE</t>
  </si>
  <si>
    <t>REMAINING QTY</t>
  </si>
  <si>
    <t>OUT</t>
  </si>
  <si>
    <t>TOTAL</t>
  </si>
  <si>
    <t>IOB-002</t>
  </si>
  <si>
    <t>WARMING BLANKET</t>
  </si>
  <si>
    <t>INTRAOPERATIVE</t>
  </si>
  <si>
    <t>LOWER BODY</t>
  </si>
  <si>
    <t>Intraoperative Warming Blanket Lower Body 62" x 46" (142 cm x 120 cm)</t>
  </si>
  <si>
    <t>IOB</t>
  </si>
  <si>
    <t>NEAR EXP</t>
  </si>
  <si>
    <t>B</t>
  </si>
  <si>
    <t>FAR EXP</t>
  </si>
  <si>
    <t>WB230714002S</t>
  </si>
  <si>
    <t>IOB-003</t>
  </si>
  <si>
    <t>UPPER BODY</t>
  </si>
  <si>
    <t>Intraoperative Warming Blanket Upper Body 80" x 25" (202 cm x 64 cm)</t>
  </si>
  <si>
    <t>MIDDLE EXP</t>
  </si>
  <si>
    <t>WB230720003S</t>
  </si>
  <si>
    <t>NEW DELIVERY</t>
  </si>
  <si>
    <t>IOB-004</t>
  </si>
  <si>
    <t>FULL BODY</t>
  </si>
  <si>
    <t>OUT OF STOCK</t>
  </si>
  <si>
    <t>IOB-006</t>
  </si>
  <si>
    <t>UNDER BODY</t>
  </si>
  <si>
    <t>EXPIRED</t>
  </si>
  <si>
    <t>IOB-007</t>
  </si>
  <si>
    <t>PEDIATRIC</t>
  </si>
  <si>
    <t>Pediatric Warming Blanket Pediatric Full Body 67" x 39" (170cm x 100cm)</t>
  </si>
  <si>
    <t>WB230715007S</t>
  </si>
  <si>
    <t>REPLACEMENT</t>
  </si>
  <si>
    <t>IOB-008</t>
  </si>
  <si>
    <t>POSTOPERATIVE - SURGICAL</t>
  </si>
  <si>
    <t>WB230717008S</t>
  </si>
  <si>
    <t>IOB-009</t>
  </si>
  <si>
    <t>LARGE PEDIATRIC</t>
  </si>
  <si>
    <t>IOB-012</t>
  </si>
  <si>
    <t>IOB-016</t>
  </si>
  <si>
    <t>SURGICAL</t>
  </si>
  <si>
    <t>Surgical Access Warming Blanket 83" x 47" (210cm x 120cm)</t>
  </si>
  <si>
    <t>WB240827016</t>
  </si>
  <si>
    <t>IOB-025</t>
  </si>
  <si>
    <t>INFANT</t>
  </si>
  <si>
    <t>FULL BODY /  UNDER BODY</t>
  </si>
  <si>
    <t>Infant Full Body / Under Body 47" x 31 '(120cm x 80 cm)</t>
  </si>
  <si>
    <t>IOB-028</t>
  </si>
  <si>
    <t>WB240717028</t>
  </si>
  <si>
    <t>WB24041108S</t>
  </si>
  <si>
    <t>BOV-300-S</t>
  </si>
  <si>
    <t>SCD SLEEVES</t>
  </si>
  <si>
    <t>THIGH LENGTH</t>
  </si>
  <si>
    <t>THIGH</t>
  </si>
  <si>
    <t>LABTEK</t>
  </si>
  <si>
    <t>BOV-300-M</t>
  </si>
  <si>
    <t>BOV-300-L</t>
  </si>
  <si>
    <t>BOV-301-S</t>
  </si>
  <si>
    <t>KNEE LENGTH</t>
  </si>
  <si>
    <t>KNEE</t>
  </si>
  <si>
    <t>BOV-301-M</t>
  </si>
  <si>
    <t>BOV-301-L</t>
  </si>
  <si>
    <t>BOV-301-XL</t>
  </si>
  <si>
    <t>BOV-302</t>
  </si>
  <si>
    <t>FOOT</t>
  </si>
  <si>
    <t>6121XS</t>
  </si>
  <si>
    <t>ANTI-EMBOLISM STOCKING</t>
  </si>
  <si>
    <t>VARIMED</t>
  </si>
  <si>
    <t>0521-6888</t>
  </si>
  <si>
    <t>6121S</t>
  </si>
  <si>
    <t>1023-7321</t>
  </si>
  <si>
    <t>1223-7401</t>
  </si>
  <si>
    <t>0522-7040</t>
  </si>
  <si>
    <t>6121M</t>
  </si>
  <si>
    <t>1023-7386</t>
  </si>
  <si>
    <t>1223-7386</t>
  </si>
  <si>
    <t>0425-7569</t>
  </si>
  <si>
    <t>0821-6905</t>
  </si>
  <si>
    <t>6121L</t>
  </si>
  <si>
    <t>0724-7514</t>
  </si>
  <si>
    <t>0125-7624</t>
  </si>
  <si>
    <t>0425-7624</t>
  </si>
  <si>
    <t>6121XL</t>
  </si>
  <si>
    <t>0125-7617</t>
  </si>
  <si>
    <t>0425-7617</t>
  </si>
  <si>
    <t>6121XXL</t>
  </si>
  <si>
    <t>0125-7555</t>
  </si>
  <si>
    <t>0425-7555</t>
  </si>
  <si>
    <t>6111XS</t>
  </si>
  <si>
    <t>0521-6899</t>
  </si>
  <si>
    <t>6111S</t>
  </si>
  <si>
    <t>0521-6863</t>
  </si>
  <si>
    <t>6111M</t>
  </si>
  <si>
    <t>1023-7350</t>
  </si>
  <si>
    <t>1223-7350</t>
  </si>
  <si>
    <t>6111L</t>
  </si>
  <si>
    <t>1223-7203</t>
  </si>
  <si>
    <t>6111XL</t>
  </si>
  <si>
    <t>1223-7356</t>
  </si>
  <si>
    <t>6111XXL</t>
  </si>
  <si>
    <t>1223-7357</t>
  </si>
  <si>
    <t>1023-7357</t>
  </si>
  <si>
    <t>TR03</t>
  </si>
  <si>
    <t>SURGICAL SKIN MARKER</t>
  </si>
  <si>
    <t>SINGLE SIDE</t>
  </si>
  <si>
    <t>TONDAUS</t>
  </si>
  <si>
    <t>TD01</t>
  </si>
  <si>
    <t>DOUBLE SIDE</t>
  </si>
  <si>
    <t>M-010604</t>
  </si>
  <si>
    <t>SCRUB BRUSH</t>
  </si>
  <si>
    <t>Poviseptin Scrub Brush - 15ml - Nail Stick</t>
  </si>
  <si>
    <t>MEDITERA</t>
  </si>
  <si>
    <t>M-020604</t>
  </si>
  <si>
    <t>YC.001</t>
  </si>
  <si>
    <t>ULTRA SOUND GEL</t>
  </si>
  <si>
    <t>250 ML CLEAR</t>
  </si>
  <si>
    <t>Ultrasound Gel 250 ML (Clear)</t>
  </si>
  <si>
    <t>TIANJIN</t>
  </si>
  <si>
    <t>YC.002</t>
  </si>
  <si>
    <t>250 ML BLUE</t>
  </si>
  <si>
    <t>Ultrasound Gel 250 ML (Blue)</t>
  </si>
  <si>
    <t>YC.005</t>
  </si>
  <si>
    <t>5L CLEAR</t>
  </si>
  <si>
    <t>YB.005</t>
  </si>
  <si>
    <t>5L BLUE</t>
  </si>
  <si>
    <t>GS2212</t>
  </si>
  <si>
    <t>GAUZE SWAB</t>
  </si>
  <si>
    <t>NON-STERILE</t>
  </si>
  <si>
    <t>Gauze Swab Non -Sterile - 5x5-12Ply -13 Threads (100 Pcs/Pack, 100 Packs/Ctn)</t>
  </si>
  <si>
    <t>JIUJANG HUADA</t>
  </si>
  <si>
    <t>HD202404</t>
  </si>
  <si>
    <t>GS3312</t>
  </si>
  <si>
    <t>Gauze Swab Non -Sterile - 7.5x7.5-12Ply -13 Threads (100 Pcs/Pack, 80 Packs/Ctn)</t>
  </si>
  <si>
    <t>GS4412</t>
  </si>
  <si>
    <t>HD202412</t>
  </si>
  <si>
    <t>GSS2212</t>
  </si>
  <si>
    <t>STERILE</t>
  </si>
  <si>
    <t>GSS3312</t>
  </si>
  <si>
    <t>GSS4412</t>
  </si>
  <si>
    <t>GSS4412X</t>
  </si>
  <si>
    <t>OBS-MW</t>
  </si>
  <si>
    <t>SKIN STAPLER</t>
  </si>
  <si>
    <t>FH20241119</t>
  </si>
  <si>
    <t>CM631</t>
  </si>
  <si>
    <t>SWAB APPLICATOR</t>
  </si>
  <si>
    <t>TPC06</t>
  </si>
  <si>
    <t>RSMMSB6060</t>
  </si>
  <si>
    <t>WRAPPING SHEET</t>
  </si>
  <si>
    <t>RSMMSB6075</t>
  </si>
  <si>
    <t>RSMMSB6080</t>
  </si>
  <si>
    <t>RSMMSB6090</t>
  </si>
  <si>
    <t>RSMMSB60100</t>
  </si>
  <si>
    <t>RSMMSB60120</t>
  </si>
  <si>
    <t>SURGICAL GOWNS</t>
  </si>
  <si>
    <t>STERILE REINFORCED</t>
  </si>
  <si>
    <t>Sterile Reinforced Surgical Gowns - Medium</t>
  </si>
  <si>
    <t>Sterile Reinforced Surgical Gowns - Large</t>
  </si>
  <si>
    <t>Sterile Reinforced Surgical Gowns - X Large</t>
  </si>
  <si>
    <t>Sterile Reinforced Surgical Gowns - XX Large</t>
  </si>
  <si>
    <t>STERILE STANDARD</t>
  </si>
  <si>
    <t>Sterile Standard Surgical Gowns - Medium</t>
  </si>
  <si>
    <t>Sterile Standard Surgical Gowns - Large</t>
  </si>
  <si>
    <t>Sterile Standard Surgical Gowns - X Large</t>
  </si>
  <si>
    <t>Sterile Standard Surgical Gowns - XX Large</t>
  </si>
  <si>
    <t>WU-007</t>
  </si>
  <si>
    <t>Baisheng Medical Col., Ltd.</t>
  </si>
  <si>
    <t>WB202406200</t>
  </si>
  <si>
    <t>ORO GLOBAL</t>
  </si>
  <si>
    <t>CAKCDQ-118</t>
  </si>
  <si>
    <t>RG45M</t>
  </si>
  <si>
    <t>RG45L</t>
  </si>
  <si>
    <t>RG45XL</t>
  </si>
  <si>
    <t>Sterile Surgical Reinforced Gowns - SMMS - 45 GSM - Medium</t>
  </si>
  <si>
    <t>Sterile Surgical Reinforced Gowns - SMMS - 45 GSM - Large</t>
  </si>
  <si>
    <t>Sterile Surgical Reinforced Gowns - SMMS - 45 GSM - X Large</t>
  </si>
  <si>
    <t>WB230612004</t>
  </si>
  <si>
    <t>CareNow Medical Pvt Ltd.</t>
  </si>
  <si>
    <t>OLEY</t>
  </si>
  <si>
    <t>TC25003</t>
  </si>
  <si>
    <t>WU-029</t>
  </si>
  <si>
    <t>WU-009</t>
  </si>
  <si>
    <t>WU-0-015</t>
  </si>
  <si>
    <t>WU-010</t>
  </si>
  <si>
    <t>WU-008</t>
  </si>
  <si>
    <t>V800P</t>
  </si>
  <si>
    <t>PROJECTION VEIN FINDER</t>
  </si>
  <si>
    <t>OLD SHIPMENT</t>
  </si>
  <si>
    <t>LBTK-DQG-7</t>
  </si>
  <si>
    <t>LBTK-500-M</t>
  </si>
  <si>
    <t>LCD SCREEN FOR LABTEK 5005</t>
  </si>
  <si>
    <t>LCD SCREEN FOR LABTEK 5006</t>
  </si>
  <si>
    <t>IOB-507</t>
  </si>
  <si>
    <t>Y.10.133</t>
  </si>
  <si>
    <t>YY.Y.10.484</t>
  </si>
  <si>
    <t>WB230615003S</t>
  </si>
  <si>
    <t>WB230617007S</t>
  </si>
  <si>
    <t>NO EXPIRY</t>
  </si>
  <si>
    <t>NO LOT #</t>
  </si>
  <si>
    <t>WU240737015</t>
  </si>
  <si>
    <t>IOB-505</t>
  </si>
  <si>
    <t>PULL OUT</t>
  </si>
  <si>
    <t>DAMAGED</t>
  </si>
  <si>
    <t>WU-025</t>
  </si>
  <si>
    <t xml:space="preserve"> </t>
  </si>
  <si>
    <t>60gsm SMS Wrapping Sheet 60cm x 60cm - (500 Pcs /Ctn )</t>
  </si>
  <si>
    <t>60gsm SMS Wrapping Sheet 75cm x 75cm - (250 Pcs / Ctn )</t>
  </si>
  <si>
    <t>60gsm SMS Wrapping Sheet 80cm x 80cm - (300 Pcs / Ctn)</t>
  </si>
  <si>
    <t>60gsm SMS Wrapping Sheet 90cm x 90cm - (300 Pcs /Ctn)</t>
  </si>
  <si>
    <t>60gsm SMS Wrapping Sheet 100cm x 100cm - (300 Pcs / Ctn)</t>
  </si>
  <si>
    <t>60gsm SMS Wrapping Sheet 120cm x 120cm - (200 Pcs / Ctn)</t>
  </si>
  <si>
    <t>Surgical Skin Marker Single Side (1CTN = 1000 PCS, 1 PACK = 50 PCS)</t>
  </si>
  <si>
    <t>Surgical Skin Marker Double Side (1CTN = 1000 PCS, 1 PACK = 50 PCS)</t>
  </si>
  <si>
    <t>Thigh Length SCD Sleeves - Large 20pairs/box</t>
  </si>
  <si>
    <t>Pediatric Warming Blanket Infant Under Body 39" x 39" (100cm X 100cm) 40/box</t>
  </si>
  <si>
    <t>45gsm SMS Wrapping Sheet 60cm x 60cm</t>
  </si>
  <si>
    <t>45gsm SMS Wrapping Sheet 75cm x 75cm</t>
  </si>
  <si>
    <t>45gsm SMS Wrapping Sheet 80cm x 80cm</t>
  </si>
  <si>
    <t>45gsm SMS Wrapping Sheet 90cm x 90cm</t>
  </si>
  <si>
    <t>45gsm SMS Wrapping Sheet 120cm x 120cm</t>
  </si>
  <si>
    <t>RSMMSB4560</t>
  </si>
  <si>
    <t>RSMMSB4575</t>
  </si>
  <si>
    <t>RSMMSB4580</t>
  </si>
  <si>
    <t>RSMMSB4590</t>
  </si>
  <si>
    <t>RSMMSB45100</t>
  </si>
  <si>
    <t>RSMMSB45120</t>
  </si>
  <si>
    <t>WB250607003S</t>
  </si>
  <si>
    <t>ITEM</t>
  </si>
  <si>
    <t>WARNING QTY</t>
  </si>
  <si>
    <t>WU-026</t>
  </si>
  <si>
    <t>1023-7356</t>
  </si>
  <si>
    <t>REPAIRED</t>
  </si>
  <si>
    <t>Below Knee SCD Sleeves - Medium 30 PAIRS/BOX</t>
  </si>
  <si>
    <t>Below Knee SCD Sleeves - Large 30 PAIRS/BOX</t>
  </si>
  <si>
    <t>Below Knee SCD Sleeves - X-Large 25 PAIRS/BOX</t>
  </si>
  <si>
    <t>WB250608002S</t>
  </si>
  <si>
    <t>SOLD</t>
  </si>
  <si>
    <t>WU-5-006</t>
  </si>
  <si>
    <t>LBTK-500-S</t>
  </si>
  <si>
    <t>LBTK-500-L</t>
  </si>
  <si>
    <t>LBTK-502-XL</t>
  </si>
  <si>
    <t>LEG GARMENT COMPRESSION SLEEVES - SMALL</t>
  </si>
  <si>
    <t>LEG GARMENT COMPRESSION SLEEVES - MEDIUM</t>
  </si>
  <si>
    <t>LEG GARMENT COMPRESSION SLEEVES - LARGE</t>
  </si>
  <si>
    <t>CALF GARMENT COMPRESSION SLEEVES - X-LARGE</t>
  </si>
  <si>
    <t>VIVOLIGHT</t>
  </si>
  <si>
    <t>GSS4416X</t>
  </si>
  <si>
    <t>45gsm SMS Wrapping Sheet 100cm x 100cm - (400 Pcs / Ctn)</t>
  </si>
  <si>
    <t>EMPTY BOTTLES</t>
  </si>
  <si>
    <t xml:space="preserve">Ultrasound Gel 250 ML </t>
  </si>
  <si>
    <t>IOB BASEBOARD</t>
  </si>
  <si>
    <t>Gauze Swab Sterile - 5x5-12Ply -13 Threads - Single Wrapped (5 Pcs/Pack, 20 Packs/Box,20Box/Ctn)</t>
  </si>
  <si>
    <t>HD2303</t>
  </si>
  <si>
    <t>Gauze Swab Sterile - 10x10-12Ply -13 Threads - Single Wrapped (5 Pcs/Pack, 20 Packs/Box,24Box/Ctn)</t>
  </si>
  <si>
    <t>Gauze Swab Sterile - 10x10-16Ply with X-Ray -13 Threads - Double Wrapped (5 Pcs/Pack, 20 Packs/Box,24Box/Ctn)</t>
  </si>
  <si>
    <t>Gauze Swab Sterile - 10x10-16Ply with X-Ray -13 Threads - Double Wrapped (PACKS)</t>
  </si>
  <si>
    <t>6656-0308-13</t>
  </si>
  <si>
    <t>CDQ11823002</t>
  </si>
  <si>
    <t>AG-Thigh Length,with Dotted silicone topband,Anti-Embolism Stocking (Pair)- XXL</t>
  </si>
  <si>
    <t>0821-6908</t>
  </si>
  <si>
    <t>AG-Thigh Length,with Dotted silicone topband,Anti-Embolism Stocking (Pair)- M</t>
  </si>
  <si>
    <t>AD - Knee Length, Anti-Embolism Stocking (Pair) - XL</t>
  </si>
  <si>
    <t>AD - Knee Length, Anti-Embolism Stocking (Pair) - L</t>
  </si>
  <si>
    <t>0521-6861</t>
  </si>
  <si>
    <t>WB221228003S</t>
  </si>
  <si>
    <t>WB220701028</t>
  </si>
  <si>
    <t>IOB-002S</t>
  </si>
  <si>
    <t>WB211025002S</t>
  </si>
  <si>
    <t>IOB-007S</t>
  </si>
  <si>
    <t>WB221011007S</t>
  </si>
  <si>
    <t>M42</t>
  </si>
  <si>
    <t>Gauze Swab Sterile - 5x5-12Ply -13 Threads - Double Wrapped (5 Pcs/Pack, 20 Packs/Box,20Box/Ctn)</t>
  </si>
  <si>
    <t>Gauze Swab Sterile - 7.5x7.5-12Ply -13 Threads - Double Wrapped (5 Pcs/Pack, 20 Packs/Box,20Box/Ctn)</t>
  </si>
  <si>
    <t>Gauze Swab Sterile - 10x10-12Ply with X-Ray -13 Threads - Double Wrapped (5 Pcs/Pack, 20 Packs/Box,24Box/Ctn)</t>
  </si>
  <si>
    <t>jIUJANG HUADA</t>
  </si>
  <si>
    <t>Gauze Swab Sterile - 10x10-12Ply -13 Threads - Double Wrapped (5 Pcs/Pack, 20 Packs/Box,24Box/Ctn)</t>
  </si>
  <si>
    <t>AG-Thigh Length,with Dotted silicone topband,Anti-Embolism Stocking (Pair)- S</t>
  </si>
  <si>
    <t>AG-Thigh Length,with Dotted silicone topband,Anti-Embolism Stocking (Pair)- L</t>
  </si>
  <si>
    <t>0821-6906</t>
  </si>
  <si>
    <t>1223-7325</t>
  </si>
  <si>
    <t>AD - Knee Length, Anti-Embolism Stocking (Pair) - M</t>
  </si>
  <si>
    <t>AD - Knee Length, Anti-Embolism Stocking (Pair) - XXL</t>
  </si>
  <si>
    <t>GSS4416X PACKS</t>
  </si>
  <si>
    <t>REM QTY</t>
  </si>
  <si>
    <t>DISPOSABLE STAPLE REMOVER</t>
  </si>
  <si>
    <t>EXP./ MANU. DATE</t>
  </si>
  <si>
    <t>NEW</t>
  </si>
  <si>
    <t>V082311961</t>
  </si>
  <si>
    <t>V0820080811</t>
  </si>
  <si>
    <t>V800P STAND</t>
  </si>
  <si>
    <t>PROJECTION VEIN FINDER STAND</t>
  </si>
  <si>
    <t>NO SN</t>
  </si>
  <si>
    <t>WE02409004378</t>
  </si>
  <si>
    <t>LBTK-5001</t>
  </si>
  <si>
    <t>VEINOFLOW SCD</t>
  </si>
  <si>
    <t>LBTK-5005</t>
  </si>
  <si>
    <t>55-2012231358 (machine only)</t>
  </si>
  <si>
    <t>55-2102091368 (machine only)</t>
  </si>
  <si>
    <t>IOB WARMING UNIT</t>
  </si>
  <si>
    <t>WU202006025EN (machine only)</t>
  </si>
  <si>
    <t>WU202001050EN (machine only)</t>
  </si>
  <si>
    <t>WU202001052EN (machine only)</t>
  </si>
  <si>
    <t>LOCATION</t>
  </si>
  <si>
    <t>OFFICE</t>
  </si>
  <si>
    <t>POWER CORD</t>
  </si>
  <si>
    <t>LABTEK CONTROL BOARD 5005</t>
  </si>
  <si>
    <t>LABTEK CONTROL BOARD 5006</t>
  </si>
  <si>
    <t>LABTEK ELECTRO MAGNETIC VALVE ASSY</t>
  </si>
  <si>
    <t>LABTEK PUMP ASSY</t>
  </si>
  <si>
    <t>LABTEK BATTERY 5005</t>
  </si>
  <si>
    <t>LABTEK BATTERY 5001 OLD VERSION</t>
  </si>
  <si>
    <t>LABTEK BATTERY 5001 (OLD VERSION)</t>
  </si>
  <si>
    <t>LABTEK FUSE HOLDER</t>
  </si>
  <si>
    <t>LABTEK INTERNAL TUBINGS</t>
  </si>
  <si>
    <t>IOB AIR HOSE WITH SENSOR ONE CORD</t>
  </si>
  <si>
    <t>IOB ELBOW WITH SENSOR TWO CORD</t>
  </si>
  <si>
    <t>IOB ROLLING STAND WHEELS</t>
  </si>
  <si>
    <t>INITIAL FILTER</t>
  </si>
  <si>
    <t>IOB METAL HOSE CLAMP</t>
  </si>
  <si>
    <t>LCD DISPLAY AND CONTROL BOARD</t>
  </si>
  <si>
    <t>LABTEK 5005 FRONT COVER</t>
  </si>
  <si>
    <t>LABTEK 5005 BACK COVER</t>
  </si>
  <si>
    <t>LABTEK BED CLAMP</t>
  </si>
  <si>
    <t>IOB HEPA FILTER + INITIAL FILTER</t>
  </si>
  <si>
    <t>IOB ROLLING STAND (NO BASKET, NO ROD)</t>
  </si>
  <si>
    <t>IOB ROLLING STAND BASKET</t>
  </si>
  <si>
    <t>WU202006003EN (machine only)</t>
  </si>
  <si>
    <t>WU202208139EN (machine only)</t>
  </si>
  <si>
    <t>LOT NO. / SN</t>
  </si>
  <si>
    <t>WU202006032EN (machine only)</t>
  </si>
  <si>
    <t>WU202202037EN (machine only)</t>
  </si>
  <si>
    <t>USED / DAMAGED</t>
  </si>
  <si>
    <t xml:space="preserve">OFFICE - PULL OUT/REPLACED - BMC </t>
  </si>
  <si>
    <t>OFFICE - PULL OUT/REPLACED - AL ZAHRA</t>
  </si>
  <si>
    <t>OFFICE - PULL OUT: KANAD</t>
  </si>
  <si>
    <t>WU202006049EN (full set)</t>
  </si>
  <si>
    <t>DN/BUR-MC-AD-2026/4001D/Return - BMC - 05-01-2026</t>
  </si>
  <si>
    <t>55-2002130939 (machine with airtube and power cable)</t>
  </si>
  <si>
    <t>DN/EMI-JUM-2026/4001D/Return - EMI-JUM - 05-01-2026</t>
  </si>
  <si>
    <t>OFFICE - PULL OUT-BUR-MCAD-2026-4005D 07-01-2026</t>
  </si>
  <si>
    <t>USED / DAMAGED/ DEMO</t>
  </si>
  <si>
    <t>DN/SCRH-2026/4001D/Return SALMA SKMC 09-01-2026</t>
  </si>
  <si>
    <t>DN/BUR-MC-AD-2026/4003D/Return BMC 09-01-2026</t>
  </si>
  <si>
    <t>OFFICE - PULL OUT: HARLEY STREET 01-08-2025</t>
  </si>
  <si>
    <t>CHECK IN BOX</t>
  </si>
  <si>
    <t>DN/AACS-2026/4002D/RETURN AMERICAN ACADEMY 19-01-2026 (1 PC)</t>
  </si>
  <si>
    <t>IOB ROLLING STAND</t>
  </si>
  <si>
    <t>UNUSED / GOOD CONDITION</t>
  </si>
  <si>
    <t>FH20250444</t>
  </si>
  <si>
    <t>OFFICE - Pull Out-BUR-MCAD-2026-4009D - BMC - 21-01-2026</t>
  </si>
  <si>
    <t>55-2012231344 (machine only)</t>
  </si>
  <si>
    <t>IOB HEPA FILTER (NO INITIAL FILTER)</t>
  </si>
  <si>
    <t>DN/2026-4001D/BUR-AN-AD/Return - BUR AL NAJDA - 22-01-2026</t>
  </si>
  <si>
    <t>NEW (23-01-2026)</t>
  </si>
  <si>
    <t>V0825B3336</t>
  </si>
  <si>
    <t>WE0260100003824 | Ref: 1100081010010 | Lot: CG-2508-133</t>
  </si>
  <si>
    <t>WU251100221 | 14/11/2025</t>
  </si>
  <si>
    <t>WU251100224 | 14/11/2025</t>
  </si>
  <si>
    <t>WU251100222 | 14/11/2025</t>
  </si>
  <si>
    <t>WU251100223 | 14/11/2025</t>
  </si>
  <si>
    <t>WU251100225 | 14/11/2025</t>
  </si>
  <si>
    <t>WU251200321 | 06/12/2025</t>
  </si>
  <si>
    <t>WU251200322 | 06/12/2025</t>
  </si>
  <si>
    <t>WU251200323 | 06/12/2025</t>
  </si>
  <si>
    <t>WU251200324 | 06/12/2025</t>
  </si>
  <si>
    <t>WU251200325 | 06/12/2025</t>
  </si>
  <si>
    <t>WU251200326 | 06/12/2025</t>
  </si>
  <si>
    <t>WU251200327 | 06/12/2025</t>
  </si>
  <si>
    <t>WU251200328 | 06/12/2025</t>
  </si>
  <si>
    <t>WU251200329 | 06/12/2025</t>
  </si>
  <si>
    <t>WU251200330 | 06/12/2025</t>
  </si>
  <si>
    <t>RS2511005 1/5 | 20251112</t>
  </si>
  <si>
    <t>RS2511005 2/5 | 20251112</t>
  </si>
  <si>
    <t>RS2511005 3/5 | 20251112</t>
  </si>
  <si>
    <t>RS2511005 4/5 | 20251112</t>
  </si>
  <si>
    <t>RS2511005 5/5 | 20251112</t>
  </si>
  <si>
    <t>RS2512003 1/5 | 20251206</t>
  </si>
  <si>
    <t>RS2512003 2/5 | 20251206</t>
  </si>
  <si>
    <t>RS2512003 3/5 | 20251206</t>
  </si>
  <si>
    <t>RS2512003 4/5 | 20251206</t>
  </si>
  <si>
    <t>RS2512003 5/5 | 20251206</t>
  </si>
  <si>
    <t>WU-036</t>
  </si>
  <si>
    <t>ALUMINUM FAN SUPPORT PLATE</t>
  </si>
  <si>
    <t>WU-5-004</t>
  </si>
  <si>
    <t>PTC HEATER (220V)</t>
  </si>
  <si>
    <t>LDN/MDE-AD-2026/4001D MEDEOR-AD 27-01-2026</t>
  </si>
  <si>
    <t>DN/BUR-MCAD-2026/4002D/FOC BMC 26-01-2026</t>
  </si>
  <si>
    <t>LDN-BUR-SHJ-2026-4001D BUR SPECIALTY SHJ 28-01-2026</t>
  </si>
  <si>
    <t>NEW (26-01-2026)</t>
  </si>
  <si>
    <t>LDN/BRHA-2026/4001D - BURJEEL ROYAL ASHAREJ AL AIN - 29-01-2026</t>
  </si>
  <si>
    <t>FOR INSPECTION / DAMAGED</t>
  </si>
  <si>
    <t>FOR INSPECTION: USED / DAMAGED</t>
  </si>
  <si>
    <t>WU202001063EN (with power cord)</t>
  </si>
  <si>
    <t>WU202006015EN  (with power cord)</t>
  </si>
  <si>
    <t>DN/MDE-DXB-2026-4001D/RETURN - MEDEOR DUBAI - 02-02-2026</t>
  </si>
  <si>
    <t>pull out with machine WU202001063EN &amp; WU202001063EN</t>
  </si>
  <si>
    <t>LDN/MDE-DXB-2026/4001D MEDEOR DUBAI 02-02-2026</t>
  </si>
  <si>
    <t>55-2304402452 (machine only)</t>
  </si>
  <si>
    <t>55-2203031754 (machine only)</t>
  </si>
  <si>
    <t>LDN/AVH-2026/4001D - ADAM VITAL - 06-02-2026</t>
  </si>
  <si>
    <t>OFFICE - Pull Out-BUR-MCAD-2026-4012D - BMC - 05-02-2026</t>
  </si>
  <si>
    <t>55-2411543333 full set (air tube taken from 51-2404024098)</t>
  </si>
  <si>
    <t>LDN/GH-2026/4001D - GARGASH - 11-02-2026</t>
  </si>
  <si>
    <t>WU-5-015</t>
  </si>
  <si>
    <t>DISPLAY PANEL FOR LABTEK 5006</t>
  </si>
  <si>
    <t>LABTEK DISPLAY PANEL 5006</t>
  </si>
  <si>
    <t>V800P POWER CORD WITH POWER SUPPLY</t>
  </si>
  <si>
    <t>56-2212280193 (machine only)</t>
  </si>
  <si>
    <t>LBTK-5006</t>
  </si>
  <si>
    <t>DN/BUR-MC-AD-2026/4004D/Return - BMC - 16-02-2026</t>
  </si>
  <si>
    <t>DN/BUR-MC-AD-2026/4005D/Return - BMC - 16-02-2026</t>
  </si>
  <si>
    <t>LBTK502-S</t>
  </si>
  <si>
    <t>LBTK502-M</t>
  </si>
  <si>
    <t>LBTK502-L</t>
  </si>
  <si>
    <t>NEW 17-02-2026</t>
  </si>
  <si>
    <t>51-2512114373 | 12/12/2025</t>
  </si>
  <si>
    <t>51-2512114374 | 12/12/2025</t>
  </si>
  <si>
    <t>51-2512114375 | 12/12/2025</t>
  </si>
  <si>
    <t>51-2512114376 | 12/12/2025</t>
  </si>
  <si>
    <t>51-2512114377 | 12/12/2025</t>
  </si>
  <si>
    <t>LABTEK AIRTUBE (PAIRS)</t>
  </si>
  <si>
    <t>56-2511160429 | 2025-11-07</t>
  </si>
  <si>
    <t>56-2511160430 | 2025-11-07</t>
  </si>
  <si>
    <t>56-2511160431 | 2025-11-07</t>
  </si>
  <si>
    <t>56-2511160432 | 2025-11-07</t>
  </si>
  <si>
    <t>56-2511160433 | 2025-11-07</t>
  </si>
  <si>
    <t>56-2511160434 | 2025-11-07</t>
  </si>
  <si>
    <t>56-2511160435 | 2025-11-07</t>
  </si>
  <si>
    <t>56-2511160436 | 2025-11-07</t>
  </si>
  <si>
    <t>56-2511160437 | 2025-11-07</t>
  </si>
  <si>
    <t>56-2511160438 | 2025-11-07</t>
  </si>
  <si>
    <t>LABTEK AIRTUBE CONNECTOR (FEMALE)</t>
  </si>
  <si>
    <t>LABTEK AIRTUBE CONNECTOR (MALE)</t>
  </si>
  <si>
    <t>LDN-HMSMH-2026-4001D - HMS MIRDIF - 18-02-2026</t>
  </si>
  <si>
    <t>LDN-AACS-2026-4001D - AMERICAN ACADEMY - 18-02-2026</t>
  </si>
  <si>
    <t>51-2404024098 (with airtube and powercord)</t>
  </si>
  <si>
    <t>51-2404024099 (with airtube and powercord)</t>
  </si>
  <si>
    <t>LDN/GH-2026/4002D - GARGASH - 19-02-2026</t>
  </si>
  <si>
    <t>55-2102091405 (machine only)</t>
  </si>
  <si>
    <t>DN/BUR-MC-AD-2026/4006D/Return - BMC - 23-02-2026</t>
  </si>
  <si>
    <t>LDN/HMSGH-2026/4002D - HMS AL GARHOUD - 23-02-2026</t>
  </si>
  <si>
    <t>LDN/HMSGH-2026/4003D - HMS AL GARHOUD - 24-02-2026</t>
  </si>
  <si>
    <t>LDN/EMI-JUM-2026/4001D - Emirates Rehabilitation and Homecare - 24-02-2026</t>
  </si>
  <si>
    <t>LBTK500-S</t>
  </si>
  <si>
    <t>LBTK500-M</t>
  </si>
  <si>
    <t>LBTK500-L</t>
  </si>
  <si>
    <t>BOV-300-S / LBTK500-S</t>
  </si>
  <si>
    <t>BOV-300-M / LBTK500-M</t>
  </si>
  <si>
    <t>BOV-300-L / LBTK500-L</t>
  </si>
  <si>
    <t>BOV-301-S / LBTK502-S</t>
  </si>
  <si>
    <t>BOV-301-M / LBTK502-M</t>
  </si>
  <si>
    <t>BOV-301-L / LBTK502-L</t>
  </si>
  <si>
    <t>EQUAL?</t>
  </si>
  <si>
    <t>WARNING NOTIFICATION</t>
  </si>
  <si>
    <t>REMAINING STOCK AS OF 26-02-2026 (MANUAL)</t>
  </si>
  <si>
    <t>REMAINING STOCK (FORMULA)</t>
  </si>
  <si>
    <t>DAMAGED ROLLING STAND (BOTH - NO BASKET)</t>
  </si>
  <si>
    <t>DIFFERENCE</t>
  </si>
  <si>
    <t>LDN/EMI-JUM-2026/4002D - Emirates Rehabilitation and Homecare - 10-03-2026</t>
  </si>
  <si>
    <t>FROM EXPIRED SLEEVES</t>
  </si>
  <si>
    <t>USED / GOOD CONDITION</t>
  </si>
  <si>
    <t>55-2102091369 (full set)</t>
  </si>
  <si>
    <t>55-2102091416 (full set)</t>
  </si>
  <si>
    <t>55-2102091402 (full set)</t>
  </si>
  <si>
    <t>WU202001068EN (full set - no rolling stand)</t>
  </si>
  <si>
    <t>LDN-TLSH-2026-4002D - TRUE LIFE SPECIALTY HOSPITAL AA- 18-03-2026 - 1 PC</t>
  </si>
  <si>
    <t>DN-AZH-DXB-2026-4001D-RETURN - AL ZAHRA - 23-03-2026</t>
  </si>
  <si>
    <t>LDN-GH-2026-4003D - GARGASH - 19-03-2026</t>
  </si>
  <si>
    <t>.</t>
  </si>
  <si>
    <t>LDN-IMH-2026-4001D - IMH - 30-03-2026</t>
  </si>
  <si>
    <t>56-2212280199 | 2023-02-06 (full set)</t>
  </si>
  <si>
    <t>55-2102091407 (machine only)</t>
  </si>
  <si>
    <t>LDN-AST-M-2026-4001D - ASTER MANKHOOL - 01-04-2026</t>
  </si>
  <si>
    <t>WU201907097EN</t>
  </si>
  <si>
    <t>OFFICE - PULL OUT: SEHA EMIRATES AD 11-09-2025</t>
  </si>
  <si>
    <t>RECOVERED FROM DISCARDED ITEMS / USED</t>
  </si>
  <si>
    <t>55-2102091376 (machine only)</t>
  </si>
  <si>
    <t>55-2102091414 (machine only)</t>
  </si>
  <si>
    <t>55-2203031737 (machine only)</t>
  </si>
  <si>
    <t>55-2307422479 (machine only)</t>
  </si>
  <si>
    <t>55-2010161314 (machine only)</t>
  </si>
  <si>
    <t>55-2102091401 (machine only)</t>
  </si>
  <si>
    <t>55-2203031743 (machine only)</t>
  </si>
  <si>
    <t>55-2002130958 (machine only)</t>
  </si>
  <si>
    <t>55-2010161330 (machine only)</t>
  </si>
  <si>
    <t>55-2104121435 (machine only)</t>
  </si>
  <si>
    <t>OFFICE - PULL OUT-KHAA-2026-4019D - KANAD - 15-04-2026</t>
  </si>
  <si>
    <t>USED / DAMAGE</t>
  </si>
  <si>
    <t>OFFICE - RECOVERED FROM DISCARDED ITEMS / USED</t>
  </si>
  <si>
    <t>LDN-HMSGH-2026-4004D - HMS AL GARHOUD - 15-04-2026</t>
  </si>
  <si>
    <t>LDN-IMH-2026-4002D - IMH DUBAI - 15-04-2026</t>
  </si>
  <si>
    <t>WU250500140 (with airhose, powercord, rolling stand)</t>
  </si>
  <si>
    <t>LDN-BUR-MC-AD-2026-4001D - BMC - 17-04-2026</t>
  </si>
  <si>
    <t>TCE26001</t>
  </si>
  <si>
    <t>0426-7624</t>
  </si>
  <si>
    <t>0426-7664</t>
  </si>
  <si>
    <t>0426-7646</t>
  </si>
  <si>
    <t>0426-7647</t>
  </si>
  <si>
    <t>0426-7559</t>
  </si>
  <si>
    <t>LDN-GH-2026-4004D - GARGASH - 22-04-2026</t>
  </si>
  <si>
    <t>LDN-EMI-JUM-2026-4003D - EMIRATES HOSPITAL DAY &amp; SURGERY MEDICAL CENTER, MOTOR CITY - 24-04-2026</t>
  </si>
  <si>
    <t>DPV0200050B</t>
  </si>
  <si>
    <t>Neurosurgical Patties - Dual Patty V - 2 x 5 cm - 10 packs / box (10 pcs / pack)</t>
  </si>
  <si>
    <t>DPV0120030B</t>
  </si>
  <si>
    <t>Neurosurgical Patties - Dual Patty V - 1.25 x 3 cm - 10 packs / box (10 pcs / pack)</t>
  </si>
  <si>
    <t>DPV0200020B</t>
  </si>
  <si>
    <t>Neurosurgical Patties - Dual Patty V - 2 x 2 cm - 10 packs / box (10 pcs / pack)</t>
  </si>
  <si>
    <t>DPV0200075B</t>
  </si>
  <si>
    <t>Neurosurgical Patties - Dual Patty V - 2 x 7.5 cm - 10 packs / box (10 pcs / pack)</t>
  </si>
  <si>
    <t>DPV0120012B</t>
  </si>
  <si>
    <t>Neurosurgical Patties - Dual Patty V - 1.25 x 1.25 cm - 10 packs / box (10 pcs / pack)</t>
  </si>
  <si>
    <t>Neurosurgical Patties - Dual Patty V Thin - 1.25 x 1.25 cm - 10 packs / box (10 pcs / pack)</t>
  </si>
  <si>
    <t>Neurosurgical Patties - Dual Patty V Thin - 1.25 x 3 cm - 10 packs / box (10 pcs / pack)</t>
  </si>
  <si>
    <t>Neurosurgical Patties - Dual Patty V Thin - 2 x 5 cm - 10 packs / box (10 pcs / pack)</t>
  </si>
  <si>
    <t>Neurosurgical Patties - Dual Patty V Thin - 2 x 7.5 cm - 10 packs / box (10 pcs / pack)</t>
  </si>
  <si>
    <t>Neurosurgical Patties - Dual Patty V Thin - 2 x 2 cm - 10 packs / box (10 pcs / pack)</t>
  </si>
  <si>
    <t>Neurosurgical Patties - Dual Patty V</t>
  </si>
  <si>
    <t>Neurosurgical Patties - Dual Patty V Thin</t>
  </si>
  <si>
    <t>ENDOVISION</t>
  </si>
  <si>
    <t>WU202006041EN (with airhose and power cord)</t>
  </si>
  <si>
    <t>LDN-EMI-JUM-2026-4004D-EMIRATES REHAB HOMECARE JUM-01-05-2026</t>
  </si>
  <si>
    <t>DN-BUR-SHJ-2026-4001D-RETURN - BURJEEL SPECIALTY HOSP - SHARJAH - 04-05-2026</t>
  </si>
  <si>
    <t>DN-BRHA-2026-DEMONSTRATION - BURJEEL ROYAL ASHAREJ AL AIN - 08-05-2026</t>
  </si>
  <si>
    <t>NEW (09-05-2026)</t>
  </si>
  <si>
    <t>RS2603007 | 20260317</t>
  </si>
  <si>
    <t>WU-011</t>
  </si>
  <si>
    <t>NOISE BOARD ASSY</t>
  </si>
  <si>
    <t>WU-037</t>
  </si>
  <si>
    <t>ALUM HOOK BACK ASSY</t>
  </si>
  <si>
    <t>OFFICE - Pull Out-MGH-HCC-2026-4023D - MEDICLINIC CITY - 12-05-2026</t>
  </si>
  <si>
    <t>DN-AST-M-2026-4001D-RETURN - ASTER MANKHOOL - 12-05-2026</t>
  </si>
  <si>
    <t>WU202006020EN (machine with airhose)</t>
  </si>
  <si>
    <t>DN-BUR-MC-AD-2026-4007D-RETURN - BMC - 18-05-2026</t>
  </si>
  <si>
    <t>WB230615003</t>
  </si>
  <si>
    <t>INPUT QTY</t>
  </si>
  <si>
    <t>RS2603007 | 20260317 2/4</t>
  </si>
  <si>
    <t>OFFICE  - BASKET DELIVERED TO BURJEEL AL NAJDA - DN-BUR-AD-2026-4005D-FOC - 02/06/2026</t>
  </si>
  <si>
    <t>IOB ROLLING STAND  (NO BASKET) 2/4</t>
  </si>
  <si>
    <t>55-2002130932 (with airtube and power cord)</t>
  </si>
  <si>
    <t>DN-AACS-2026-4003D-RETURN - AMERICAN ACADEMY - 03-06-2026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</si>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</sst>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sz val="8"/>
      <color theme="1"/>
      <name val="Calibri"/>
      <family val="2"/>
    </font>
    <font>
      <sz val="8"/>
      <color theme="3"/>
      <name val="Calibri"/>
      <family val="2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  <font>
      <sz val="9"/>
      <color indexed="81"/>
      <name val="Tahoma"/>
      <charset val="1"/>
    </font>
    <font>
      <b/>
      <sz val="10"/>
      <color theme="0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Aptos Narrow"/>
      <family val="2"/>
      <scheme val="minor"/>
    </font>
    <font>
      <sz val="8"/>
      <name val="Calibri"/>
      <family val="2"/>
    </font>
    <font>
      <b/>
      <sz val="8"/>
      <color rgb="FF242424"/>
      <name val="Calibri"/>
      <family val="2"/>
    </font>
    <font>
      <b/>
      <sz val="8"/>
      <name val="Calibri"/>
      <family val="2"/>
    </font>
    <font>
      <b/>
      <u/>
      <sz val="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9" fillId="0" borderId="1" xfId="0" applyFont="1" applyBorder="1" applyAlignment="1">
      <alignment horizontal="left" vertical="center"/>
    </xf>
    <xf numFmtId="17" fontId="9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9" fillId="9" borderId="1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left"/>
    </xf>
    <xf numFmtId="1" fontId="9" fillId="2" borderId="1" xfId="0" applyNumberFormat="1" applyFont="1" applyFill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7" fontId="15" fillId="0" borderId="1" xfId="0" applyNumberFormat="1" applyFont="1" applyBorder="1" applyAlignment="1">
      <alignment horizontal="left"/>
    </xf>
    <xf numFmtId="1" fontId="17" fillId="2" borderId="1" xfId="0" applyNumberFormat="1" applyFont="1" applyFill="1" applyBorder="1" applyAlignment="1">
      <alignment horizontal="center"/>
    </xf>
    <xf numFmtId="0" fontId="9" fillId="0" borderId="1" xfId="0" applyFont="1" applyBorder="1"/>
    <xf numFmtId="0" fontId="17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4" fillId="0" borderId="6" xfId="0" applyFont="1" applyFill="1" applyBorder="1" applyAlignment="1"/>
    <xf numFmtId="0" fontId="4" fillId="0" borderId="2" xfId="0" applyFont="1" applyFill="1" applyBorder="1" applyAlignment="1"/>
    <xf numFmtId="16" fontId="4" fillId="0" borderId="2" xfId="0" applyNumberFormat="1" applyFont="1" applyFill="1" applyBorder="1" applyAlignment="1"/>
    <xf numFmtId="16" fontId="4" fillId="0" borderId="2" xfId="0" applyNumberFormat="1" applyFont="1" applyFill="1" applyBorder="1" applyAlignment="1">
      <alignment vertical="center"/>
    </xf>
    <xf numFmtId="16" fontId="4" fillId="0" borderId="9" xfId="0" applyNumberFormat="1" applyFont="1" applyFill="1" applyBorder="1" applyAlignment="1"/>
    <xf numFmtId="0" fontId="2" fillId="0" borderId="0" xfId="0" applyFont="1" applyFill="1" applyBorder="1" applyAlignment="1"/>
    <xf numFmtId="0" fontId="15" fillId="0" borderId="5" xfId="0" applyFont="1" applyFill="1" applyBorder="1" applyAlignment="1">
      <alignment horizontal="left"/>
    </xf>
    <xf numFmtId="0" fontId="18" fillId="0" borderId="5" xfId="0" applyFont="1" applyFill="1" applyBorder="1" applyAlignment="1">
      <alignment horizontal="left"/>
    </xf>
    <xf numFmtId="0" fontId="19" fillId="0" borderId="5" xfId="0" applyFont="1" applyFill="1" applyBorder="1" applyAlignment="1">
      <alignment horizontal="left"/>
    </xf>
    <xf numFmtId="0" fontId="15" fillId="0" borderId="8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Border="1"/>
    <xf numFmtId="14" fontId="0" fillId="0" borderId="0" xfId="0" applyNumberFormat="1" applyBorder="1"/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/>
    </xf>
    <xf numFmtId="16" fontId="5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15" fillId="4" borderId="1" xfId="0" applyFont="1" applyFill="1" applyBorder="1" applyAlignment="1">
      <alignment horizontal="center" vertical="center"/>
    </xf>
    <xf numFmtId="0" fontId="11" fillId="7" borderId="1" xfId="0" applyFont="1" applyFill="1" applyBorder="1"/>
    <xf numFmtId="0" fontId="11" fillId="0" borderId="1" xfId="0" applyFont="1" applyBorder="1"/>
    <xf numFmtId="17" fontId="9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14" fontId="14" fillId="0" borderId="0" xfId="0" applyNumberFormat="1" applyFont="1" applyFill="1" applyBorder="1" applyAlignment="1">
      <alignment horizontal="left" vertical="center"/>
    </xf>
    <xf numFmtId="16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9" fillId="5" borderId="1" xfId="0" applyFont="1" applyFill="1" applyBorder="1"/>
    <xf numFmtId="14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88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1" formatCode="dd\-m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1" formatCode="dd\-mmm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1" formatCode="dd\-mmm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lor theme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theme="7"/>
      </font>
      <fill>
        <patternFill patternType="solid">
          <bgColor theme="7" tint="0.79998168889431442"/>
        </patternFill>
      </fill>
    </dxf>
    <dxf>
      <font>
        <color theme="8"/>
      </font>
      <fill>
        <patternFill patternType="solid">
          <bgColor theme="8" tint="0.79998168889431442"/>
        </patternFill>
      </fill>
    </dxf>
    <dxf>
      <font>
        <color theme="7"/>
      </font>
    </dxf>
    <dxf>
      <font>
        <color theme="2" tint="-0.249977111117893"/>
      </font>
      <fill>
        <patternFill patternType="solid"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 patternType="solid">
          <bgColor theme="7" tint="0.79998168889431442"/>
        </patternFill>
      </fill>
    </dxf>
    <dxf>
      <font>
        <color theme="8"/>
      </font>
      <fill>
        <patternFill patternType="solid">
          <bgColor theme="8" tint="0.79998168889431442"/>
        </patternFill>
      </fill>
    </dxf>
    <dxf>
      <font>
        <color theme="7"/>
      </font>
    </dxf>
    <dxf>
      <font>
        <color theme="2" tint="-0.249977111117893"/>
      </font>
      <fill>
        <patternFill patternType="solid"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F0"/>
      </font>
    </dxf>
    <dxf>
      <font>
        <color theme="2"/>
      </font>
      <fill>
        <patternFill patternType="solid">
          <bgColor theme="2" tint="-0.249977111117893"/>
        </patternFill>
      </fill>
    </dxf>
    <dxf>
      <font>
        <color theme="5" tint="0.79998168889431442"/>
      </font>
      <fill>
        <patternFill patternType="solid">
          <bgColor theme="5"/>
        </patternFill>
      </fill>
    </dxf>
    <dxf>
      <font>
        <color theme="8"/>
      </font>
      <fill>
        <patternFill patternType="solid">
          <bgColor theme="8" tint="0.79998168889431442"/>
        </patternFill>
      </fill>
    </dxf>
    <dxf>
      <font>
        <color theme="7"/>
      </font>
      <fill>
        <patternFill patternType="solid">
          <bgColor theme="7" tint="0.79998168889431442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theme="7"/>
      </font>
      <fill>
        <patternFill patternType="solid">
          <bgColor theme="7" tint="0.79998168889431442"/>
        </patternFill>
      </fill>
    </dxf>
    <dxf>
      <font>
        <color theme="8"/>
      </font>
      <fill>
        <patternFill patternType="solid">
          <bgColor theme="8" tint="0.79998168889431442"/>
        </patternFill>
      </fill>
    </dxf>
    <dxf>
      <font>
        <color theme="7"/>
      </font>
    </dxf>
    <dxf>
      <font>
        <color theme="2" tint="-0.249977111117893"/>
      </font>
      <fill>
        <patternFill patternType="solid"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 patternType="solid">
          <bgColor theme="7" tint="0.79998168889431442"/>
        </patternFill>
      </fill>
    </dxf>
    <dxf>
      <font>
        <color theme="8"/>
      </font>
      <fill>
        <patternFill patternType="solid">
          <bgColor theme="8" tint="0.79998168889431442"/>
        </patternFill>
      </fill>
    </dxf>
    <dxf>
      <font>
        <color theme="7"/>
      </font>
    </dxf>
    <dxf>
      <font>
        <color theme="2" tint="-0.249977111117893"/>
      </font>
      <fill>
        <patternFill patternType="solid"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fgColor auto="1"/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fgColor auto="1"/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rgb="FFFF0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B0F0"/>
      </font>
    </dxf>
    <dxf>
      <font>
        <color theme="7"/>
      </font>
      <fill>
        <patternFill patternType="solid">
          <bgColor theme="7" tint="0.79998168889431442"/>
        </patternFill>
      </fill>
    </dxf>
    <dxf>
      <font>
        <color theme="8"/>
      </font>
      <fill>
        <patternFill patternType="solid">
          <bgColor theme="8" tint="0.79998168889431442"/>
        </patternFill>
      </fill>
    </dxf>
    <dxf>
      <font>
        <color theme="5" tint="0.79998168889431442"/>
      </font>
      <fill>
        <patternFill patternType="solid">
          <bgColor theme="5"/>
        </patternFill>
      </fill>
    </dxf>
    <dxf>
      <font>
        <color theme="2"/>
      </font>
      <fill>
        <patternFill patternType="solid">
          <bgColor theme="2" tint="-0.249977111117893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249977111117893"/>
      </font>
      <fill>
        <patternFill patternType="solid">
          <bgColor theme="2"/>
        </patternFill>
      </fill>
    </dxf>
    <dxf>
      <font>
        <color theme="7"/>
      </font>
    </dxf>
    <dxf>
      <font>
        <color theme="8"/>
      </font>
      <fill>
        <patternFill patternType="solid">
          <bgColor theme="8" tint="0.79998168889431442"/>
        </patternFill>
      </fill>
    </dxf>
    <dxf>
      <font>
        <color theme="7"/>
      </font>
      <fill>
        <patternFill patternType="solid"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249977111117893"/>
      </font>
      <fill>
        <patternFill patternType="solid">
          <bgColor theme="2"/>
        </patternFill>
      </fill>
    </dxf>
    <dxf>
      <font>
        <color theme="7"/>
      </font>
    </dxf>
    <dxf>
      <font>
        <color theme="8"/>
      </font>
      <fill>
        <patternFill patternType="solid">
          <bgColor theme="8" tint="0.79998168889431442"/>
        </patternFill>
      </fill>
    </dxf>
    <dxf>
      <font>
        <color theme="7"/>
      </font>
      <fill>
        <patternFill patternType="solid">
          <bgColor theme="7" tint="0.79998168889431442"/>
        </patternFill>
      </fill>
    </dxf>
  </dxfs>
  <tableStyles count="0" defaultTableStyle="TableStyleMedium2" defaultPivotStyle="PivotStyleMedium9"/>
  <colors>
    <mruColors>
      <color rgb="FF03B0D3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F5D8B-3087-434E-A013-1EC252514A6D}" name="Table1" displayName="Table1" ref="A1:IX170" totalsRowShown="0" headerRowDxfId="533" dataDxfId="534" headerRowBorderDxfId="793" tableBorderDxfId="794" totalsRowBorderDxfId="792">
  <autoFilter ref="A1:IX170" xr:uid="{C47F5D8B-3087-434E-A013-1EC252514A6D}"/>
  <tableColumns count="258">
    <tableColumn id="1" xr3:uid="{96438B3F-0B60-46F3-AC9D-FBBFE52EA0EE}" name="ITEM CODE" dataDxfId="532"/>
    <tableColumn id="2" xr3:uid="{6A562924-C206-4AC6-A737-05610DD386FD}" name="ITEM NAME" dataDxfId="791"/>
    <tableColumn id="3" xr3:uid="{FDA4524F-42C0-475F-BADB-E38F443E1703}" name="TYPE" dataDxfId="790"/>
    <tableColumn id="4" xr3:uid="{F5B4F237-C0D6-4898-B787-7712C7B2FD64}" name="BODY PART" dataDxfId="789"/>
    <tableColumn id="5" xr3:uid="{182FC529-0A77-40CF-9FBB-17A289F1AE34}" name="DESCRIPTION" dataDxfId="788"/>
    <tableColumn id="6" xr3:uid="{16F0F53B-892A-42EF-85EB-7C4E7CB9678B}" name="MANUFACTURER" dataDxfId="787"/>
    <tableColumn id="7" xr3:uid="{FC7B001F-0314-4187-8BD3-D37AB024FF32}" name="STATUS" dataDxfId="786"/>
    <tableColumn id="8" xr3:uid="{004F101C-BCFF-46F7-8637-3AD790ACECB9}" name="LOT NO." dataDxfId="785"/>
    <tableColumn id="9" xr3:uid="{3384E46B-F57A-47CC-AA62-96B76720FC93}" name="EXP. DATE" dataDxfId="784"/>
    <tableColumn id="10" xr3:uid="{FB909365-1190-4774-BC92-5D6F1B2E7F48}" name="REMAINING QTY" dataDxfId="783">
      <calculatedColumnFormula>K2-L2</calculatedColumnFormula>
    </tableColumn>
    <tableColumn id="11" xr3:uid="{D7B80BF2-582B-4301-B14B-BB23BBBE7E20}" name="INPUT QTY" dataDxfId="782"/>
    <tableColumn id="12" xr3:uid="{4C88C0AD-76E8-4F33-9818-AEFACD6CE2A4}" name="OUT" dataDxfId="781">
      <calculatedColumnFormula>SUM(N2:IX2)</calculatedColumnFormula>
    </tableColumn>
    <tableColumn id="13" xr3:uid="{4676F07D-F1F3-4835-A7FB-7F54DC28D963}" name="TOTAL" dataDxfId="780">
      <calculatedColumnFormula>SUM(J2)</calculatedColumnFormula>
    </tableColumn>
    <tableColumn id="14" xr3:uid="{705701DA-9E1A-4B57-942D-F633ACF120BD}" name="01-May" dataDxfId="779"/>
    <tableColumn id="15" xr3:uid="{481E71F1-E781-4685-93D1-CF6ED47A6C8C}" name="02-May" dataDxfId="778"/>
    <tableColumn id="16" xr3:uid="{B7B83DD8-F707-4688-980B-CA3BF57189EE}" name="03-May" dataDxfId="777"/>
    <tableColumn id="17" xr3:uid="{449E7CC2-ACB3-4C5A-9DE9-F44268C6161B}" name="04-May" dataDxfId="776"/>
    <tableColumn id="18" xr3:uid="{9C7727E4-DCFB-4B0F-885F-B46E9309202B}" name="05-May" dataDxfId="775"/>
    <tableColumn id="19" xr3:uid="{6724294B-A521-4CDE-9C38-2E69B410FACB}" name="06-May" dataDxfId="774"/>
    <tableColumn id="20" xr3:uid="{DCFC6878-8812-41BA-9DCA-407B8532ADFB}" name="07-May" dataDxfId="773"/>
    <tableColumn id="21" xr3:uid="{F1B4344F-484A-4944-B67D-0FDA7263F9A2}" name="08-May" dataDxfId="772"/>
    <tableColumn id="22" xr3:uid="{3F49537D-B4C5-4240-84E1-986B7F9C79DE}" name="09-May" dataDxfId="771"/>
    <tableColumn id="23" xr3:uid="{75F0C037-13F9-4402-8934-A336C75FF0D5}" name="10-May" dataDxfId="770"/>
    <tableColumn id="24" xr3:uid="{D037A136-2466-4F24-A660-EBA47E6A57EB}" name="11-May" dataDxfId="769"/>
    <tableColumn id="25" xr3:uid="{E4F2C7A2-1494-470B-85B0-6BD850E86B5B}" name="12-May" dataDxfId="768"/>
    <tableColumn id="26" xr3:uid="{CD268C3B-C944-4533-8A20-5A9F65F568AD}" name="13-May" dataDxfId="767"/>
    <tableColumn id="27" xr3:uid="{72FC5AC8-EA57-4F37-928D-C4B64A5D73DC}" name="14-May" dataDxfId="766"/>
    <tableColumn id="28" xr3:uid="{E53CBD86-5E65-4B7D-9823-3A5351F0E29C}" name="15-May" dataDxfId="765"/>
    <tableColumn id="29" xr3:uid="{CC9EB268-5426-49C9-B841-D801A4C01BEE}" name="16-May" dataDxfId="764"/>
    <tableColumn id="30" xr3:uid="{FB428765-484B-4449-8213-2238C11AD8B4}" name="17-May" dataDxfId="763"/>
    <tableColumn id="31" xr3:uid="{F32523A1-D9FA-4BB1-9784-CBE12157F43C}" name="18-May" dataDxfId="762"/>
    <tableColumn id="32" xr3:uid="{4CB85C20-A361-4453-B578-A15E32EDACE3}" name="19-May" dataDxfId="761"/>
    <tableColumn id="33" xr3:uid="{1E2FC96B-26AF-4309-9B82-D647574EFA1C}" name="20-May" dataDxfId="760"/>
    <tableColumn id="34" xr3:uid="{DFC1E192-8BD9-4005-9D9E-0FB90B0D4A09}" name="21-May" dataDxfId="759"/>
    <tableColumn id="35" xr3:uid="{D3AAAD26-4FB4-4712-83D2-AAC81532CB03}" name="22-May" dataDxfId="758"/>
    <tableColumn id="36" xr3:uid="{C7AC1D81-7C7E-4C8C-999B-5E6155B52DAD}" name="23-May" dataDxfId="757"/>
    <tableColumn id="37" xr3:uid="{2A3677A5-114D-41CB-A29E-98E1F514F42C}" name="24-May" dataDxfId="756"/>
    <tableColumn id="38" xr3:uid="{6DB85E68-7D8B-4E28-AFAC-4A87A42840EE}" name="25-May" dataDxfId="755"/>
    <tableColumn id="39" xr3:uid="{7C0770B1-1E59-48AF-A8EA-DA6CA8D2C502}" name="26-May" dataDxfId="754"/>
    <tableColumn id="40" xr3:uid="{6E760A6D-CC25-4C35-9F4F-5C27946441A2}" name="27-May" dataDxfId="753"/>
    <tableColumn id="41" xr3:uid="{6654836F-EF64-4830-B330-3C4456BC3FED}" name="28-May" dataDxfId="752"/>
    <tableColumn id="42" xr3:uid="{B0A300DB-CB5B-479A-BF20-4C6E8C8614DB}" name="29-May" dataDxfId="751"/>
    <tableColumn id="43" xr3:uid="{46485090-384D-446D-82FC-ADD21E62AA37}" name="30-May" dataDxfId="750"/>
    <tableColumn id="44" xr3:uid="{84953046-B0FD-45DC-8BC1-2512A6FEAA13}" name="31-May" dataDxfId="749"/>
    <tableColumn id="45" xr3:uid="{A240A474-D4CC-46A7-B57F-F1E893ADA93F}" name="01-Jun" dataDxfId="748"/>
    <tableColumn id="46" xr3:uid="{3181A04E-C85D-4727-92A0-DB3FF195D4AA}" name="02-Jun" dataDxfId="747"/>
    <tableColumn id="47" xr3:uid="{FEFEA461-1A09-4DC9-B406-FDF3C9BCA60A}" name="03-Jun" dataDxfId="746"/>
    <tableColumn id="48" xr3:uid="{41D9FCE7-DAC0-4C36-B129-9A4C9E85E96B}" name="04-Jun" dataDxfId="745"/>
    <tableColumn id="49" xr3:uid="{98C3A43F-392B-4B3D-8458-A01EDCFE271F}" name="05-Jun" dataDxfId="744"/>
    <tableColumn id="50" xr3:uid="{7B7A0CBB-CEE6-446C-B5CA-CE198AA9882F}" name="06-Jun" dataDxfId="743"/>
    <tableColumn id="51" xr3:uid="{978459AE-CE4B-4D03-8A4B-3ABEB2591AEC}" name="07-Jun" dataDxfId="742"/>
    <tableColumn id="52" xr3:uid="{6759E704-EB3E-49BF-BE87-0F087345FE30}" name="08-Jun" dataDxfId="741"/>
    <tableColumn id="53" xr3:uid="{82F7CCBF-4A4A-495C-BFE0-9B6CCF4BD4D7}" name="09-Jun" dataDxfId="740"/>
    <tableColumn id="54" xr3:uid="{42A5081B-A2BA-4493-AF0F-705194D68413}" name="10-Jun" dataDxfId="739"/>
    <tableColumn id="55" xr3:uid="{EF45870F-E99D-4FB5-8F7F-02FB5BF26609}" name="11-Jun" dataDxfId="738"/>
    <tableColumn id="56" xr3:uid="{1DDB57D0-2CAD-40AA-B3DA-A1E87D0DD5A9}" name="12-Jun" dataDxfId="737"/>
    <tableColumn id="57" xr3:uid="{A124A3CA-5189-4549-B09D-F51421AE176D}" name="13-Jun" dataDxfId="736"/>
    <tableColumn id="58" xr3:uid="{688ACE89-5620-4954-9369-1E6BD3F45812}" name="14-Jun" dataDxfId="735"/>
    <tableColumn id="59" xr3:uid="{7F4B875C-AF2C-4EF8-9844-E0F14E2A4A26}" name="15-Jun" dataDxfId="734"/>
    <tableColumn id="60" xr3:uid="{66BEA327-99A9-4D5D-93E8-1AFBD38B7B16}" name="16-Jun" dataDxfId="733"/>
    <tableColumn id="61" xr3:uid="{ABD2FF3D-E30E-48B8-9AC9-783DB4F64D3D}" name="17-Jun" dataDxfId="732"/>
    <tableColumn id="62" xr3:uid="{2828F857-7DFC-4AD1-9ECA-E4E2F3CC3984}" name="18-Jun" dataDxfId="731"/>
    <tableColumn id="63" xr3:uid="{1CFA29F1-2DE9-4D53-AC42-E366985D8171}" name="19-Jun" dataDxfId="730"/>
    <tableColumn id="64" xr3:uid="{84F548E7-0ADE-49D0-AE79-9BDE2ACE6A4E}" name="20-Jun" dataDxfId="729"/>
    <tableColumn id="65" xr3:uid="{EE41F54C-5852-459E-B13F-72F47C1F12D8}" name="21-Jun" dataDxfId="728"/>
    <tableColumn id="66" xr3:uid="{7F3AB6B8-EF23-422E-BD38-56140BF989E1}" name="22-Jun" dataDxfId="727"/>
    <tableColumn id="67" xr3:uid="{10175344-E211-4215-A81C-DC43AAD42215}" name="23-Jun" dataDxfId="726"/>
    <tableColumn id="68" xr3:uid="{C7C3EB0D-F28F-41A9-9B0E-87511EB4DFBE}" name="24-Jun" dataDxfId="725"/>
    <tableColumn id="69" xr3:uid="{67B66A73-AD20-48CF-924C-84C59BA75FA5}" name="25-Jun" dataDxfId="724"/>
    <tableColumn id="70" xr3:uid="{09DB370E-ACD7-45B9-AB09-D9C7332B1908}" name="26-Jun" dataDxfId="723"/>
    <tableColumn id="71" xr3:uid="{B425F3C2-9C33-43AC-9ACE-01F8B9C8C0D1}" name="27-Jun" dataDxfId="722"/>
    <tableColumn id="72" xr3:uid="{48966A29-7C05-44F7-9546-E92A728F0FB0}" name="28-Jun" dataDxfId="721"/>
    <tableColumn id="73" xr3:uid="{8FEF9B8F-D00A-406A-8751-83785E24BF76}" name="29-Jun" dataDxfId="720"/>
    <tableColumn id="74" xr3:uid="{9AD11BA1-3F6D-474E-A4D2-FA3455AAF063}" name="30-Jun" dataDxfId="719"/>
    <tableColumn id="75" xr3:uid="{C2E8AE1C-F422-42C1-8DB5-DA495923C16F}" name="01-Jul" dataDxfId="718"/>
    <tableColumn id="76" xr3:uid="{CC0A5EAD-F6E5-43D8-864D-5144A51FF06A}" name="02-Jul" dataDxfId="717"/>
    <tableColumn id="77" xr3:uid="{45CE90AE-7504-4EE9-9FC8-4AF49B65AF27}" name="03-Jul" dataDxfId="716"/>
    <tableColumn id="78" xr3:uid="{E6015CA0-32D6-40C6-8763-EA112A059FDC}" name="04-Jul" dataDxfId="715"/>
    <tableColumn id="79" xr3:uid="{C0404AC8-812F-4DF7-BD27-36780E0C62B9}" name="05-Jul" dataDxfId="714"/>
    <tableColumn id="80" xr3:uid="{768BB930-D49B-4366-92C2-CA5C00CF0DE7}" name="06-Jul" dataDxfId="713"/>
    <tableColumn id="81" xr3:uid="{2904C832-61BB-43BF-A910-3BC013977D05}" name="07-Jul" dataDxfId="712"/>
    <tableColumn id="82" xr3:uid="{ADCBF12D-0906-40C2-9DC5-44778AF82FE2}" name="08-Jul" dataDxfId="711"/>
    <tableColumn id="83" xr3:uid="{29AF5A49-49BE-45B4-96FC-79A5BE08B66D}" name="09-Jul" dataDxfId="710"/>
    <tableColumn id="84" xr3:uid="{CB527B19-C8EA-4F18-AC61-7DE410794C55}" name="10-Jul" dataDxfId="709"/>
    <tableColumn id="85" xr3:uid="{B7C686FF-67DE-43A0-8119-F5C1D3B8433B}" name="11-Jul" dataDxfId="708"/>
    <tableColumn id="86" xr3:uid="{C58C562C-A6CE-4AC3-8876-B50F13AEDDC5}" name="12-Jul" dataDxfId="707"/>
    <tableColumn id="87" xr3:uid="{341CAC7C-1E72-471D-9E19-2A5C1E6A307F}" name="13-Jul" dataDxfId="706"/>
    <tableColumn id="88" xr3:uid="{AF7AFD10-37F1-48D2-B06B-34E0A7BB98CF}" name="14-Jul" dataDxfId="705"/>
    <tableColumn id="89" xr3:uid="{FE0423C6-471C-4B49-A7DE-5E476A869BB9}" name="15-Jul" dataDxfId="704"/>
    <tableColumn id="90" xr3:uid="{B34F8498-A6A0-4A5E-9128-1994A7065ACB}" name="16-Jul" dataDxfId="703"/>
    <tableColumn id="91" xr3:uid="{A82938B0-0D4B-4788-919F-2DC9EDF1D07E}" name="17-Jul" dataDxfId="702"/>
    <tableColumn id="92" xr3:uid="{35035439-AFF8-4D90-A39A-D392460AC07E}" name="18-Jul" dataDxfId="701"/>
    <tableColumn id="93" xr3:uid="{5B73F02B-DCE2-4226-8E27-E6BFA5C1B79E}" name="19-Jul" dataDxfId="700"/>
    <tableColumn id="94" xr3:uid="{45DAF695-21A4-49E4-9A87-3AA5C3DDC220}" name="20-Jul" dataDxfId="699"/>
    <tableColumn id="95" xr3:uid="{4B49A78F-B4B2-469D-88AD-979EEDED31DB}" name="21-Jul" dataDxfId="698"/>
    <tableColumn id="96" xr3:uid="{8EFD4F79-C61A-4FE7-B530-8305374D5604}" name="22-Jul" dataDxfId="697"/>
    <tableColumn id="97" xr3:uid="{9E040700-1985-4E7E-BBED-2D8D13C1499F}" name="23-Jul" dataDxfId="696"/>
    <tableColumn id="98" xr3:uid="{8747D40D-BF0F-465B-B486-7F000A531D18}" name="24-Jul" dataDxfId="695"/>
    <tableColumn id="99" xr3:uid="{197EE58F-2FBA-477C-8CEA-DD679965E6FD}" name="25-Jul" dataDxfId="694"/>
    <tableColumn id="100" xr3:uid="{97E15839-ABD0-4B77-B9A2-B323E2267804}" name="26-Jul" dataDxfId="693"/>
    <tableColumn id="101" xr3:uid="{47CCFD88-B990-4BEC-BCAE-D7A8C3D1430A}" name="27-Jul" dataDxfId="692"/>
    <tableColumn id="102" xr3:uid="{32B0B722-081D-4067-B139-0D304ECD4CB5}" name="28-Jul" dataDxfId="691"/>
    <tableColumn id="103" xr3:uid="{D644973B-7616-4444-8820-668166119D63}" name="29-Jul" dataDxfId="690"/>
    <tableColumn id="104" xr3:uid="{CB7561C2-AEF8-47AC-9CF4-67CB53A1BEED}" name="30-Jul" dataDxfId="689"/>
    <tableColumn id="105" xr3:uid="{E62AB24D-975A-4BFD-8492-2BCF661CB619}" name="31-Jul" dataDxfId="688"/>
    <tableColumn id="106" xr3:uid="{036B6476-8E8D-4D23-84C9-DC4E366C704D}" name="01-Aug" dataDxfId="687"/>
    <tableColumn id="107" xr3:uid="{273990DC-BB2C-4AD6-83BE-5C0BCF846DD0}" name="02-Aug" dataDxfId="686"/>
    <tableColumn id="108" xr3:uid="{62049142-9BE7-437B-8442-8817F910510F}" name="03-Aug" dataDxfId="685"/>
    <tableColumn id="109" xr3:uid="{DF8CB2AB-990B-4CB2-84EF-5122B04282CB}" name="04-Aug" dataDxfId="684"/>
    <tableColumn id="110" xr3:uid="{D17B0884-5F99-4E4F-A27B-C7B0245A840C}" name="05-Aug" dataDxfId="683"/>
    <tableColumn id="111" xr3:uid="{0564F77D-429C-4ECC-87C7-0E8D1A87238F}" name="06-Aug" dataDxfId="682"/>
    <tableColumn id="112" xr3:uid="{E1A31326-D754-4191-9A42-461A7F1ED982}" name="07-Aug" dataDxfId="681"/>
    <tableColumn id="113" xr3:uid="{2A9F50D3-3D78-466F-A38F-5B2EBB63FCB5}" name="08-Aug" dataDxfId="680"/>
    <tableColumn id="114" xr3:uid="{276237CC-4EFE-42EF-89F8-5F610F5910D6}" name="09-Aug" dataDxfId="679"/>
    <tableColumn id="115" xr3:uid="{E68D7868-84E5-4CA0-8B8C-988A6B4BA796}" name="10-Aug" dataDxfId="678"/>
    <tableColumn id="116" xr3:uid="{0034B404-4CEA-4D8F-B006-12B23876E354}" name="11-Aug" dataDxfId="677"/>
    <tableColumn id="117" xr3:uid="{6710A737-81F3-43AE-B05C-1DB588B81162}" name="12-Aug" dataDxfId="676"/>
    <tableColumn id="118" xr3:uid="{CEF5718A-9875-4BDF-ABC5-D8E6F53FA49A}" name="13-Aug" dataDxfId="675"/>
    <tableColumn id="119" xr3:uid="{0447DC17-0457-45C8-A20B-F6999B481AA8}" name="14-Aug" dataDxfId="674"/>
    <tableColumn id="120" xr3:uid="{64C7E27F-773B-4BDB-A9DF-4AB247960EB4}" name="15-Aug" dataDxfId="673"/>
    <tableColumn id="121" xr3:uid="{B112469E-7BF6-4409-ACC2-6486CC4F12A9}" name="16-Aug" dataDxfId="672"/>
    <tableColumn id="122" xr3:uid="{D18B95CB-0259-466F-8F0C-DEDACD17CE97}" name="17-Aug" dataDxfId="671"/>
    <tableColumn id="123" xr3:uid="{E5587215-BA5B-45C8-9FD8-F15B06D92323}" name="18-Aug" dataDxfId="670"/>
    <tableColumn id="124" xr3:uid="{A6BE6E4A-EF86-40EA-A6C3-983EB9A7E496}" name="19-Aug" dataDxfId="669"/>
    <tableColumn id="125" xr3:uid="{10E7F029-CBCF-469A-AB71-7B8DCB125F52}" name="20-Aug" dataDxfId="668"/>
    <tableColumn id="126" xr3:uid="{36B1C951-28C8-441A-826E-7F6D1DC11E16}" name="21-Aug" dataDxfId="667"/>
    <tableColumn id="127" xr3:uid="{74F969B6-ADC0-4D74-8A36-CB09DB0465DE}" name="22-Aug" dataDxfId="666"/>
    <tableColumn id="128" xr3:uid="{7C5A315A-6393-4503-B24E-D6A7AC3A0138}" name="23-Aug" dataDxfId="665"/>
    <tableColumn id="129" xr3:uid="{1C4328DD-0DDC-4984-9415-4A2B7287BFDE}" name="24-Aug" dataDxfId="664"/>
    <tableColumn id="130" xr3:uid="{C46B3F61-A39E-4ABC-9BF7-717F099575A9}" name="25-Aug" dataDxfId="663"/>
    <tableColumn id="131" xr3:uid="{A882F73D-1DF8-46EA-B1F9-5349D0E5A4AC}" name="26-Aug" dataDxfId="662"/>
    <tableColumn id="132" xr3:uid="{DD778485-9123-445E-A96C-523CBD7C6D98}" name="27-Aug" dataDxfId="661"/>
    <tableColumn id="133" xr3:uid="{61993BC2-ABA5-4301-BFBE-44F20FB12AF5}" name="28-Aug" dataDxfId="660"/>
    <tableColumn id="134" xr3:uid="{9DAFFE98-5EF7-4F39-9CB6-6A4848B0965B}" name="29-Aug" dataDxfId="659"/>
    <tableColumn id="135" xr3:uid="{7E4AF2B4-33DA-4F3E-9AF8-7D6E031093D6}" name="30-Aug" dataDxfId="658"/>
    <tableColumn id="136" xr3:uid="{288D6817-6B02-4D5F-943E-44876DE55CE9}" name="31-Aug" dataDxfId="657"/>
    <tableColumn id="137" xr3:uid="{81D72503-B9D4-4B69-AEC2-EB407D391AF0}" name="01-Sep" dataDxfId="656"/>
    <tableColumn id="138" xr3:uid="{90E92F3C-F13D-4FF6-9374-F850959C040E}" name="02-Sep" dataDxfId="655"/>
    <tableColumn id="139" xr3:uid="{FA0450C3-8439-4EE4-9193-99974D60AB36}" name="03-Sep" dataDxfId="654"/>
    <tableColumn id="140" xr3:uid="{C15BF57D-A18E-4FBC-8011-09D9D0D7B281}" name="04-Sep" dataDxfId="653"/>
    <tableColumn id="141" xr3:uid="{A9C13948-B8FE-4BD9-BCC5-F1DF139F4F02}" name="05-Sep" dataDxfId="652"/>
    <tableColumn id="142" xr3:uid="{255743FB-4AFA-4AA4-B7AE-ED840500B0ED}" name="06-Sep" dataDxfId="651"/>
    <tableColumn id="143" xr3:uid="{7AF23E8A-9560-45E5-B4D8-02821B1E2DC5}" name="07-Sep" dataDxfId="650"/>
    <tableColumn id="144" xr3:uid="{F8F31ACE-268E-49DF-9C3D-15B7FB591410}" name="08-Sep" dataDxfId="649"/>
    <tableColumn id="145" xr3:uid="{F57A7ADD-20F9-4A4D-903A-001962683C36}" name="09-Sep" dataDxfId="648"/>
    <tableColumn id="146" xr3:uid="{8E2EAE8C-7DE6-4EB1-9A96-964B6B5232C2}" name="10-Sep" dataDxfId="647"/>
    <tableColumn id="147" xr3:uid="{2FDDEC8E-5C75-44D3-9E3E-38DBF367B5E9}" name="11-Sep" dataDxfId="646"/>
    <tableColumn id="148" xr3:uid="{5FB73EEA-2717-49D5-B347-BB5A8A277DEB}" name="12-Sep" dataDxfId="645"/>
    <tableColumn id="149" xr3:uid="{B3E0FCAC-CB77-4912-9F52-9576088ABB7F}" name="13-Sep" dataDxfId="644"/>
    <tableColumn id="150" xr3:uid="{FEB8272B-1B03-48A5-A1BA-E63FB8DA5419}" name="14-Sep" dataDxfId="643"/>
    <tableColumn id="151" xr3:uid="{3D5CF9EF-E767-4E1C-B07D-8D46BACDF35E}" name="15-Sep" dataDxfId="642"/>
    <tableColumn id="152" xr3:uid="{ED8C87A9-F9AB-4954-95D2-C18D508D8777}" name="16-Sep" dataDxfId="641"/>
    <tableColumn id="153" xr3:uid="{F43B104A-E7E9-4211-AEFE-D156F9BFEAD4}" name="17-Sep" dataDxfId="640"/>
    <tableColumn id="154" xr3:uid="{6D340AD2-59B4-46E4-9031-62F5219BD956}" name="18-Sep" dataDxfId="639"/>
    <tableColumn id="155" xr3:uid="{B52EFF89-CDB6-4B7B-9BFF-EC1571DA02AB}" name="19-Sep" dataDxfId="638"/>
    <tableColumn id="156" xr3:uid="{7914AD41-5E53-4213-9010-BCB916DC0B45}" name="20-Sep" dataDxfId="637"/>
    <tableColumn id="157" xr3:uid="{1D5B4EE9-2EEB-4AA3-AAE9-04487088DECC}" name="21-Sep" dataDxfId="636"/>
    <tableColumn id="158" xr3:uid="{C0FEA5BC-D372-428F-B922-2E6EF44329E6}" name="22-Sep" dataDxfId="635"/>
    <tableColumn id="159" xr3:uid="{FE89E8A3-594C-4B79-A842-CC1D2E004A36}" name="23-Sep" dataDxfId="634"/>
    <tableColumn id="160" xr3:uid="{D12B97C1-E208-4403-A016-42D1B94AFB8A}" name="24-Sep" dataDxfId="633"/>
    <tableColumn id="161" xr3:uid="{5447B8B1-1CBC-45CD-9ADE-CCECF593BACC}" name="25-Sep" dataDxfId="632"/>
    <tableColumn id="162" xr3:uid="{96E04711-6C9C-4ED4-911B-CDEC4822AC97}" name="26-Sep" dataDxfId="631"/>
    <tableColumn id="163" xr3:uid="{570F208B-96B8-4B92-9B81-DE4B7D97DF9E}" name="27-Sep" dataDxfId="630"/>
    <tableColumn id="164" xr3:uid="{09AB7BB7-4C58-4F1A-9F55-9B292BF2B13F}" name="28-Sep" dataDxfId="629"/>
    <tableColumn id="165" xr3:uid="{7DDB5594-3994-44F6-A3C8-3E17AB74B491}" name="29-Sep" dataDxfId="628"/>
    <tableColumn id="166" xr3:uid="{C1BC7BB1-734D-49E1-A137-529E70DDF69F}" name="30-Sep" dataDxfId="627"/>
    <tableColumn id="167" xr3:uid="{221A5842-DA4B-434B-BF5A-78596099F477}" name="01-Oct" dataDxfId="626"/>
    <tableColumn id="168" xr3:uid="{614F7687-11E2-4A59-9B3B-330F79B82ACC}" name="02-Oct" dataDxfId="625"/>
    <tableColumn id="169" xr3:uid="{C940810F-3BCD-4D3E-9DF8-9395E19111CB}" name="03-Oct" dataDxfId="624"/>
    <tableColumn id="170" xr3:uid="{8926AE8E-4221-4C39-A607-5A34D5E59138}" name="04-Oct" dataDxfId="623"/>
    <tableColumn id="171" xr3:uid="{A8198B04-6089-46F5-8FA2-9AD7BB1B2D14}" name="05-Oct" dataDxfId="622"/>
    <tableColumn id="172" xr3:uid="{B6E6CE9D-A0EA-4E67-B14D-6DC9176F7D33}" name="06-Oct" dataDxfId="621"/>
    <tableColumn id="173" xr3:uid="{F672C779-E044-4D12-AABD-92F1EBE0093F}" name="07-Oct" dataDxfId="620"/>
    <tableColumn id="174" xr3:uid="{5EBBB9C1-083E-4E25-AA7D-4D59933E35D9}" name="08-Oct" dataDxfId="619"/>
    <tableColumn id="175" xr3:uid="{DD19DA50-847F-4FC5-83C0-FC6B2EB6939B}" name="09-Oct" dataDxfId="618"/>
    <tableColumn id="176" xr3:uid="{4BBEE3ED-70A5-4DCC-B7BF-87BFF7778EE1}" name="10-Oct" dataDxfId="617"/>
    <tableColumn id="177" xr3:uid="{BBE08A95-3E0B-4EB3-A99D-3CAE12D8D325}" name="11-Oct" dataDxfId="616"/>
    <tableColumn id="178" xr3:uid="{6808BD3D-8BCF-46B7-A0D0-88E9A7615A35}" name="12-Oct" dataDxfId="615"/>
    <tableColumn id="179" xr3:uid="{1AB3BD7B-1BBB-4AE2-AB69-4C7C1609955E}" name="13-Oct" dataDxfId="614"/>
    <tableColumn id="180" xr3:uid="{E885AFF5-B9D1-461E-A0FC-4DAB8986DBE1}" name="14-Oct" dataDxfId="613"/>
    <tableColumn id="181" xr3:uid="{8832844F-FD3F-4592-99EA-3B1433923B00}" name="15-Oct" dataDxfId="612"/>
    <tableColumn id="182" xr3:uid="{72876E1A-BC47-4BE4-8C1E-7E30ABBE1F7D}" name="16-Oct" dataDxfId="611"/>
    <tableColumn id="183" xr3:uid="{BEBEF154-1CB1-4D66-B394-E5FE1FBF7197}" name="17-Oct" dataDxfId="610"/>
    <tableColumn id="184" xr3:uid="{7C8FD29D-835A-44CA-8362-E968CA9B38B1}" name="18-Oct" dataDxfId="609"/>
    <tableColumn id="185" xr3:uid="{C090E5D9-E613-4F87-BD89-AA9EF355BCE3}" name="19-Oct" dataDxfId="608"/>
    <tableColumn id="186" xr3:uid="{CB2F8FBB-0017-497D-9A58-D07826B1E80E}" name="20-Oct" dataDxfId="607"/>
    <tableColumn id="187" xr3:uid="{54DECEAB-5F7C-4731-AF78-6A0B02F15427}" name="21-Oct" dataDxfId="606"/>
    <tableColumn id="188" xr3:uid="{8CE4A0CB-9A0F-4988-879E-FBF236CCFEB3}" name="22-Oct" dataDxfId="605"/>
    <tableColumn id="189" xr3:uid="{0E55B5AD-2D26-4D36-8276-3823FB53624A}" name="23-Oct" dataDxfId="604"/>
    <tableColumn id="190" xr3:uid="{969A65F5-A7F8-47F7-8F6D-BC6795C01216}" name="24-Oct" dataDxfId="603"/>
    <tableColumn id="191" xr3:uid="{DF13F644-5819-491A-86F9-AFB248AE5F35}" name="25-Oct" dataDxfId="602"/>
    <tableColumn id="192" xr3:uid="{D68D945C-B390-45DF-868B-B433114272DF}" name="26-Oct" dataDxfId="601"/>
    <tableColumn id="193" xr3:uid="{A7B09C17-174F-4FC4-95F1-067FDD3C13B9}" name="27-Oct" dataDxfId="600"/>
    <tableColumn id="194" xr3:uid="{11B58E41-55CA-4D93-B9BB-558B4A757134}" name="28-Oct" dataDxfId="599"/>
    <tableColumn id="195" xr3:uid="{4C9596BC-D8CE-4FA6-AB73-125DB143D382}" name="29-Oct" dataDxfId="598"/>
    <tableColumn id="196" xr3:uid="{26F89561-6392-4604-880A-8606CDF132B5}" name="30-Oct" dataDxfId="597"/>
    <tableColumn id="197" xr3:uid="{EE5FFA90-0EC1-4B51-99C7-2202EF654EBD}" name="31-Oct" dataDxfId="596"/>
    <tableColumn id="198" xr3:uid="{11452262-E283-441D-A804-DB0065A66880}" name="01-Nov" dataDxfId="595"/>
    <tableColumn id="199" xr3:uid="{4933FDF9-FADB-4E20-962E-977758A110C3}" name="02-Nov" dataDxfId="594"/>
    <tableColumn id="200" xr3:uid="{2E5E0EC0-3637-41F3-88D7-83E8BD246AA0}" name="03-Nov" dataDxfId="593"/>
    <tableColumn id="201" xr3:uid="{DDDCB543-932C-4C5C-BEB4-E8DF76217CFB}" name="04-Nov" dataDxfId="592"/>
    <tableColumn id="202" xr3:uid="{390DD5F5-3CCE-4CD2-BCCC-5A234FC31756}" name="05-Nov" dataDxfId="591"/>
    <tableColumn id="203" xr3:uid="{D48D3876-AED9-4C4C-A686-66886C34279E}" name="06-Nov" dataDxfId="590"/>
    <tableColumn id="204" xr3:uid="{FF867F87-B8EE-4FC8-8D2F-8B9B8D195D64}" name="07-Nov" dataDxfId="589"/>
    <tableColumn id="205" xr3:uid="{45E0F91F-6C05-4FEE-A921-4A144702829E}" name="08-Nov" dataDxfId="588"/>
    <tableColumn id="206" xr3:uid="{DE88BE21-A0F3-492E-9956-351E2708FA65}" name="09-Nov" dataDxfId="587"/>
    <tableColumn id="207" xr3:uid="{40B9527B-23CB-4631-A26F-8EDFA6D794E8}" name="10-Nov" dataDxfId="586"/>
    <tableColumn id="208" xr3:uid="{E8917CBA-74E9-47CB-9CB7-E275E1BFAAFF}" name="11-Nov" dataDxfId="585"/>
    <tableColumn id="209" xr3:uid="{00960527-AC36-4E4B-B153-544FC1DA5115}" name="12-Nov" dataDxfId="584"/>
    <tableColumn id="210" xr3:uid="{FE45C480-222F-467F-929E-5842E2671F75}" name="13-Nov" dataDxfId="583"/>
    <tableColumn id="211" xr3:uid="{287CA364-B940-41FE-8185-BBE401021671}" name="14-Nov" dataDxfId="582"/>
    <tableColumn id="212" xr3:uid="{5AF57BAD-9F8A-4A5E-9A18-C4E241423334}" name="15-Nov" dataDxfId="581"/>
    <tableColumn id="213" xr3:uid="{37C11661-C472-40FA-BC04-521AF3BE37EB}" name="16-Nov" dataDxfId="580"/>
    <tableColumn id="214" xr3:uid="{D6DA7743-B76E-4FF3-8C2C-605BE4B0918E}" name="17-Nov" dataDxfId="579"/>
    <tableColumn id="215" xr3:uid="{F2CC583C-D87F-4EAE-A866-AEF89F0A0121}" name="18-Nov" dataDxfId="578"/>
    <tableColumn id="216" xr3:uid="{003905E3-0B9B-4968-80F9-6776C7A2E46F}" name="19-Nov" dataDxfId="577"/>
    <tableColumn id="217" xr3:uid="{76E0918B-35A5-4916-835D-FEDA0F3185B3}" name="20-Nov" dataDxfId="576"/>
    <tableColumn id="218" xr3:uid="{E47E78E1-7039-49A9-9913-FE872B01D2E5}" name="21-Nov" dataDxfId="575"/>
    <tableColumn id="219" xr3:uid="{72F2D583-F242-41C4-A257-EF16A29FFAB4}" name="22-Nov" dataDxfId="574"/>
    <tableColumn id="220" xr3:uid="{CACDD6EE-81D5-4C93-A63F-B498CE8854FE}" name="23-Nov" dataDxfId="573"/>
    <tableColumn id="221" xr3:uid="{04E90E6E-4530-4F58-A29A-02D35F98EEC6}" name="24-Nov" dataDxfId="572"/>
    <tableColumn id="222" xr3:uid="{237B7CC3-C8E9-408D-B71A-1A5FB80F6729}" name="25-Nov" dataDxfId="571"/>
    <tableColumn id="223" xr3:uid="{89F33E13-AEE3-466D-B018-C660E8947CC8}" name="26-Nov" dataDxfId="570"/>
    <tableColumn id="224" xr3:uid="{0C89EFC3-0561-4A47-AF34-8BD49055D051}" name="27-Nov" dataDxfId="569"/>
    <tableColumn id="225" xr3:uid="{A23AB9C9-8C43-423A-8AF3-1ECB09A93E1D}" name="28-Nov" dataDxfId="568"/>
    <tableColumn id="226" xr3:uid="{1569549A-A58B-4C82-A643-7492271391FC}" name="29-Nov" dataDxfId="567"/>
    <tableColumn id="227" xr3:uid="{5A2DFC6E-F6A1-4459-9E61-7BE0A0919396}" name="30-Nov" dataDxfId="566"/>
    <tableColumn id="228" xr3:uid="{E87B49A6-E22C-4D00-896B-F431AC2F0589}" name="01-Dec" dataDxfId="565"/>
    <tableColumn id="229" xr3:uid="{161066EF-E776-4E0C-931D-96E7B4E28D4E}" name="02-Dec" dataDxfId="564"/>
    <tableColumn id="230" xr3:uid="{5E72CBD4-15A0-4BDE-9AB5-DD4ADFB3E4A1}" name="03-Dec" dataDxfId="563"/>
    <tableColumn id="231" xr3:uid="{50D8ED8C-E733-4DE9-BE66-89A6C936A39C}" name="04-Dec" dataDxfId="562"/>
    <tableColumn id="232" xr3:uid="{19BB543B-77F3-43E8-9F34-E37ABAABC1BA}" name="05-Dec" dataDxfId="561"/>
    <tableColumn id="233" xr3:uid="{4CEB075B-EEBF-4AF1-857E-E91D54679918}" name="06-Dec" dataDxfId="560"/>
    <tableColumn id="234" xr3:uid="{51709BFE-1342-43AF-887A-5F5B3DADE33B}" name="07-Dec" dataDxfId="559"/>
    <tableColumn id="235" xr3:uid="{4DCBE01C-BFDC-47D3-A264-C61D628979C4}" name="08-Dec" dataDxfId="558"/>
    <tableColumn id="236" xr3:uid="{46FBD64C-F255-49D3-B2CA-C40EBC47EECD}" name="09-Dec" dataDxfId="557"/>
    <tableColumn id="237" xr3:uid="{9AAE4CB4-B627-4279-9EDA-F658828F9235}" name="10-Dec" dataDxfId="556"/>
    <tableColumn id="238" xr3:uid="{65AE12B6-2738-49A6-B8F7-4E1C0BCDA854}" name="11-Dec" dataDxfId="555"/>
    <tableColumn id="239" xr3:uid="{3116E5B0-79CA-4B14-B036-1FF6FD8E3C89}" name="12-Dec" dataDxfId="554"/>
    <tableColumn id="240" xr3:uid="{C7F080E5-8A09-4139-A258-6AB7FFF80D90}" name="13-Dec" dataDxfId="553"/>
    <tableColumn id="241" xr3:uid="{7ACE318B-3C1C-4DF3-98FB-F034A5081837}" name="14-Dec" dataDxfId="552"/>
    <tableColumn id="242" xr3:uid="{28E67DE1-7114-4864-A7B5-C3B61ACE5456}" name="15-Dec" dataDxfId="551"/>
    <tableColumn id="243" xr3:uid="{00EBF2D2-3799-4E9D-8271-B0E7130FFF70}" name="16-Dec" dataDxfId="550"/>
    <tableColumn id="244" xr3:uid="{A56AE034-489C-4D98-B64D-6A63B468AD8A}" name="17-Dec" dataDxfId="549"/>
    <tableColumn id="245" xr3:uid="{FA0E4360-E94A-4EA1-9174-69B11C65602C}" name="18-Dec" dataDxfId="548"/>
    <tableColumn id="246" xr3:uid="{116395E0-71FB-472B-A7FD-7D629070DBB4}" name="19-Dec" dataDxfId="547"/>
    <tableColumn id="247" xr3:uid="{D3517AE9-121F-4C53-A5AF-A23A12E79A8C}" name="20-Dec" dataDxfId="546"/>
    <tableColumn id="248" xr3:uid="{03A00E32-32E7-4E12-84E4-638487AF70F8}" name="21-Dec" dataDxfId="545"/>
    <tableColumn id="249" xr3:uid="{90552A4A-0299-4FE3-9DB9-ACC7F60134B0}" name="22-Dec" dataDxfId="544"/>
    <tableColumn id="250" xr3:uid="{C989A054-D24E-4915-8F70-C2011593B62B}" name="23-Dec" dataDxfId="543"/>
    <tableColumn id="251" xr3:uid="{CC3DEF0B-1EA3-44AB-87B0-8E2656D21DC9}" name="24-Dec" dataDxfId="542"/>
    <tableColumn id="252" xr3:uid="{D1B30539-42D8-44BC-9457-686DB76F3A54}" name="25-Dec" dataDxfId="541"/>
    <tableColumn id="253" xr3:uid="{CAD533E1-7A77-4ABA-87B9-51445A3C03C3}" name="26-Dec" dataDxfId="540"/>
    <tableColumn id="254" xr3:uid="{6B92C253-EDD5-4608-AB40-01E152DD6113}" name="27-Dec" dataDxfId="539"/>
    <tableColumn id="255" xr3:uid="{33547DBC-F173-46D8-BD49-0FEE5BA59720}" name="28-Dec" dataDxfId="538"/>
    <tableColumn id="256" xr3:uid="{8D5517A3-3F22-4097-A11A-6CA87477B86C}" name="29-Dec" dataDxfId="537"/>
    <tableColumn id="257" xr3:uid="{0CA2680D-20B6-452B-A59B-B7CDFB2D6CD9}" name="30-Dec" dataDxfId="536"/>
    <tableColumn id="258" xr3:uid="{B28E7B9A-3E9B-4ABB-8F59-DB3421844CC8}" name="31-Dec" dataDxfId="53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FB5128-B69D-4C8F-A7E4-F1591BBF13BE}" name="Table2" displayName="Table2" ref="A1:IX58" totalsRowShown="0" headerRowDxfId="531" dataDxfId="530">
  <autoFilter ref="A1:IX58" xr:uid="{3EFB5128-B69D-4C8F-A7E4-F1591BBF13BE}"/>
  <tableColumns count="258">
    <tableColumn id="1" xr3:uid="{8512F49D-0A93-4782-AF2A-733A8B91415B}" name="ITEM CODE" dataDxfId="529"/>
    <tableColumn id="2" xr3:uid="{966DF7AA-F187-48B5-921D-FA4DC151A2ED}" name="ITEM NAME" dataDxfId="528"/>
    <tableColumn id="3" xr3:uid="{EF400DF9-D740-436A-8FA1-841AA46DF50F}" name="TYPE" dataDxfId="527"/>
    <tableColumn id="4" xr3:uid="{7ACD8D1C-24AA-4305-836D-DF3854C70AD8}" name="BODY PART" dataDxfId="526"/>
    <tableColumn id="5" xr3:uid="{A556EAE5-DF57-4935-9343-892E0EA8E8EC}" name="DESCRIPTION" dataDxfId="525"/>
    <tableColumn id="6" xr3:uid="{8A38E597-2EFF-430D-B24A-914E5353652C}" name="MANUFACTURER" dataDxfId="524"/>
    <tableColumn id="7" xr3:uid="{BBC7AFD3-F892-41DC-81FE-B8497DB3C8A7}" name="STATUS" dataDxfId="523"/>
    <tableColumn id="8" xr3:uid="{14999D63-EE22-4C77-9C4A-7E0B3C2E2337}" name="LOT NO." dataDxfId="522"/>
    <tableColumn id="9" xr3:uid="{0CFB207D-46F9-4EB8-AC3D-DAA30C4EDA1B}" name="EXP. DATE" dataDxfId="521"/>
    <tableColumn id="10" xr3:uid="{13824CCF-D63C-4F6B-9AB1-3D58A98EFAF9}" name="REMAINING QTY" dataDxfId="520">
      <calculatedColumnFormula>K2-L2</calculatedColumnFormula>
    </tableColumn>
    <tableColumn id="11" xr3:uid="{CA6DCD6C-1E98-478C-8437-07A7280E14D8}" name="INPUT QTY" dataDxfId="519"/>
    <tableColumn id="12" xr3:uid="{4F38A6B4-41CD-43FB-8E81-0674B7A535B4}" name="OUT" dataDxfId="518">
      <calculatedColumnFormula>SUM(N2:IX2)</calculatedColumnFormula>
    </tableColumn>
    <tableColumn id="13" xr3:uid="{2109CF92-B420-459E-8795-486F9D807712}" name="TOTAL" dataDxfId="517">
      <calculatedColumnFormula>SUM(J2)</calculatedColumnFormula>
    </tableColumn>
    <tableColumn id="14" xr3:uid="{7BE6F1CF-7AF3-430A-9CF5-31746DD0CBD6}" name="01-May" dataDxfId="516"/>
    <tableColumn id="15" xr3:uid="{A9485400-58CB-4EB3-AA8D-EF9D27C240DA}" name="02-May" dataDxfId="515"/>
    <tableColumn id="16" xr3:uid="{84BF11CB-5676-47EC-9F60-032BD3F9BBCF}" name="03-May" dataDxfId="514"/>
    <tableColumn id="17" xr3:uid="{FD7BEBB2-1722-4890-BE40-71099A6622C6}" name="04-May" dataDxfId="513"/>
    <tableColumn id="18" xr3:uid="{ABD85E90-B7F7-4A4E-9D7D-F962C3F8DFEF}" name="05-May" dataDxfId="512"/>
    <tableColumn id="19" xr3:uid="{5F82A4E0-BE2E-49E5-97CC-50EF9C53C55E}" name="06-May" dataDxfId="511"/>
    <tableColumn id="20" xr3:uid="{8C39AEE5-B6B5-487B-B2CD-FEC8BCAC41C8}" name="07-May" dataDxfId="510"/>
    <tableColumn id="21" xr3:uid="{D050C0FB-BBD7-4058-86C3-49F559C5DA15}" name="08-May" dataDxfId="509"/>
    <tableColumn id="22" xr3:uid="{37209C7D-F7CE-4C58-94CA-5125A9F63C66}" name="09-May" dataDxfId="508"/>
    <tableColumn id="23" xr3:uid="{EE9D1F32-487B-4909-B381-278A92B78902}" name="10-May" dataDxfId="507"/>
    <tableColumn id="24" xr3:uid="{39671C7A-899D-43F4-9C79-906AC952191C}" name="11-May" dataDxfId="506"/>
    <tableColumn id="25" xr3:uid="{FB44E609-A806-4928-859C-BAD265498916}" name="12-May" dataDxfId="505"/>
    <tableColumn id="26" xr3:uid="{6C774009-4D3C-4A17-A9A6-3721FD7827BF}" name="13-May" dataDxfId="504"/>
    <tableColumn id="27" xr3:uid="{1908DA19-B59C-4401-AB48-785EA5C6DE4A}" name="14-May" dataDxfId="503"/>
    <tableColumn id="28" xr3:uid="{AF2601EF-6FEA-42D1-BDC5-F3BB645837A9}" name="15-May" dataDxfId="502"/>
    <tableColumn id="29" xr3:uid="{41466836-AB68-4F5E-A8B5-1700C9B3DBB7}" name="16-May" dataDxfId="501"/>
    <tableColumn id="30" xr3:uid="{F0F72A74-A226-4919-8EE2-47608AA79AFF}" name="17-May" dataDxfId="500"/>
    <tableColumn id="31" xr3:uid="{5F7899FA-43A1-47F5-A0F8-0CC4CC82D538}" name="18-May" dataDxfId="499"/>
    <tableColumn id="32" xr3:uid="{1A0A39A8-B5FB-436B-953C-AB439BB32037}" name="19-May" dataDxfId="498"/>
    <tableColumn id="33" xr3:uid="{F18B043A-CD8F-49D6-B3D1-D850B2E7F280}" name="20-May" dataDxfId="497"/>
    <tableColumn id="34" xr3:uid="{A8ADC7BD-2145-4F44-A997-0CA4868F5DE4}" name="21-May" dataDxfId="496"/>
    <tableColumn id="35" xr3:uid="{2C941B60-1BB0-48AB-9F57-9820CD24CF0B}" name="22-May" dataDxfId="495"/>
    <tableColumn id="36" xr3:uid="{560E583E-B825-4167-BD66-F83E0EC8A757}" name="23-May" dataDxfId="494"/>
    <tableColumn id="37" xr3:uid="{AE5EE175-661C-481A-BF74-A1AF07B38E47}" name="24-May" dataDxfId="493"/>
    <tableColumn id="38" xr3:uid="{44C24874-6D92-480E-AA20-A43A0D15DDA2}" name="25-May" dataDxfId="492"/>
    <tableColumn id="39" xr3:uid="{B3EF203D-9DB0-4245-A213-CFC03EBFED35}" name="26-May" dataDxfId="491"/>
    <tableColumn id="40" xr3:uid="{5A9209E9-B24F-43E6-96BB-6BB5905D038E}" name="27-May" dataDxfId="490"/>
    <tableColumn id="41" xr3:uid="{640B400A-3641-4181-BAA5-0D0423E98289}" name="28-May" dataDxfId="489"/>
    <tableColumn id="42" xr3:uid="{A5942639-83B3-4A9E-AEE4-5E67AFD9D523}" name="29-May" dataDxfId="488"/>
    <tableColumn id="43" xr3:uid="{8F7B4B17-3654-4508-88F0-08844BE9C241}" name="30-May" dataDxfId="487"/>
    <tableColumn id="44" xr3:uid="{87757402-F163-4D1C-A88A-EF8EBCA59DEC}" name="31-May" dataDxfId="486"/>
    <tableColumn id="45" xr3:uid="{8BA6B1C1-1FED-4D2E-9EAC-8B43653D5B51}" name="01-Jun" dataDxfId="485"/>
    <tableColumn id="46" xr3:uid="{CDA7FDBD-4233-4C39-BBA9-7F35DEAC2145}" name="02-Jun" dataDxfId="484"/>
    <tableColumn id="47" xr3:uid="{73551BDF-A7B6-4536-A607-C1C83FBFEB7F}" name="03-Jun" dataDxfId="483"/>
    <tableColumn id="48" xr3:uid="{4D053389-DFA7-4BC5-BA5F-A9D5F9CBEE95}" name="04-Jun" dataDxfId="482"/>
    <tableColumn id="49" xr3:uid="{79DF0B41-467D-4975-B8D1-A358B9940065}" name="05-Jun" dataDxfId="481"/>
    <tableColumn id="50" xr3:uid="{39F4050F-5BE5-4576-B24C-EF94524C8340}" name="06-Jun" dataDxfId="480"/>
    <tableColumn id="51" xr3:uid="{F82AF797-073D-4EA7-B873-F843FBB6DC97}" name="07-Jun" dataDxfId="479"/>
    <tableColumn id="52" xr3:uid="{0BC87C9C-A555-4510-85B9-4393DF620728}" name="08-Jun" dataDxfId="478"/>
    <tableColumn id="53" xr3:uid="{A0BB2A41-B06A-401F-B231-957E468FE667}" name="09-Jun" dataDxfId="477"/>
    <tableColumn id="54" xr3:uid="{EB660E0C-6C96-421E-9775-861FEE626B60}" name="10-Jun" dataDxfId="476"/>
    <tableColumn id="55" xr3:uid="{0C44C27A-06F2-4CA7-8827-68EC144C88DF}" name="11-Jun" dataDxfId="475"/>
    <tableColumn id="56" xr3:uid="{3A98657C-8F99-4AF7-A287-A62E443C68BD}" name="12-Jun" dataDxfId="474"/>
    <tableColumn id="57" xr3:uid="{533A48BE-3B56-4E9C-BAF5-E58D7BBC2C66}" name="13-Jun" dataDxfId="473"/>
    <tableColumn id="58" xr3:uid="{FAAECA4A-06A3-4A81-98B7-C5961521173C}" name="14-Jun" dataDxfId="472"/>
    <tableColumn id="59" xr3:uid="{1E511A5D-D04F-415F-9F90-1BA814C781A1}" name="15-Jun" dataDxfId="471"/>
    <tableColumn id="60" xr3:uid="{74355055-6E6E-49A6-AB02-CF53FA03856F}" name="16-Jun" dataDxfId="470"/>
    <tableColumn id="61" xr3:uid="{EB9FD789-1BD7-48FD-A528-5C44DE727ADB}" name="17-Jun" dataDxfId="469"/>
    <tableColumn id="62" xr3:uid="{D76E3519-921F-4716-9C84-0EA3BD85240C}" name="18-Jun" dataDxfId="468"/>
    <tableColumn id="63" xr3:uid="{0F9B23AD-B9E9-496D-9EC1-EADF450D68DC}" name="19-Jun" dataDxfId="467"/>
    <tableColumn id="64" xr3:uid="{75A825AD-A873-488D-B8B7-06F133F8432F}" name="20-Jun" dataDxfId="466"/>
    <tableColumn id="65" xr3:uid="{4B146179-4A08-42F4-858B-530F5B3ECFB2}" name="21-Jun" dataDxfId="465"/>
    <tableColumn id="66" xr3:uid="{725F55E6-E9ED-48AD-9106-A8E3E9B18126}" name="22-Jun" dataDxfId="464"/>
    <tableColumn id="67" xr3:uid="{3BB70285-EA90-4450-9324-0D5598CB4EF4}" name="23-Jun" dataDxfId="463"/>
    <tableColumn id="68" xr3:uid="{FD838F63-5309-484A-9BA0-378849734FA1}" name="24-Jun" dataDxfId="462"/>
    <tableColumn id="69" xr3:uid="{F6566AEA-DC5E-47F8-83B2-C586D32F702F}" name="25-Jun" dataDxfId="461"/>
    <tableColumn id="70" xr3:uid="{6A89F3FE-D60A-4B8B-9E2B-A50E37520569}" name="26-Jun" dataDxfId="460"/>
    <tableColumn id="71" xr3:uid="{F25BA964-036B-43D1-84C9-BABC8E6417CD}" name="27-Jun" dataDxfId="459"/>
    <tableColumn id="72" xr3:uid="{4634F7C8-6980-4055-87B1-3E7E797BB04F}" name="28-Jun" dataDxfId="458"/>
    <tableColumn id="73" xr3:uid="{DA38840F-C3DE-4A2B-96AD-CAE8C7BDBA41}" name="29-Jun" dataDxfId="457"/>
    <tableColumn id="74" xr3:uid="{6F8507A9-D6ED-4116-A84F-22F05AF91B36}" name="30-Jun" dataDxfId="456"/>
    <tableColumn id="75" xr3:uid="{7B76E0A1-66C5-4875-92BA-0DDEE5AC0285}" name="01-Jul" dataDxfId="455"/>
    <tableColumn id="76" xr3:uid="{FB116139-EE0A-4A3F-896C-A67870F019D3}" name="02-Jul" dataDxfId="454"/>
    <tableColumn id="77" xr3:uid="{E1C3158F-FD96-4226-B2F5-4354BAC058F6}" name="03-Jul" dataDxfId="453"/>
    <tableColumn id="78" xr3:uid="{9B7FA5FD-7A05-4868-8F3A-6DFC2486B594}" name="04-Jul" dataDxfId="452"/>
    <tableColumn id="79" xr3:uid="{568B22F7-B709-460A-90D2-09097822763D}" name="05-Jul" dataDxfId="451"/>
    <tableColumn id="80" xr3:uid="{8A2E4B4F-AC3A-4DFB-A03A-AFEE8E7B3F72}" name="06-Jul" dataDxfId="450"/>
    <tableColumn id="81" xr3:uid="{C7AC56C7-7CDB-4E62-A4E0-795E4880964B}" name="07-Jul" dataDxfId="449"/>
    <tableColumn id="82" xr3:uid="{7716A711-63C2-4F4B-9F08-0B58C1E88C48}" name="08-Jul" dataDxfId="448"/>
    <tableColumn id="83" xr3:uid="{F4E4332C-370F-4AAD-9831-E5CC2B1E7B74}" name="09-Jul" dataDxfId="447"/>
    <tableColumn id="84" xr3:uid="{5067965D-3E5B-42A6-829A-56D5BDAF5B0B}" name="10-Jul" dataDxfId="446"/>
    <tableColumn id="85" xr3:uid="{91AE6A58-0500-4A47-89AE-680BA48DCDE3}" name="11-Jul" dataDxfId="445"/>
    <tableColumn id="86" xr3:uid="{89C6AC75-30D8-4851-887E-50B4799BA603}" name="12-Jul" dataDxfId="444"/>
    <tableColumn id="87" xr3:uid="{07669294-AE1D-4F1B-8775-1807962CF047}" name="13-Jul" dataDxfId="443"/>
    <tableColumn id="88" xr3:uid="{AFA3629E-7B92-4BDB-BE27-40C518348347}" name="14-Jul" dataDxfId="442"/>
    <tableColumn id="89" xr3:uid="{87692AD5-ACA3-4F2C-B691-EE62E73FA67B}" name="15-Jul" dataDxfId="441"/>
    <tableColumn id="90" xr3:uid="{83E270DE-055C-4D50-A388-727A28D133F6}" name="16-Jul" dataDxfId="440"/>
    <tableColumn id="91" xr3:uid="{B860C52A-1C28-4DED-8FA7-DDEF5F672143}" name="17-Jul" dataDxfId="439"/>
    <tableColumn id="92" xr3:uid="{99738F6B-FC96-4165-A129-EE9AC07D40ED}" name="18-Jul" dataDxfId="438"/>
    <tableColumn id="93" xr3:uid="{3C49DC3D-D459-45DE-A193-29608C8CC056}" name="19-Jul" dataDxfId="437"/>
    <tableColumn id="94" xr3:uid="{B9C58DE9-8CDC-4607-9428-D44599D6BBCC}" name="20-Jul" dataDxfId="436"/>
    <tableColumn id="95" xr3:uid="{1086E7B3-DA16-4D68-801D-4567439AF59F}" name="21-Jul" dataDxfId="435"/>
    <tableColumn id="96" xr3:uid="{7EDEAE68-EC4A-45F5-9C3A-07C65AEEAA00}" name="22-Jul" dataDxfId="434"/>
    <tableColumn id="97" xr3:uid="{3EED359A-9FFC-429C-A1F6-D866D3141A1E}" name="23-Jul" dataDxfId="433"/>
    <tableColumn id="98" xr3:uid="{27DD690B-1DF1-45B4-B280-F7DD6E5020B9}" name="24-Jul" dataDxfId="432"/>
    <tableColumn id="99" xr3:uid="{F6132A53-ADC6-42B3-99EE-D6F56C5B0DF7}" name="25-Jul" dataDxfId="431"/>
    <tableColumn id="100" xr3:uid="{2478F7D9-4134-4B2A-BD71-613018CEF867}" name="26-Jul" dataDxfId="430"/>
    <tableColumn id="101" xr3:uid="{AAA330BB-75CE-488F-B71A-54CC171D1965}" name="27-Jul" dataDxfId="429"/>
    <tableColumn id="102" xr3:uid="{0667ABBB-8D7F-4D74-A075-E29443F043B4}" name="28-Jul" dataDxfId="428"/>
    <tableColumn id="103" xr3:uid="{C2D88A1D-EB28-4C7E-80C3-7424ADB80E7A}" name="29-Jul" dataDxfId="427"/>
    <tableColumn id="104" xr3:uid="{68F18E63-2039-434E-8184-06C80D7686CD}" name="30-Jul" dataDxfId="426"/>
    <tableColumn id="105" xr3:uid="{D487AE5A-CF82-4BF7-9FC2-38E8FA01CA72}" name="31-Jul" dataDxfId="425"/>
    <tableColumn id="106" xr3:uid="{61E49A56-419C-4B97-B56E-3C9D2CF267EB}" name="01-Aug" dataDxfId="424"/>
    <tableColumn id="107" xr3:uid="{0BB095FB-8F81-4745-8133-8C2D02A35DB0}" name="02-Aug" dataDxfId="423"/>
    <tableColumn id="108" xr3:uid="{299D53F4-CE04-4055-8D23-8AF82FC802C6}" name="03-Aug" dataDxfId="422"/>
    <tableColumn id="109" xr3:uid="{94CF097A-76B3-4A8A-8A05-5EBE00AD2168}" name="04-Aug" dataDxfId="421"/>
    <tableColumn id="110" xr3:uid="{F0CF0B80-7D14-4AD5-80F7-F21EF4EA946F}" name="05-Aug" dataDxfId="420"/>
    <tableColumn id="111" xr3:uid="{BF70B5A6-DE9A-475F-A610-EA6F4406CCF8}" name="06-Aug" dataDxfId="419"/>
    <tableColumn id="112" xr3:uid="{41C2EDE7-7C6E-4145-B70A-BB634BECF50C}" name="07-Aug" dataDxfId="418"/>
    <tableColumn id="113" xr3:uid="{50973E2A-3C0F-477D-9900-1F82CACD0A9B}" name="08-Aug" dataDxfId="417"/>
    <tableColumn id="114" xr3:uid="{899EA142-6A9C-4D8B-9EE9-D1E2356BC6AC}" name="09-Aug" dataDxfId="416"/>
    <tableColumn id="115" xr3:uid="{5389B254-5B3F-42D2-A112-1018314AEE13}" name="10-Aug" dataDxfId="415"/>
    <tableColumn id="116" xr3:uid="{3BCC48ED-7047-4973-A038-4EE2BED0FE61}" name="11-Aug" dataDxfId="414"/>
    <tableColumn id="117" xr3:uid="{496FB0FB-C668-4643-8616-1821EB61AE58}" name="12-Aug" dataDxfId="413"/>
    <tableColumn id="118" xr3:uid="{DDF1AEB0-67A5-4FE4-B524-4423F88B8A51}" name="13-Aug" dataDxfId="412"/>
    <tableColumn id="119" xr3:uid="{5FD7F373-C50F-4C1D-B6D4-B082F7C89D26}" name="14-Aug" dataDxfId="411"/>
    <tableColumn id="120" xr3:uid="{E791B438-01B3-4A1E-897E-3359F0BEC37E}" name="15-Aug" dataDxfId="410"/>
    <tableColumn id="121" xr3:uid="{71015A63-AB0B-4DBC-AAC7-888880662D4C}" name="16-Aug" dataDxfId="409"/>
    <tableColumn id="122" xr3:uid="{E07CC25F-D313-4F39-ADCA-FF66CDC8B9CD}" name="17-Aug" dataDxfId="408"/>
    <tableColumn id="123" xr3:uid="{4B538D24-2E5C-4BB7-8E4F-79971530D158}" name="18-Aug" dataDxfId="407"/>
    <tableColumn id="124" xr3:uid="{3F908C3F-7E1B-4945-A210-990D2F45972B}" name="19-Aug" dataDxfId="406"/>
    <tableColumn id="125" xr3:uid="{244813ED-FB17-4C41-B094-C07A115B021F}" name="20-Aug" dataDxfId="405"/>
    <tableColumn id="126" xr3:uid="{B2F1AAC5-8C3A-4E32-9A9C-6C0283F50AA4}" name="21-Aug" dataDxfId="404"/>
    <tableColumn id="127" xr3:uid="{319509C8-DE91-4805-8629-D52BEB86736A}" name="22-Aug" dataDxfId="403"/>
    <tableColumn id="128" xr3:uid="{B5C593F1-FD13-4B9D-87AD-CF81F04BDBB7}" name="23-Aug" dataDxfId="402"/>
    <tableColumn id="129" xr3:uid="{495C01CB-35A5-4CED-A94A-6A1CBDCD87A6}" name="24-Aug" dataDxfId="401"/>
    <tableColumn id="130" xr3:uid="{0EE2D97F-F400-4364-8646-33ED5E752643}" name="25-Aug" dataDxfId="400"/>
    <tableColumn id="131" xr3:uid="{FC5126EC-F72B-414B-93DF-4B9DF29E7297}" name="26-Aug" dataDxfId="399"/>
    <tableColumn id="132" xr3:uid="{56F1FEE4-16A7-449A-BF1B-BFE5E858274D}" name="27-Aug" dataDxfId="398"/>
    <tableColumn id="133" xr3:uid="{2806B6A3-6678-4A79-A159-4E383C7DF605}" name="28-Aug" dataDxfId="397"/>
    <tableColumn id="134" xr3:uid="{0341CEDF-3605-4FEC-BC3F-4DD0E1EA76FC}" name="29-Aug" dataDxfId="396"/>
    <tableColumn id="135" xr3:uid="{71FF0FC5-6082-4E81-BC00-AA66B992A6E2}" name="30-Aug" dataDxfId="395"/>
    <tableColumn id="136" xr3:uid="{3DA34576-6E42-453A-A86B-EE4AB95A4E7C}" name="31-Aug" dataDxfId="394"/>
    <tableColumn id="137" xr3:uid="{B7806B41-67D1-4B89-ADEA-EB0D1A87D1FD}" name="01-Sep" dataDxfId="393"/>
    <tableColumn id="138" xr3:uid="{2EBDF3A3-C0AC-4819-B5E4-5F1140AC0041}" name="02-Sep" dataDxfId="392"/>
    <tableColumn id="139" xr3:uid="{90CFF46B-7FE0-4E2D-B318-B23C70BFD637}" name="03-Sep" dataDxfId="391"/>
    <tableColumn id="140" xr3:uid="{670DC3D5-F6DD-42A7-8BE7-4A4454EE4798}" name="04-Sep" dataDxfId="390"/>
    <tableColumn id="141" xr3:uid="{831CA54B-D5B6-4B06-8A65-5114BB91F462}" name="05-Sep" dataDxfId="389"/>
    <tableColumn id="142" xr3:uid="{044294AA-E7EF-4D60-8856-F19F1D988086}" name="06-Sep" dataDxfId="388"/>
    <tableColumn id="143" xr3:uid="{65A62686-4B97-4D27-AD9E-7A8DFB8F6CFE}" name="07-Sep" dataDxfId="387"/>
    <tableColumn id="144" xr3:uid="{50B1FEA7-15B6-4299-8EAD-E4E7E53071BA}" name="08-Sep" dataDxfId="386"/>
    <tableColumn id="145" xr3:uid="{A5240872-A4D4-43F3-A585-2D4DA4A82613}" name="09-Sep" dataDxfId="385"/>
    <tableColumn id="146" xr3:uid="{571881B0-64AD-4573-B48E-22C08B430F37}" name="10-Sep" dataDxfId="384"/>
    <tableColumn id="147" xr3:uid="{B14D9FF9-432D-420A-B2AB-0211923A00D2}" name="11-Sep" dataDxfId="383"/>
    <tableColumn id="148" xr3:uid="{791C2EAF-4B3A-4CD6-84A7-0FF79697AE96}" name="12-Sep" dataDxfId="382"/>
    <tableColumn id="149" xr3:uid="{0972D919-1CBC-42F1-915C-41225878B878}" name="13-Sep" dataDxfId="381"/>
    <tableColumn id="150" xr3:uid="{3D7293E2-607A-4284-8AF5-71C3BB938CFC}" name="14-Sep" dataDxfId="380"/>
    <tableColumn id="151" xr3:uid="{343DAB0F-BD0E-4DAB-96B8-89EF65D19DA3}" name="15-Sep" dataDxfId="379"/>
    <tableColumn id="152" xr3:uid="{60849B35-37C0-49F5-A139-D32214C2ADC4}" name="16-Sep" dataDxfId="378"/>
    <tableColumn id="153" xr3:uid="{C4CFE44D-D8F8-4366-8B80-AB0049A787AC}" name="17-Sep" dataDxfId="377"/>
    <tableColumn id="154" xr3:uid="{8CA4A770-3DE1-4A52-B965-0568EE62EEBA}" name="18-Sep" dataDxfId="376"/>
    <tableColumn id="155" xr3:uid="{BBA82495-FFC0-4A1A-A90D-33CF4799B002}" name="19-Sep" dataDxfId="375"/>
    <tableColumn id="156" xr3:uid="{27678B42-5970-439C-905D-D4BE9305A397}" name="20-Sep" dataDxfId="374"/>
    <tableColumn id="157" xr3:uid="{6190B6CD-77C6-498D-AFB6-6C9F1AB300A0}" name="21-Sep" dataDxfId="373"/>
    <tableColumn id="158" xr3:uid="{0AFC411A-310B-4604-9DCF-6FEF261B7886}" name="22-Sep" dataDxfId="372"/>
    <tableColumn id="159" xr3:uid="{80E80C02-24D7-4C8D-95A5-29A82DAF5267}" name="23-Sep" dataDxfId="371"/>
    <tableColumn id="160" xr3:uid="{FFF45C41-E7FD-45BE-9774-E08DC5A589A5}" name="24-Sep" dataDxfId="370"/>
    <tableColumn id="161" xr3:uid="{C0195BBE-756A-46B8-89FD-A568F04B1A4F}" name="25-Sep" dataDxfId="369"/>
    <tableColumn id="162" xr3:uid="{5EDCE58A-C2C3-49E6-B064-50203CEBA455}" name="26-Sep" dataDxfId="368"/>
    <tableColumn id="163" xr3:uid="{2D711184-17FD-4921-AA03-3E5934D0BDC6}" name="27-Sep" dataDxfId="367"/>
    <tableColumn id="164" xr3:uid="{82D13E8C-E6C8-499F-AB45-34C6EE5EB393}" name="28-Sep" dataDxfId="366"/>
    <tableColumn id="165" xr3:uid="{9D0695D8-1E9E-4ABF-9B63-7BC614EFE941}" name="29-Sep" dataDxfId="365"/>
    <tableColumn id="166" xr3:uid="{20C077F6-249F-4330-9ADA-A41FECCBA430}" name="30-Sep" dataDxfId="364"/>
    <tableColumn id="167" xr3:uid="{4379C408-9AC2-4055-885B-52CAF9DDEA41}" name="01-Oct" dataDxfId="363"/>
    <tableColumn id="168" xr3:uid="{4149A6AA-28DD-4620-BCDB-655794E919FD}" name="02-Oct" dataDxfId="362"/>
    <tableColumn id="169" xr3:uid="{2133A1C6-0FEF-44FB-82B0-E05362AC4AA0}" name="03-Oct" dataDxfId="361"/>
    <tableColumn id="170" xr3:uid="{70F546E7-D435-4F1C-BA5E-08BB8DD924A6}" name="04-Oct" dataDxfId="360"/>
    <tableColumn id="171" xr3:uid="{C031C1E6-48EF-498E-9FE0-636712B5AA7E}" name="05-Oct" dataDxfId="359"/>
    <tableColumn id="172" xr3:uid="{723DACB9-B643-4F99-A199-6D1F227AB62E}" name="06-Oct" dataDxfId="358"/>
    <tableColumn id="173" xr3:uid="{EB57F30C-718A-492D-85F3-F45512A7460F}" name="07-Oct" dataDxfId="357"/>
    <tableColumn id="174" xr3:uid="{454D663F-896D-4D7E-BBDA-BC26BDB2D845}" name="08-Oct" dataDxfId="356"/>
    <tableColumn id="175" xr3:uid="{092CEDCB-772F-4213-AF96-CB0A51E0E51F}" name="09-Oct" dataDxfId="355"/>
    <tableColumn id="176" xr3:uid="{3A523B07-2B72-4C63-8C72-496372851998}" name="10-Oct" dataDxfId="354"/>
    <tableColumn id="177" xr3:uid="{92DDD821-FDC6-4F8D-BDFF-9179D8B6A975}" name="11-Oct" dataDxfId="353"/>
    <tableColumn id="178" xr3:uid="{F039F6D2-EFEC-4014-8749-CCF720D0C228}" name="12-Oct" dataDxfId="352"/>
    <tableColumn id="179" xr3:uid="{5D115E9F-FE48-4795-BF13-4C7829E2ABF8}" name="13-Oct" dataDxfId="351"/>
    <tableColumn id="180" xr3:uid="{8B0F7A57-7ED7-49C0-8F6B-521F803E235A}" name="14-Oct" dataDxfId="350"/>
    <tableColumn id="181" xr3:uid="{EC86979D-249D-47B8-9144-0EFF62B7D355}" name="15-Oct" dataDxfId="349"/>
    <tableColumn id="182" xr3:uid="{B82566F4-B066-42D3-9D2F-0400036AA844}" name="16-Oct" dataDxfId="348"/>
    <tableColumn id="183" xr3:uid="{18E1979A-6823-4C26-9B0A-83A614B695FA}" name="17-Oct" dataDxfId="347"/>
    <tableColumn id="184" xr3:uid="{EE663139-8553-4BD2-B428-95A280CE7DF9}" name="18-Oct" dataDxfId="346"/>
    <tableColumn id="185" xr3:uid="{F9FCB3EE-E3B4-4A75-907C-21D78A85A939}" name="19-Oct" dataDxfId="345"/>
    <tableColumn id="186" xr3:uid="{A0D337E3-5E33-490F-AFC6-629D9AFF5662}" name="20-Oct" dataDxfId="344"/>
    <tableColumn id="187" xr3:uid="{BF29EC0B-865B-4C87-9F66-555F84F19625}" name="21-Oct" dataDxfId="343"/>
    <tableColumn id="188" xr3:uid="{08341703-6E09-4DC9-84AC-3B53AD0D5A6B}" name="22-Oct" dataDxfId="342"/>
    <tableColumn id="189" xr3:uid="{A0818AC9-8B62-41E9-A793-41BEACD5A992}" name="23-Oct" dataDxfId="341"/>
    <tableColumn id="190" xr3:uid="{2169206A-0E29-40C1-BDA3-A1C79412FA97}" name="24-Oct" dataDxfId="340"/>
    <tableColumn id="191" xr3:uid="{4359D946-3C22-4E8E-AC5E-ECAE602B1C4D}" name="25-Oct" dataDxfId="339"/>
    <tableColumn id="192" xr3:uid="{5B3CB13D-52B3-4589-980D-401BBB0BF9FB}" name="26-Oct" dataDxfId="338"/>
    <tableColumn id="193" xr3:uid="{BB511494-02A0-4F13-80E1-32D662292F6F}" name="27-Oct" dataDxfId="337"/>
    <tableColumn id="194" xr3:uid="{B734D3FD-8DD3-47E8-B642-C2D02691B35A}" name="28-Oct" dataDxfId="336"/>
    <tableColumn id="195" xr3:uid="{6CAAF8AC-FD16-4E48-908D-F340FBA21E65}" name="29-Oct" dataDxfId="335"/>
    <tableColumn id="196" xr3:uid="{5514933C-CAE7-4D9A-9FF4-D815FB8E1F5A}" name="30-Oct" dataDxfId="334"/>
    <tableColumn id="197" xr3:uid="{6BED8D9A-D94D-44F8-9EA1-AC7C8158F885}" name="31-Oct" dataDxfId="333"/>
    <tableColumn id="198" xr3:uid="{5C995FD5-89B8-4AB5-82FE-E3E354674F2F}" name="01-Nov" dataDxfId="332"/>
    <tableColumn id="199" xr3:uid="{841192AD-69CF-4ADA-BAB4-038389456F8D}" name="02-Nov" dataDxfId="331"/>
    <tableColumn id="200" xr3:uid="{9397F05A-71E6-481B-8469-B3E685FD1A58}" name="03-Nov" dataDxfId="330"/>
    <tableColumn id="201" xr3:uid="{47E609A9-68EF-4E5A-962F-CAB29EDCA091}" name="04-Nov" dataDxfId="329"/>
    <tableColumn id="202" xr3:uid="{D57F5C0F-5F45-4A01-9C43-40ADC3BEEEBB}" name="05-Nov" dataDxfId="328"/>
    <tableColumn id="203" xr3:uid="{0A6F51B0-1436-4476-9A3A-2F6C679183DA}" name="06-Nov" dataDxfId="327"/>
    <tableColumn id="204" xr3:uid="{9CFBA8E7-A947-4254-BC54-5D2086C732C4}" name="07-Nov" dataDxfId="326"/>
    <tableColumn id="205" xr3:uid="{1B515B51-2E11-4E2F-921F-61E85C482680}" name="08-Nov" dataDxfId="325"/>
    <tableColumn id="206" xr3:uid="{9E290EE1-087B-4FDE-83A1-D67C5A957ED5}" name="09-Nov" dataDxfId="324"/>
    <tableColumn id="207" xr3:uid="{EE0D9634-5B1C-44FD-B06C-247A8BE75BC8}" name="10-Nov" dataDxfId="323"/>
    <tableColumn id="208" xr3:uid="{9596BBBA-A0EA-4431-88FA-32A8721BD043}" name="11-Nov" dataDxfId="322"/>
    <tableColumn id="209" xr3:uid="{C49D70ED-D32E-4DF3-A2D0-DC4389D864A1}" name="12-Nov" dataDxfId="321"/>
    <tableColumn id="210" xr3:uid="{B7A8550A-0E00-41D0-86B2-147C93EC2CA1}" name="13-Nov" dataDxfId="320"/>
    <tableColumn id="211" xr3:uid="{D92FBA88-AF6F-4C63-8B4C-988B9BAA6786}" name="14-Nov" dataDxfId="319"/>
    <tableColumn id="212" xr3:uid="{B7A19A79-F17B-4BEE-8F6D-672A2812C63D}" name="15-Nov" dataDxfId="318"/>
    <tableColumn id="213" xr3:uid="{093C16E3-363F-47CE-929B-96A2DB0EEFAA}" name="16-Nov" dataDxfId="317"/>
    <tableColumn id="214" xr3:uid="{D33F97C0-F109-4496-9500-21E8B78C53A4}" name="17-Nov" dataDxfId="316"/>
    <tableColumn id="215" xr3:uid="{D3588FB3-AB98-4F7C-87EA-71EEA0C9DA62}" name="18-Nov" dataDxfId="315"/>
    <tableColumn id="216" xr3:uid="{892441AB-9E74-4D73-B8DC-95C3463B2978}" name="19-Nov" dataDxfId="314"/>
    <tableColumn id="217" xr3:uid="{759AC3E5-071A-43AB-97F0-D964CE46541A}" name="20-Nov" dataDxfId="313"/>
    <tableColumn id="218" xr3:uid="{2DAB3994-6CCD-4213-803A-15275B66A4DA}" name="21-Nov" dataDxfId="312"/>
    <tableColumn id="219" xr3:uid="{BB4802B6-A4DB-44B4-B0FD-1A53F6216B9B}" name="22-Nov" dataDxfId="311"/>
    <tableColumn id="220" xr3:uid="{290B71B3-44F5-48AB-9636-7BC1FCDF240C}" name="23-Nov" dataDxfId="310"/>
    <tableColumn id="221" xr3:uid="{30EA7635-3A8F-482A-B283-4B3E2C19D36E}" name="24-Nov" dataDxfId="309"/>
    <tableColumn id="222" xr3:uid="{475B91AC-17AB-4BF6-9ACF-180BAE02C82C}" name="25-Nov" dataDxfId="308"/>
    <tableColumn id="223" xr3:uid="{15C2CCB9-37ED-4AEE-880A-58220EFBC3BE}" name="26-Nov" dataDxfId="307"/>
    <tableColumn id="224" xr3:uid="{9ED1AD78-6FE2-4806-8911-DE2FA2860D3F}" name="27-Nov" dataDxfId="306"/>
    <tableColumn id="225" xr3:uid="{7E4A9E25-2B32-468A-951E-B4D6993B458D}" name="28-Nov" dataDxfId="305"/>
    <tableColumn id="226" xr3:uid="{16DF1979-1E11-4FB9-BC5A-9630C890EF44}" name="29-Nov" dataDxfId="304"/>
    <tableColumn id="227" xr3:uid="{4D53C6DE-ED26-490C-9451-D24E429F4AA1}" name="30-Nov" dataDxfId="303"/>
    <tableColumn id="228" xr3:uid="{ED9D3A0A-010A-47BF-8BCD-60CC1491BC24}" name="01-Dec" dataDxfId="302"/>
    <tableColumn id="229" xr3:uid="{3E6FBC7F-1C5B-45DF-BC6D-D22F65D9F16E}" name="02-Dec" dataDxfId="301"/>
    <tableColumn id="230" xr3:uid="{CE1B414D-02F5-4F24-B7A6-3B12B4289B35}" name="03-Dec" dataDxfId="300"/>
    <tableColumn id="231" xr3:uid="{6CB547FA-2300-4782-B74A-C8128BC20622}" name="04-Dec" dataDxfId="299"/>
    <tableColumn id="232" xr3:uid="{DC051722-FEED-4DF2-BB32-F59D63151269}" name="05-Dec" dataDxfId="298"/>
    <tableColumn id="233" xr3:uid="{51C663D6-983D-400F-847D-AD6D62A29552}" name="06-Dec" dataDxfId="297"/>
    <tableColumn id="234" xr3:uid="{927FDF67-D529-4626-BCBE-D27C5D6E0534}" name="07-Dec" dataDxfId="296"/>
    <tableColumn id="235" xr3:uid="{C6679A94-CC9C-4169-8619-DC68221A3ECB}" name="08-Dec" dataDxfId="295"/>
    <tableColumn id="236" xr3:uid="{0A389E48-D2B9-4555-877C-5C0BED3F3A4E}" name="09-Dec" dataDxfId="294"/>
    <tableColumn id="237" xr3:uid="{87CB54D2-1163-477D-845B-6AA03BC2AC36}" name="10-Dec" dataDxfId="293"/>
    <tableColumn id="238" xr3:uid="{4ACD50BE-FD2C-44F2-ACA4-5A08597208FF}" name="11-Dec" dataDxfId="292"/>
    <tableColumn id="239" xr3:uid="{374A16DD-B55B-44E2-9B3E-92784B332729}" name="12-Dec" dataDxfId="291"/>
    <tableColumn id="240" xr3:uid="{B3ACA6DC-EB1E-4567-A00D-F2520A5B1284}" name="13-Dec" dataDxfId="290"/>
    <tableColumn id="241" xr3:uid="{4365FDB9-3A79-485B-A3D8-26B3315759A2}" name="14-Dec" dataDxfId="289"/>
    <tableColumn id="242" xr3:uid="{71EF36FD-93DA-4C5F-9812-A0E772B56F42}" name="15-Dec" dataDxfId="288"/>
    <tableColumn id="243" xr3:uid="{275EE460-6861-4495-855A-70D459E10A1C}" name="16-Dec" dataDxfId="287"/>
    <tableColumn id="244" xr3:uid="{0DA1271E-D82F-408D-84A3-E1277BC636E5}" name="17-Dec" dataDxfId="286"/>
    <tableColumn id="245" xr3:uid="{539678E6-147E-45B7-9DA5-58769EA50A2B}" name="18-Dec" dataDxfId="285"/>
    <tableColumn id="246" xr3:uid="{EDBAFD28-AECD-4642-AC81-18A986868FAC}" name="19-Dec" dataDxfId="284"/>
    <tableColumn id="247" xr3:uid="{06923456-E36B-4E7B-8987-E5EB20454922}" name="20-Dec" dataDxfId="283"/>
    <tableColumn id="248" xr3:uid="{63548875-CDA7-483B-B43E-F7116B3684B2}" name="21-Dec" dataDxfId="282"/>
    <tableColumn id="249" xr3:uid="{8A9CBA54-4FEE-4FB0-8B56-7383941B5EB5}" name="22-Dec" dataDxfId="281"/>
    <tableColumn id="250" xr3:uid="{42280F3B-31DB-4C26-8A8B-F88CD5A8E278}" name="23-Dec" dataDxfId="280"/>
    <tableColumn id="251" xr3:uid="{50220130-1883-4D43-BE59-A35204FA079D}" name="24-Dec" dataDxfId="279"/>
    <tableColumn id="252" xr3:uid="{8C359F4A-9771-4F96-8E91-626BFC964712}" name="25-Dec" dataDxfId="278"/>
    <tableColumn id="253" xr3:uid="{963B9239-69F0-4EEA-92F4-2FC97201A497}" name="26-Dec" dataDxfId="277"/>
    <tableColumn id="254" xr3:uid="{D46C2FBB-399E-4DC2-BB82-12CFA59D65E8}" name="27-Dec" dataDxfId="276"/>
    <tableColumn id="255" xr3:uid="{7024E1D8-436D-4977-9589-6C20EE4E5F5A}" name="28-Dec" dataDxfId="275"/>
    <tableColumn id="256" xr3:uid="{3569EBBF-3991-4C99-A36A-64FD4C9FADFF}" name="29-Dec" dataDxfId="274"/>
    <tableColumn id="257" xr3:uid="{A05CA58E-A3FE-4D94-B17F-47BDDD41D6FF}" name="30-Dec" dataDxfId="273"/>
    <tableColumn id="258" xr3:uid="{31BA8D59-A3DB-4957-945B-C5387C5C2603}" name="31-Dec" dataDxfId="27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938DBB-626E-4BED-B6AC-0AD94611AF89}" name="Table3" displayName="Table3" ref="A1:IY142" totalsRowShown="0" headerRowDxfId="270" dataDxfId="271">
  <autoFilter ref="A1:IY142" xr:uid="{E9938DBB-626E-4BED-B6AC-0AD94611AF89}"/>
  <tableColumns count="259">
    <tableColumn id="1" xr3:uid="{8D4E2461-DACF-42B5-9245-6044632E7562}" name="ITEM CODE" dataDxfId="269"/>
    <tableColumn id="2" xr3:uid="{46FCEA1F-153C-4A30-BEE8-0EAA6BB38DF7}" name="ITEM NAME" dataDxfId="268"/>
    <tableColumn id="3" xr3:uid="{7DA78711-6C3F-4459-9EC5-5B7ABDBCD1F6}" name="TYPE" dataDxfId="267"/>
    <tableColumn id="4" xr3:uid="{69524E27-D284-4818-A26C-246241991B35}" name="BODY PART" dataDxfId="266"/>
    <tableColumn id="5" xr3:uid="{0AAA201E-80A9-4F9D-81BA-6CD8FF9F5C77}" name="DESCRIPTION" dataDxfId="265"/>
    <tableColumn id="6" xr3:uid="{F994EAC4-5CCC-40A1-944B-D29BAD6B5FA7}" name="MANUFACTURER" dataDxfId="264"/>
    <tableColumn id="7" xr3:uid="{038981CA-153E-4271-AAD1-557E3C861CD1}" name="STATUS" dataDxfId="263"/>
    <tableColumn id="8" xr3:uid="{5FDA499F-531B-4D28-9070-78258C765FAE}" name="LOT NO. / SN" dataDxfId="262"/>
    <tableColumn id="9" xr3:uid="{662C5519-40B7-4AE1-9C4C-3E7F47449C5A}" name="LOCATION" dataDxfId="261"/>
    <tableColumn id="10" xr3:uid="{960D2F00-D81B-4FC8-B9A5-B590900F1171}" name="EXP./ MANU. DATE" dataDxfId="260"/>
    <tableColumn id="11" xr3:uid="{64BAD8FE-2EBA-4656-9B6D-7806214C2EAF}" name="REM QTY" dataDxfId="259"/>
    <tableColumn id="12" xr3:uid="{866B663E-BC9C-443F-A249-9B7A8FC979D0}" name="INPUT QTY" dataDxfId="258"/>
    <tableColumn id="13" xr3:uid="{D6CBEF9B-D0A7-431D-9987-4134C50517FD}" name="OUT" dataDxfId="257">
      <calculatedColumnFormula>SUM(O2:IY2)</calculatedColumnFormula>
    </tableColumn>
    <tableColumn id="14" xr3:uid="{9C83EDBF-B03B-497B-B9AE-0D4428DF73A4}" name="TOTAL" dataDxfId="256">
      <calculatedColumnFormula>K2</calculatedColumnFormula>
    </tableColumn>
    <tableColumn id="15" xr3:uid="{B8CBFC2B-CEB1-491B-9F8D-97F55659AF24}" name="01-May" dataDxfId="255"/>
    <tableColumn id="16" xr3:uid="{644C5D38-766D-44B9-8528-D573B1223EE5}" name="02-May" dataDxfId="254"/>
    <tableColumn id="17" xr3:uid="{B9FF8B81-3289-4F96-A252-2DE2960E2783}" name="03-May" dataDxfId="253"/>
    <tableColumn id="18" xr3:uid="{27E4B91B-A616-4D3B-A80A-B77638718938}" name="04-May" dataDxfId="252"/>
    <tableColumn id="19" xr3:uid="{006691F4-BEC8-4E89-9209-42E07007028D}" name="05-May" dataDxfId="251"/>
    <tableColumn id="20" xr3:uid="{1C90603E-4945-42CC-95DC-E5D0A91C5E52}" name="06-May" dataDxfId="250"/>
    <tableColumn id="21" xr3:uid="{2F227C8F-1FEA-4910-8B7F-7D88213A7F56}" name="07-May" dataDxfId="249"/>
    <tableColumn id="22" xr3:uid="{822CBCC5-F144-4C75-B44E-BD43AA0E62F6}" name="08-May" dataDxfId="248"/>
    <tableColumn id="23" xr3:uid="{313295A5-3027-426F-AD43-BBC798D0B853}" name="09-May" dataDxfId="247"/>
    <tableColumn id="24" xr3:uid="{96AADB48-8961-4E5B-B6DE-4A6DCEDBA567}" name="10-May" dataDxfId="246"/>
    <tableColumn id="25" xr3:uid="{BF4B89EC-FCC0-4260-881B-D7BD2AE6594E}" name="11-May" dataDxfId="245"/>
    <tableColumn id="26" xr3:uid="{4ABB7E6A-4B89-49E7-8FD5-EFB90B04CD5F}" name="12-May" dataDxfId="244"/>
    <tableColumn id="27" xr3:uid="{D64751DC-FCCB-4BF6-93D2-FED1273B9EF1}" name="13-May" dataDxfId="243"/>
    <tableColumn id="28" xr3:uid="{EFCD133F-A2F4-4132-B192-ECB07ABB34F4}" name="14-May" dataDxfId="242"/>
    <tableColumn id="29" xr3:uid="{04193888-EE19-46B9-A349-BB27F4CB464C}" name="15-May" dataDxfId="241"/>
    <tableColumn id="30" xr3:uid="{A8F73CDB-168A-4504-BF4B-5C77BE731DB2}" name="16-May" dataDxfId="240"/>
    <tableColumn id="31" xr3:uid="{2D458FFB-ECB0-4B84-A57F-2B5E7586C2BF}" name="17-May" dataDxfId="239"/>
    <tableColumn id="32" xr3:uid="{11897181-68AB-451A-BCDF-DDAB372A2613}" name="18-May" dataDxfId="238"/>
    <tableColumn id="33" xr3:uid="{EFA787F8-E861-43E5-B8A2-DE22F5903D41}" name="19-May" dataDxfId="237"/>
    <tableColumn id="34" xr3:uid="{EF0A4AF4-1E46-42D4-B6C3-E59C025F58D9}" name="20-May" dataDxfId="236"/>
    <tableColumn id="35" xr3:uid="{15F60CA9-E4A7-48A8-80A1-D8666714656E}" name="21-May" dataDxfId="235"/>
    <tableColumn id="36" xr3:uid="{33D98203-B0F4-47DF-9183-B8AA871394DB}" name="22-May" dataDxfId="234"/>
    <tableColumn id="37" xr3:uid="{D0B3F18A-3A87-416B-9F87-589908EC61FB}" name="23-May" dataDxfId="233"/>
    <tableColumn id="38" xr3:uid="{7F6DF5C7-896A-49DA-92AC-3425478962D7}" name="24-May" dataDxfId="232"/>
    <tableColumn id="39" xr3:uid="{31A1BE8B-1469-48E5-A79A-AD6C6A785253}" name="25-May" dataDxfId="231"/>
    <tableColumn id="40" xr3:uid="{D938AE3A-562E-4C6A-93B5-FAA9FB781503}" name="26-May" dataDxfId="230"/>
    <tableColumn id="41" xr3:uid="{7606A1EB-3066-4F14-8279-1C34EE7DA4CE}" name="27-May" dataDxfId="229"/>
    <tableColumn id="42" xr3:uid="{C06E401F-B1C7-4ECE-A7C3-7C74C9BED6C5}" name="28-May" dataDxfId="228"/>
    <tableColumn id="43" xr3:uid="{66E04601-5DF2-4066-878C-494144C61622}" name="29-May" dataDxfId="227"/>
    <tableColumn id="44" xr3:uid="{D958A4DD-F1AB-4EA3-B4C8-13A4EE39873D}" name="30-May" dataDxfId="226"/>
    <tableColumn id="45" xr3:uid="{8DD46B23-87B9-4641-B926-740DA5B95177}" name="31-May" dataDxfId="225"/>
    <tableColumn id="46" xr3:uid="{B657A2FA-17A8-4A3F-8170-E090D7EF743D}" name="01-Jun" dataDxfId="224"/>
    <tableColumn id="47" xr3:uid="{B2B23FB7-CE92-49A1-A4CC-444FC94FABCE}" name="02-Jun" dataDxfId="223"/>
    <tableColumn id="48" xr3:uid="{42B5BD52-3320-4374-9CB0-85A7145A4057}" name="03-Jun" dataDxfId="222"/>
    <tableColumn id="49" xr3:uid="{A93ABAD9-C421-47AD-9FB4-D290837CDB2A}" name="04-Jun" dataDxfId="221"/>
    <tableColumn id="50" xr3:uid="{7B14F6E6-DAD7-4E2C-A7A3-898F0542D78B}" name="05-Jun" dataDxfId="220"/>
    <tableColumn id="51" xr3:uid="{6F8E0987-7245-4839-AAC5-EF62D0443424}" name="06-Jun" dataDxfId="219"/>
    <tableColumn id="52" xr3:uid="{82E663AE-D23D-41AD-836C-484B6BDE335B}" name="07-Jun" dataDxfId="218"/>
    <tableColumn id="53" xr3:uid="{A8F3B740-8CC1-4604-9361-D1F34AA01D0E}" name="08-Jun" dataDxfId="217"/>
    <tableColumn id="54" xr3:uid="{42B52D71-1E6A-483F-9184-4DD04139DE11}" name="09-Jun" dataDxfId="216"/>
    <tableColumn id="55" xr3:uid="{66FFD20B-D25F-44C6-98B7-D68671DCD2BC}" name="10-Jun" dataDxfId="215"/>
    <tableColumn id="56" xr3:uid="{4A3E3D8D-AEF3-46CD-84FF-CB2B3C24D5AC}" name="11-Jun" dataDxfId="214"/>
    <tableColumn id="57" xr3:uid="{FEF7A928-4DEC-4040-AF6D-1F2CB7A51AEF}" name="12-Jun" dataDxfId="213"/>
    <tableColumn id="58" xr3:uid="{E16E430B-B688-4BA8-966C-B66D973028A8}" name="13-Jun" dataDxfId="212"/>
    <tableColumn id="59" xr3:uid="{2BA79D17-31D7-4183-94CF-AB9A1D504626}" name="14-Jun" dataDxfId="211"/>
    <tableColumn id="60" xr3:uid="{BE545BAA-0AF1-41AE-9111-7DBD2F13080E}" name="15-Jun" dataDxfId="210"/>
    <tableColumn id="61" xr3:uid="{0940F1A5-7D8A-4D5B-B893-22E0D1AA6ED5}" name="16-Jun" dataDxfId="209"/>
    <tableColumn id="62" xr3:uid="{B8808335-7BBB-48E7-A078-7ED85936B1C2}" name="17-Jun" dataDxfId="208"/>
    <tableColumn id="63" xr3:uid="{463D2B63-6D34-4FBC-81AC-157263F017D7}" name="18-Jun" dataDxfId="207"/>
    <tableColumn id="64" xr3:uid="{C90F25BD-FF60-474A-9FDC-C11F971C51D9}" name="19-Jun" dataDxfId="206"/>
    <tableColumn id="65" xr3:uid="{8DAAA322-E368-4674-807A-B7BD8E7B0F22}" name="20-Jun" dataDxfId="205"/>
    <tableColumn id="66" xr3:uid="{AF24F021-2DE6-4A4A-9703-E3D007AEA6A6}" name="21-Jun" dataDxfId="204"/>
    <tableColumn id="67" xr3:uid="{7B4ECA91-5878-4158-9E69-ABC78CDA6727}" name="22-Jun" dataDxfId="203"/>
    <tableColumn id="68" xr3:uid="{94D8F709-4F40-4A2D-9BFE-3964B253808E}" name="23-Jun" dataDxfId="202"/>
    <tableColumn id="69" xr3:uid="{3B264F04-E215-4059-A416-8A0A78391C73}" name="24-Jun" dataDxfId="201"/>
    <tableColumn id="70" xr3:uid="{48D47E9F-8EC6-4C50-A16F-F084C55285BF}" name="25-Jun" dataDxfId="200"/>
    <tableColumn id="71" xr3:uid="{1BF68DE8-1B19-441F-88F3-F47387EA999C}" name="26-Jun" dataDxfId="199"/>
    <tableColumn id="72" xr3:uid="{7082217D-2794-4506-B710-3D1BB86F6A65}" name="27-Jun" dataDxfId="198"/>
    <tableColumn id="73" xr3:uid="{5CDA6813-261A-4B45-8BAC-E6DCDFE9D249}" name="28-Jun" dataDxfId="197"/>
    <tableColumn id="74" xr3:uid="{FD1744A7-ED2B-4986-AB1D-4E2265008EB8}" name="29-Jun" dataDxfId="196"/>
    <tableColumn id="75" xr3:uid="{F1BDFDC4-29CB-403E-81B6-247463890F23}" name="30-Jun" dataDxfId="195"/>
    <tableColumn id="76" xr3:uid="{19C5CA0E-0BD3-4EE1-9638-63B036863FC6}" name="01-Jul" dataDxfId="194"/>
    <tableColumn id="77" xr3:uid="{74F8CD50-90A5-4026-82D5-DEB90F8F0818}" name="02-Jul" dataDxfId="193"/>
    <tableColumn id="78" xr3:uid="{72257953-9041-4E0A-A31C-A967D7896FCA}" name="03-Jul" dataDxfId="192"/>
    <tableColumn id="79" xr3:uid="{40DBCA58-441C-4871-B5CF-63AB78BEEE62}" name="04-Jul" dataDxfId="191"/>
    <tableColumn id="80" xr3:uid="{012CC85A-1829-49C6-9C04-E73EBCEDF2DB}" name="05-Jul" dataDxfId="190"/>
    <tableColumn id="81" xr3:uid="{89999377-E352-422B-9B17-E2504E537AC6}" name="06-Jul" dataDxfId="189"/>
    <tableColumn id="82" xr3:uid="{51E8ABFA-3D5E-4E3C-877E-E1E36F8009A3}" name="07-Jul" dataDxfId="188"/>
    <tableColumn id="83" xr3:uid="{00D1BE79-AAE3-4114-AF60-9E77172B69C4}" name="08-Jul" dataDxfId="187"/>
    <tableColumn id="84" xr3:uid="{CB3D166D-E75A-4CCF-8760-DE129C93BD16}" name="09-Jul" dataDxfId="186"/>
    <tableColumn id="85" xr3:uid="{9A7F711D-B47B-431E-8B93-F0FA2575AD33}" name="10-Jul" dataDxfId="185"/>
    <tableColumn id="86" xr3:uid="{85EDC080-D6D6-4065-AF27-CAD5D110C772}" name="11-Jul" dataDxfId="184"/>
    <tableColumn id="87" xr3:uid="{EDCAF296-9B2B-46EE-B01A-DE446298B879}" name="12-Jul" dataDxfId="183"/>
    <tableColumn id="88" xr3:uid="{CB52D532-A7BB-4025-9599-54162884BB98}" name="13-Jul" dataDxfId="182"/>
    <tableColumn id="89" xr3:uid="{CB8F146B-4F4E-475C-9B14-B541277617E9}" name="14-Jul" dataDxfId="181"/>
    <tableColumn id="90" xr3:uid="{73E73CA0-7CAD-4CC7-9901-B9E18D92B179}" name="15-Jul" dataDxfId="180"/>
    <tableColumn id="91" xr3:uid="{0E0F67D7-CA55-4283-B29D-AD800C8F1F11}" name="16-Jul" dataDxfId="179"/>
    <tableColumn id="92" xr3:uid="{EDE0AB81-BD2B-46BE-B1CE-32030FCC977A}" name="17-Jul" dataDxfId="178"/>
    <tableColumn id="93" xr3:uid="{0B9E026D-F856-4133-8311-262C512A91BC}" name="18-Jul" dataDxfId="177"/>
    <tableColumn id="94" xr3:uid="{23C101CC-311F-48DE-B6C3-141531813B30}" name="19-Jul" dataDxfId="176"/>
    <tableColumn id="95" xr3:uid="{AAFFAC32-3614-49FF-817C-AFE3DAAE8252}" name="20-Jul" dataDxfId="175"/>
    <tableColumn id="96" xr3:uid="{82D40B99-D9F9-417F-B3A8-46FDFB507841}" name="21-Jul" dataDxfId="174"/>
    <tableColumn id="97" xr3:uid="{68670101-DDFC-473F-8325-51EDB1A3F6E4}" name="22-Jul" dataDxfId="173"/>
    <tableColumn id="98" xr3:uid="{78B29954-270D-42A7-8BB3-17A203C84C5D}" name="23-Jul" dataDxfId="172"/>
    <tableColumn id="99" xr3:uid="{D170FA96-C1D3-46FA-B325-F099D77C8618}" name="24-Jul" dataDxfId="171"/>
    <tableColumn id="100" xr3:uid="{29786AA9-A1FA-42A9-9C0B-2E41E6059BC6}" name="25-Jul" dataDxfId="170"/>
    <tableColumn id="101" xr3:uid="{5A370C43-6378-467E-9247-F3B26F85B45D}" name="26-Jul" dataDxfId="169"/>
    <tableColumn id="102" xr3:uid="{C76F21D5-08DE-458A-AA1C-30AB1EE5E6D5}" name="27-Jul" dataDxfId="168"/>
    <tableColumn id="103" xr3:uid="{A749DE2F-5FEB-4C57-AB3B-8332038A30E4}" name="28-Jul" dataDxfId="167"/>
    <tableColumn id="104" xr3:uid="{81C746DB-2B33-41A8-A8DA-677657B5C85B}" name="29-Jul" dataDxfId="166"/>
    <tableColumn id="105" xr3:uid="{5DCF8209-FC42-4734-98F4-A7BA9D43D617}" name="30-Jul" dataDxfId="165"/>
    <tableColumn id="106" xr3:uid="{E9A5E6DC-32B6-4CA0-A7D0-C36F594A31DA}" name="31-Jul" dataDxfId="164"/>
    <tableColumn id="107" xr3:uid="{B6153228-83BB-4EF3-A79D-96CD0B410516}" name="01-Aug" dataDxfId="163"/>
    <tableColumn id="108" xr3:uid="{797110BA-5DFC-44E4-87B5-139BE7BEC687}" name="02-Aug" dataDxfId="162"/>
    <tableColumn id="109" xr3:uid="{AC7F17FC-3EDE-448C-92D4-76CF1F99FBA3}" name="03-Aug" dataDxfId="161"/>
    <tableColumn id="110" xr3:uid="{BDD0A8E7-75C9-43B2-B31D-F8369ACB3E9E}" name="04-Aug" dataDxfId="160"/>
    <tableColumn id="111" xr3:uid="{AC33D1DD-F2AC-4E5C-931F-B6172CE7B9C7}" name="05-Aug" dataDxfId="159"/>
    <tableColumn id="112" xr3:uid="{C42CC3C6-6441-4BBC-807A-825E3726D7A3}" name="06-Aug" dataDxfId="158"/>
    <tableColumn id="113" xr3:uid="{A27F84C0-FCEC-4315-A000-02707ABEB35B}" name="07-Aug" dataDxfId="157"/>
    <tableColumn id="114" xr3:uid="{FCA69DBF-4B3D-47AA-8201-D530262E180C}" name="08-Aug" dataDxfId="156"/>
    <tableColumn id="115" xr3:uid="{9155D2A6-E604-4927-91C7-9A8C60F9276A}" name="09-Aug" dataDxfId="155"/>
    <tableColumn id="116" xr3:uid="{1226C910-73F7-4774-B418-21BC2C98B60A}" name="10-Aug" dataDxfId="154"/>
    <tableColumn id="117" xr3:uid="{230C1941-05AD-44D0-A8F2-417F24DF395A}" name="11-Aug" dataDxfId="153"/>
    <tableColumn id="118" xr3:uid="{3D35EFDA-53C7-4E59-AEE5-EB22F0BBCE0D}" name="12-Aug" dataDxfId="152"/>
    <tableColumn id="119" xr3:uid="{7439B1FE-7965-47BE-BA92-87A36E98BA02}" name="13-Aug" dataDxfId="151"/>
    <tableColumn id="120" xr3:uid="{B5CF4136-2FEC-4FC2-9360-BF9D0EF38C39}" name="14-Aug" dataDxfId="150"/>
    <tableColumn id="121" xr3:uid="{C4DB47B1-5A75-4018-9A6A-19319EC61AC5}" name="15-Aug" dataDxfId="149"/>
    <tableColumn id="122" xr3:uid="{C433AD2E-17F7-4C8E-98A2-E0F2AED55B78}" name="16-Aug" dataDxfId="148"/>
    <tableColumn id="123" xr3:uid="{156474BC-8FEB-47CC-B161-7095115FDB8C}" name="17-Aug" dataDxfId="147"/>
    <tableColumn id="124" xr3:uid="{47214A41-EB29-4C44-915D-F97EC8C47306}" name="18-Aug" dataDxfId="146"/>
    <tableColumn id="125" xr3:uid="{23C71B72-1D3D-4B53-A839-A896D8F3FA67}" name="19-Aug" dataDxfId="145"/>
    <tableColumn id="126" xr3:uid="{8A602031-C254-4720-9F07-2E7BFA07F2BB}" name="20-Aug" dataDxfId="144"/>
    <tableColumn id="127" xr3:uid="{2548E8FD-0EC9-4D3F-BA5B-7E3E46CCDFC3}" name="21-Aug" dataDxfId="143"/>
    <tableColumn id="128" xr3:uid="{37DE7D23-BF78-448F-96B8-11F617FF39E1}" name="22-Aug" dataDxfId="142"/>
    <tableColumn id="129" xr3:uid="{68A496AF-4351-43E4-AC52-5D95A73EE3A4}" name="23-Aug" dataDxfId="141"/>
    <tableColumn id="130" xr3:uid="{0B611B42-8BDE-43D2-B0C4-F345C4346B2C}" name="24-Aug" dataDxfId="140"/>
    <tableColumn id="131" xr3:uid="{CD5DDE44-7D3D-4A89-9E64-1A4F92EDE0B7}" name="25-Aug" dataDxfId="139"/>
    <tableColumn id="132" xr3:uid="{9BF55354-0D8C-4A65-9D7E-33E0DC61355E}" name="26-Aug" dataDxfId="138"/>
    <tableColumn id="133" xr3:uid="{BA23C8BE-11C5-44C6-9FD4-0E432A054ACF}" name="27-Aug" dataDxfId="137"/>
    <tableColumn id="134" xr3:uid="{2FE96A33-8AB6-42B1-9A87-FF46EC2DA16B}" name="28-Aug" dataDxfId="136"/>
    <tableColumn id="135" xr3:uid="{A3E5E83C-E430-4924-AB95-680BA7AD796C}" name="29-Aug" dataDxfId="135"/>
    <tableColumn id="136" xr3:uid="{F208835D-000D-484D-B7B3-21F0DE34566A}" name="30-Aug" dataDxfId="134"/>
    <tableColumn id="137" xr3:uid="{968C6980-89B0-4C6A-A0BD-3CB89EDD68A7}" name="31-Aug" dataDxfId="133"/>
    <tableColumn id="138" xr3:uid="{CD71759D-3A8A-46A1-81EF-B56F551EACB0}" name="01-Sep" dataDxfId="132"/>
    <tableColumn id="139" xr3:uid="{8BA5EAB3-1B43-48FD-9B40-63CA02FAABDC}" name="02-Sep" dataDxfId="131"/>
    <tableColumn id="140" xr3:uid="{D83683EA-B3A7-4FDF-A58B-C92FDBCF4078}" name="03-Sep" dataDxfId="130"/>
    <tableColumn id="141" xr3:uid="{FE0E6967-11F3-4930-A21F-0CDBFE62A5F4}" name="04-Sep" dataDxfId="129"/>
    <tableColumn id="142" xr3:uid="{A801744D-7726-46B6-8A4F-15C1126C66EB}" name="05-Sep" dataDxfId="128"/>
    <tableColumn id="143" xr3:uid="{0E05E5C9-A6D9-41A2-86C8-3B6242D27FD4}" name="06-Sep" dataDxfId="127"/>
    <tableColumn id="144" xr3:uid="{30557E39-3B32-48A9-B595-361B941948E8}" name="07-Sep" dataDxfId="126"/>
    <tableColumn id="145" xr3:uid="{C8226F98-AC04-4ABF-9F88-1F816EA0195B}" name="08-Sep" dataDxfId="125"/>
    <tableColumn id="146" xr3:uid="{5EB14904-152C-4599-AED6-4D8CA1112633}" name="09-Sep" dataDxfId="124"/>
    <tableColumn id="147" xr3:uid="{2C1DC52C-6BBB-400C-B071-DCCCF10F1D45}" name="10-Sep" dataDxfId="123"/>
    <tableColumn id="148" xr3:uid="{2EAB7592-FB20-4B4E-BBBD-B2F8DB98BB6E}" name="11-Sep" dataDxfId="122"/>
    <tableColumn id="149" xr3:uid="{2316B2BE-F126-4D7E-ABE4-13520987B1DF}" name="12-Sep" dataDxfId="121"/>
    <tableColumn id="150" xr3:uid="{A3A10363-0BD5-47AA-A17F-69DB26CEE58C}" name="13-Sep" dataDxfId="120"/>
    <tableColumn id="151" xr3:uid="{AA447BBA-D590-43D8-8A07-714A495DBA9D}" name="14-Sep" dataDxfId="119"/>
    <tableColumn id="152" xr3:uid="{72713ACB-A001-4960-9DBF-783F9C0B277D}" name="15-Sep" dataDxfId="118"/>
    <tableColumn id="153" xr3:uid="{54C7CC73-4EF7-470E-955B-810492E58CBE}" name="16-Sep" dataDxfId="117"/>
    <tableColumn id="154" xr3:uid="{D094D8FD-0149-4FB5-9332-823F205D2246}" name="17-Sep" dataDxfId="116"/>
    <tableColumn id="155" xr3:uid="{9C6EAF6A-490B-44EC-B4D5-51FC498FFC31}" name="18-Sep" dataDxfId="115"/>
    <tableColumn id="156" xr3:uid="{76E878AA-D9BE-4E04-A39C-2229E03EF389}" name="19-Sep" dataDxfId="114"/>
    <tableColumn id="157" xr3:uid="{67D79B75-856F-484C-8E5F-BAECF42C49B9}" name="20-Sep" dataDxfId="113"/>
    <tableColumn id="158" xr3:uid="{BA4CB3FD-A5A8-43AE-A531-ABF3FB361A45}" name="21-Sep" dataDxfId="112"/>
    <tableColumn id="159" xr3:uid="{F83EB771-DA9E-42FC-AFE6-7D41D2B15CEF}" name="22-Sep" dataDxfId="111"/>
    <tableColumn id="160" xr3:uid="{F4FDCF75-DDE6-4532-AFD7-BC1DE22047BB}" name="23-Sep" dataDxfId="110"/>
    <tableColumn id="161" xr3:uid="{09AD1544-4572-4338-945F-2951E33229A8}" name="24-Sep" dataDxfId="109"/>
    <tableColumn id="162" xr3:uid="{27667EB1-849F-4EFA-9955-5DFC881777CF}" name="25-Sep" dataDxfId="108"/>
    <tableColumn id="163" xr3:uid="{0393DE7B-C004-4853-8B0C-B232E338524E}" name="26-Sep" dataDxfId="107"/>
    <tableColumn id="164" xr3:uid="{7C9FFA22-B9ED-420B-8C0F-AB3C298FB354}" name="27-Sep" dataDxfId="106"/>
    <tableColumn id="165" xr3:uid="{538E61F7-CCB5-4586-87AE-F4795EFAD862}" name="28-Sep" dataDxfId="105"/>
    <tableColumn id="166" xr3:uid="{6E744BFB-4678-4DE6-8036-88AD2681E183}" name="29-Sep" dataDxfId="104"/>
    <tableColumn id="167" xr3:uid="{44942588-DC70-482C-AFAB-1A232629F089}" name="30-Sep" dataDxfId="103"/>
    <tableColumn id="168" xr3:uid="{D2A6B670-C903-430B-B835-1C1FAEE29158}" name="01-Oct" dataDxfId="102"/>
    <tableColumn id="169" xr3:uid="{535A6AE2-CA25-4256-A4BB-44B9DBA09E0B}" name="02-Oct" dataDxfId="101"/>
    <tableColumn id="170" xr3:uid="{E296921E-A2DF-4B40-869B-F2A7A58CD273}" name="03-Oct" dataDxfId="100"/>
    <tableColumn id="171" xr3:uid="{F944ADA3-A40B-4B61-817B-C6C700B2FA54}" name="04-Oct" dataDxfId="99"/>
    <tableColumn id="172" xr3:uid="{E0AF31B8-688E-4BFB-AF79-A074ECBC8BB2}" name="05-Oct" dataDxfId="98"/>
    <tableColumn id="173" xr3:uid="{EE51385F-7C87-4268-87A8-C7AFBC9D5785}" name="06-Oct" dataDxfId="97"/>
    <tableColumn id="174" xr3:uid="{B4BCC91F-0634-4B88-BE87-6847BE609F4F}" name="07-Oct" dataDxfId="96"/>
    <tableColumn id="175" xr3:uid="{425D992E-A14F-40F8-85C7-5DD83A0E6662}" name="08-Oct" dataDxfId="95"/>
    <tableColumn id="176" xr3:uid="{2502C1CE-C67C-4E79-965D-56E2948FE364}" name="09-Oct" dataDxfId="94"/>
    <tableColumn id="177" xr3:uid="{DE0C2150-7050-4D0E-BEEE-C975577ED73E}" name="10-Oct" dataDxfId="93"/>
    <tableColumn id="178" xr3:uid="{F4296723-A087-41EF-B52B-13AC596C1B27}" name="11-Oct" dataDxfId="92"/>
    <tableColumn id="179" xr3:uid="{6B471E7C-4D10-4D7F-A9BD-87ABC4A3B96C}" name="12-Oct" dataDxfId="91"/>
    <tableColumn id="180" xr3:uid="{3D075201-D2B3-4CFC-AC80-24BA8FE5E464}" name="13-Oct" dataDxfId="90"/>
    <tableColumn id="181" xr3:uid="{C41447D3-C323-4737-87BD-FA0F2F3B8FA1}" name="14-Oct" dataDxfId="89"/>
    <tableColumn id="182" xr3:uid="{3F0722BD-CE79-40D3-ACFC-E7EA9F9BE150}" name="15-Oct" dataDxfId="88"/>
    <tableColumn id="183" xr3:uid="{2E6157F3-F667-431D-9BEA-224857D6E829}" name="16-Oct" dataDxfId="87"/>
    <tableColumn id="184" xr3:uid="{7EF9251C-6889-4AF1-A0B1-271D37A3E8E0}" name="17-Oct" dataDxfId="86"/>
    <tableColumn id="185" xr3:uid="{9BD78224-2419-4952-825D-2721B7D661AB}" name="18-Oct" dataDxfId="85"/>
    <tableColumn id="186" xr3:uid="{2BC15B4A-BEBD-42A5-926E-9B744F906424}" name="19-Oct" dataDxfId="84"/>
    <tableColumn id="187" xr3:uid="{D8029FDA-DA41-4D86-ACEA-696714B69A40}" name="20-Oct" dataDxfId="83"/>
    <tableColumn id="188" xr3:uid="{ED980A89-5BD1-4DC3-A2A1-BA1CF66EEC02}" name="21-Oct" dataDxfId="82"/>
    <tableColumn id="189" xr3:uid="{DCD5C7FF-CF17-451B-8D10-C32B43DD0B5A}" name="22-Oct" dataDxfId="81"/>
    <tableColumn id="190" xr3:uid="{E853415A-A7DE-420E-8E16-EB7D1BAD572B}" name="23-Oct" dataDxfId="80"/>
    <tableColumn id="191" xr3:uid="{9455CDCC-C7B6-4DEA-9759-5313531C20CF}" name="24-Oct" dataDxfId="79"/>
    <tableColumn id="192" xr3:uid="{1ACBB938-E74A-411E-82DE-25ED06206F34}" name="25-Oct" dataDxfId="78"/>
    <tableColumn id="193" xr3:uid="{FD588AB5-33A2-4D5A-85A6-7E4FC3B344E6}" name="26-Oct" dataDxfId="77"/>
    <tableColumn id="194" xr3:uid="{064CB1A8-EF2A-45E3-9E02-C624E4B48852}" name="27-Oct" dataDxfId="76"/>
    <tableColumn id="195" xr3:uid="{D596B877-331A-4173-9D4E-FC392970626E}" name="28-Oct" dataDxfId="75"/>
    <tableColumn id="196" xr3:uid="{E5C16FD5-B63E-4C99-B34D-F8BF11AB82B8}" name="29-Oct" dataDxfId="74"/>
    <tableColumn id="197" xr3:uid="{B176E2BF-6001-495E-BA09-EF7902AD48FC}" name="30-Oct" dataDxfId="73"/>
    <tableColumn id="198" xr3:uid="{0E9EF39D-A4BD-47B2-9835-C38DB9A18685}" name="31-Oct" dataDxfId="72"/>
    <tableColumn id="199" xr3:uid="{3622F2D0-D061-4029-9726-F3AFBFB3F48F}" name="01-Nov" dataDxfId="71"/>
    <tableColumn id="200" xr3:uid="{45CD561F-76EB-4E2D-BE21-A882B8DC1665}" name="02-Nov" dataDxfId="70"/>
    <tableColumn id="201" xr3:uid="{BABEB28A-56CC-4D05-A5EC-F66FE26CAB34}" name="03-Nov" dataDxfId="69"/>
    <tableColumn id="202" xr3:uid="{A8F0973D-B96E-42EB-9E46-937AE680AE0B}" name="04-Nov" dataDxfId="68"/>
    <tableColumn id="203" xr3:uid="{85F05D73-BEA7-4894-897E-C549673F9C68}" name="05-Nov" dataDxfId="67"/>
    <tableColumn id="204" xr3:uid="{314A0396-71E9-4C69-881D-FF21136D0C5E}" name="06-Nov" dataDxfId="66"/>
    <tableColumn id="205" xr3:uid="{6AADF218-35D8-42A3-83FF-177183304F28}" name="07-Nov" dataDxfId="65"/>
    <tableColumn id="206" xr3:uid="{987F2794-7B71-47F3-A59C-D46A32451558}" name="08-Nov" dataDxfId="64"/>
    <tableColumn id="207" xr3:uid="{5C6CA3CA-DD98-4659-B093-9078BFFF9BAB}" name="09-Nov" dataDxfId="63"/>
    <tableColumn id="208" xr3:uid="{366BC234-851F-41E2-A3C2-E562DF9F6770}" name="10-Nov" dataDxfId="62"/>
    <tableColumn id="209" xr3:uid="{9063FCCF-CC27-4A0B-90AE-ED85A4C67F0F}" name="11-Nov" dataDxfId="61"/>
    <tableColumn id="210" xr3:uid="{FFB9487C-1868-4E68-AA68-DDA91C0F0C95}" name="12-Nov" dataDxfId="60"/>
    <tableColumn id="211" xr3:uid="{EFECAE48-98DD-4FE2-9EF5-9B7B3AA3C820}" name="13-Nov" dataDxfId="59"/>
    <tableColumn id="212" xr3:uid="{45B1B5AC-D116-486E-A630-8D9406BFAD9B}" name="14-Nov" dataDxfId="58"/>
    <tableColumn id="213" xr3:uid="{ADBEB91B-A456-4BAC-A626-CCC269102761}" name="15-Nov" dataDxfId="57"/>
    <tableColumn id="214" xr3:uid="{C33DCCF0-DF1A-4249-B5D5-5A402D9B445C}" name="16-Nov" dataDxfId="56"/>
    <tableColumn id="215" xr3:uid="{15DC756D-D1DD-4638-A538-CCA7C42CE0AE}" name="17-Nov" dataDxfId="55"/>
    <tableColumn id="216" xr3:uid="{D5610B51-B8B1-4F7F-9C4E-81DF014201F1}" name="18-Nov" dataDxfId="54"/>
    <tableColumn id="217" xr3:uid="{B5E0C87A-63AA-4711-8D0A-53BB0B0339B4}" name="19-Nov" dataDxfId="53"/>
    <tableColumn id="218" xr3:uid="{98CD3B0D-209B-43D7-A8B9-BA6FCA6087E3}" name="20-Nov" dataDxfId="52"/>
    <tableColumn id="219" xr3:uid="{79BFC772-1245-4BA5-9F7A-521B67D2232B}" name="21-Nov" dataDxfId="51"/>
    <tableColumn id="220" xr3:uid="{2DE837AB-6C5B-4873-A9FE-4826E322DDDB}" name="22-Nov" dataDxfId="50"/>
    <tableColumn id="221" xr3:uid="{9144DFE9-7304-4627-9706-475A5B3F1C03}" name="23-Nov" dataDxfId="49"/>
    <tableColumn id="222" xr3:uid="{C5F44ACD-A772-4F8B-AD26-266F72D150FA}" name="24-Nov" dataDxfId="48"/>
    <tableColumn id="223" xr3:uid="{9878CBDD-9487-4B9F-8925-A8AB05364638}" name="25-Nov" dataDxfId="47"/>
    <tableColumn id="224" xr3:uid="{31ECE0C3-00D6-418A-8F53-B769242A4377}" name="26-Nov" dataDxfId="46"/>
    <tableColumn id="225" xr3:uid="{D4DA1E51-EF49-4ACB-A28F-5F783D224813}" name="27-Nov" dataDxfId="45"/>
    <tableColumn id="226" xr3:uid="{0C522FFB-AB8A-4DAA-845A-0C4522C74041}" name="28-Nov" dataDxfId="44"/>
    <tableColumn id="227" xr3:uid="{2CFE1F34-2D4E-4CC0-AAFA-F3BCDDBDE6A7}" name="29-Nov" dataDxfId="43"/>
    <tableColumn id="228" xr3:uid="{6871958F-74AD-43C6-9A63-31A390EFC8AD}" name="30-Nov" dataDxfId="42"/>
    <tableColumn id="229" xr3:uid="{BD600980-3E06-43D5-A43B-326CA45BA0F8}" name="01-Dec" dataDxfId="41"/>
    <tableColumn id="230" xr3:uid="{A7D897CC-D8A4-4F4B-9EF8-3FBAC0B5B161}" name="02-Dec" dataDxfId="40"/>
    <tableColumn id="231" xr3:uid="{B0F30F04-59FC-443C-82F6-739AF4150740}" name="03-Dec" dataDxfId="39"/>
    <tableColumn id="232" xr3:uid="{9D1DE717-20FC-402E-958F-61FC2E4D7419}" name="04-Dec" dataDxfId="38"/>
    <tableColumn id="233" xr3:uid="{9979DB7C-364D-4775-BA9D-A106E3C0E999}" name="05-Dec" dataDxfId="37"/>
    <tableColumn id="234" xr3:uid="{78995287-6DB0-414C-A187-BB74A17BA2D1}" name="06-Dec" dataDxfId="36"/>
    <tableColumn id="235" xr3:uid="{56CA1D1F-F628-449D-9EF4-9235309151E7}" name="07-Dec" dataDxfId="35"/>
    <tableColumn id="236" xr3:uid="{98A91A53-5E58-44A8-BB74-4160E17C5C72}" name="08-Dec" dataDxfId="34"/>
    <tableColumn id="237" xr3:uid="{FE71EAD3-F119-4763-B3D8-FA3E282246EA}" name="09-Dec" dataDxfId="33"/>
    <tableColumn id="238" xr3:uid="{DED3AB49-71A8-46CB-81E8-6611FFDF90BD}" name="10-Dec" dataDxfId="32"/>
    <tableColumn id="239" xr3:uid="{D2086F9F-3152-4A6E-9A6A-28DFA21764F3}" name="11-Dec" dataDxfId="31"/>
    <tableColumn id="240" xr3:uid="{B6D52D65-9D13-4EC9-9E75-BC46897F62F4}" name="12-Dec" dataDxfId="30"/>
    <tableColumn id="241" xr3:uid="{3BD3EB1A-EE36-4222-88DF-3F30DA31CE68}" name="13-Dec" dataDxfId="29"/>
    <tableColumn id="242" xr3:uid="{FFE94EDB-F39C-4923-BCC1-9025755C650E}" name="14-Dec" dataDxfId="28"/>
    <tableColumn id="243" xr3:uid="{04E6926F-1C33-4CFD-B3FF-30746BE6FA74}" name="15-Dec" dataDxfId="27"/>
    <tableColumn id="244" xr3:uid="{446ABCAD-8B78-4FE4-8850-EF8751D6595E}" name="16-Dec" dataDxfId="26"/>
    <tableColumn id="245" xr3:uid="{48178E03-F3E0-4656-9C15-A9FDEE233E6A}" name="17-Dec" dataDxfId="25"/>
    <tableColumn id="246" xr3:uid="{9AE12CC0-6634-422F-9803-086A2D5BE9AC}" name="18-Dec" dataDxfId="24"/>
    <tableColumn id="247" xr3:uid="{54CA07A6-0B5E-47E5-A552-8EDFD0066D5F}" name="19-Dec" dataDxfId="23"/>
    <tableColumn id="248" xr3:uid="{0D1CE92B-C550-4A66-8093-80CF3F08D978}" name="20-Dec" dataDxfId="22"/>
    <tableColumn id="249" xr3:uid="{BB85DB75-A1FD-4377-8CFF-81C815FB879F}" name="21-Dec" dataDxfId="21"/>
    <tableColumn id="250" xr3:uid="{428B36F0-37C4-4666-8F97-F5BDE41897D7}" name="22-Dec" dataDxfId="20"/>
    <tableColumn id="251" xr3:uid="{90E5D761-57A6-4964-96DF-E7105C590712}" name="23-Dec" dataDxfId="19"/>
    <tableColumn id="252" xr3:uid="{95F592BC-6BBD-4A08-B9BD-9523BE614914}" name="24-Dec" dataDxfId="18"/>
    <tableColumn id="253" xr3:uid="{D261B4B1-278F-4058-A41F-D0E3E52CB856}" name="25-Dec" dataDxfId="17"/>
    <tableColumn id="254" xr3:uid="{1C5668B4-C6B4-47DC-A4BB-145317A4DA1A}" name="26-Dec" dataDxfId="16"/>
    <tableColumn id="255" xr3:uid="{5A15F445-6800-45CD-B05C-23D4A2AC455B}" name="27-Dec" dataDxfId="15"/>
    <tableColumn id="256" xr3:uid="{C684A94E-A834-4CFB-862E-3AF6772190EE}" name="28-Dec" dataDxfId="14"/>
    <tableColumn id="257" xr3:uid="{9946A3D7-D393-4AC4-AF54-D40DDEB60727}" name="29-Dec" dataDxfId="13"/>
    <tableColumn id="258" xr3:uid="{439EED05-5C1D-4AE7-AEC0-BE0F044CCD0C}" name="30-Dec" dataDxfId="12"/>
    <tableColumn id="259" xr3:uid="{3A8AAF48-2F25-425B-9373-F3B85A47D39F}" name="31-Dec" dataDxfId="11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75DC0B-FD34-4E08-A9FE-2F76F9784F4D}" name="Table4" displayName="Table4" ref="A1:G40" totalsRowShown="0" headerRowDxfId="8" dataDxfId="9" tableBorderDxfId="10">
  <autoFilter ref="A1:G40" xr:uid="{D9C74E5E-9DB7-4F3A-93D1-AAF8D9C52637}"/>
  <tableColumns count="7">
    <tableColumn id="1" xr3:uid="{DE885368-5FCD-4D57-AB38-36BB75438CAB}" name="ITEM" dataDxfId="7"/>
    <tableColumn id="2" xr3:uid="{17CF273A-2E9B-4F48-80B8-44C4C8DE61B1}" name="WARNING QTY" dataDxfId="6"/>
    <tableColumn id="3" xr3:uid="{C7B9421B-D165-4A7D-8FC3-F7578502108D}" name="REMAINING STOCK AS OF 26-02-2026 (MANUAL)" dataDxfId="5"/>
    <tableColumn id="4" xr3:uid="{943D14B9-90B3-4620-B4F5-38132427CDB1}" name="REMAINING STOCK (FORMULA)" dataDxfId="4"/>
    <tableColumn id="5" xr3:uid="{7A28D34E-AC38-445C-93CA-1E45C41D1C42}" name="EQUAL?" dataDxfId="3">
      <calculatedColumnFormula>IF(C2=D2,"OK","XX")</calculatedColumnFormula>
    </tableColumn>
    <tableColumn id="6" xr3:uid="{BAF57357-2EA3-46C3-B4F2-845914D0F532}" name="WARNING NOTIFICATION" dataDxfId="2">
      <calculatedColumnFormula>IF(D2&lt;B2,"BELOW REORDER QTY","QUANTITY ABOVE WARNING")</calculatedColumnFormula>
    </tableColumn>
    <tableColumn id="7" xr3:uid="{9D0FAC7E-CB55-46CE-93F4-F6AC003DD4A5}" name="DIFFERENCE" dataDxfId="1">
      <calculatedColumnFormula>B2-D2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0B77C5-A71A-4287-9AA7-67BD1BBAB475}" name="Table5" displayName="Table5" ref="A1:A13" totalsRowShown="0" headerRowDxfId="0">
  <autoFilter ref="A1:A13" xr:uid="{A50B77C5-A71A-4287-9AA7-67BD1BBAB475}"/>
  <tableColumns count="1">
    <tableColumn id="1" xr3:uid="{A02401E2-CBB7-44C1-AA54-FA88D88435CC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X202"/>
  <sheetViews>
    <sheetView zoomScale="90" zoomScaleNormal="90" workbookViewId="0">
      <pane xSplit="13" ySplit="1" topLeftCell="N171" activePane="bottomRight" state="frozen"/>
      <selection pane="topRight"/>
      <selection pane="bottomLeft"/>
      <selection pane="bottomRight" activeCell="N2" sqref="N2"/>
    </sheetView>
  </sheetViews>
  <sheetFormatPr defaultColWidth="13.5546875" defaultRowHeight="13.8" x14ac:dyDescent="0.3"/>
  <cols>
    <col min="1" max="1" width="12.109375" style="65" bestFit="1" customWidth="1"/>
    <col min="2" max="2" width="18.21875" style="16" hidden="1" customWidth="1"/>
    <col min="3" max="3" width="18.88671875" style="16" hidden="1" customWidth="1"/>
    <col min="4" max="4" width="18.109375" style="16" hidden="1" customWidth="1"/>
    <col min="5" max="5" width="63.5546875" style="16" bestFit="1" customWidth="1"/>
    <col min="6" max="6" width="19.109375" style="16" bestFit="1" customWidth="1"/>
    <col min="7" max="7" width="10.33203125" style="16" bestFit="1" customWidth="1"/>
    <col min="8" max="8" width="10.5546875" style="18" bestFit="1" customWidth="1"/>
    <col min="9" max="9" width="11.21875" style="18" bestFit="1" customWidth="1"/>
    <col min="10" max="10" width="16.5546875" style="19" bestFit="1" customWidth="1"/>
    <col min="11" max="11" width="11.77734375" style="20" bestFit="1" customWidth="1"/>
    <col min="12" max="12" width="6.6640625" style="19" bestFit="1" customWidth="1"/>
    <col min="13" max="13" width="8.21875" style="21" bestFit="1" customWidth="1"/>
    <col min="14" max="42" width="9.21875" style="18" bestFit="1" customWidth="1"/>
    <col min="43" max="44" width="9.21875" style="15" bestFit="1" customWidth="1"/>
    <col min="45" max="47" width="8.44140625" style="17" bestFit="1" customWidth="1"/>
    <col min="48" max="74" width="8.44140625" style="16" bestFit="1" customWidth="1"/>
    <col min="75" max="105" width="7.88671875" style="16" bestFit="1" customWidth="1"/>
    <col min="106" max="136" width="8.77734375" style="16" bestFit="1" customWidth="1"/>
    <col min="137" max="166" width="8.6640625" style="16" bestFit="1" customWidth="1"/>
    <col min="167" max="197" width="8.5546875" style="16" bestFit="1" customWidth="1"/>
    <col min="198" max="227" width="8.88671875" style="16" bestFit="1" customWidth="1"/>
    <col min="228" max="258" width="8.77734375" style="16" bestFit="1" customWidth="1"/>
    <col min="259" max="16384" width="13.5546875" style="16"/>
  </cols>
  <sheetData>
    <row r="1" spans="1:258" s="60" customFormat="1" x14ac:dyDescent="0.3">
      <c r="A1" s="55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539</v>
      </c>
      <c r="L1" s="56" t="s">
        <v>10</v>
      </c>
      <c r="M1" s="56" t="s">
        <v>11</v>
      </c>
      <c r="N1" s="57" t="s">
        <v>545</v>
      </c>
      <c r="O1" s="57" t="s">
        <v>546</v>
      </c>
      <c r="P1" s="57" t="s">
        <v>547</v>
      </c>
      <c r="Q1" s="57" t="s">
        <v>548</v>
      </c>
      <c r="R1" s="57" t="s">
        <v>549</v>
      </c>
      <c r="S1" s="57" t="s">
        <v>550</v>
      </c>
      <c r="T1" s="57" t="s">
        <v>551</v>
      </c>
      <c r="U1" s="57" t="s">
        <v>552</v>
      </c>
      <c r="V1" s="57" t="s">
        <v>553</v>
      </c>
      <c r="W1" s="57" t="s">
        <v>554</v>
      </c>
      <c r="X1" s="57" t="s">
        <v>555</v>
      </c>
      <c r="Y1" s="57" t="s">
        <v>556</v>
      </c>
      <c r="Z1" s="57" t="s">
        <v>557</v>
      </c>
      <c r="AA1" s="57" t="s">
        <v>558</v>
      </c>
      <c r="AB1" s="57" t="s">
        <v>559</v>
      </c>
      <c r="AC1" s="57" t="s">
        <v>560</v>
      </c>
      <c r="AD1" s="57" t="s">
        <v>561</v>
      </c>
      <c r="AE1" s="57" t="s">
        <v>562</v>
      </c>
      <c r="AF1" s="57" t="s">
        <v>563</v>
      </c>
      <c r="AG1" s="57" t="s">
        <v>564</v>
      </c>
      <c r="AH1" s="57" t="s">
        <v>565</v>
      </c>
      <c r="AI1" s="57" t="s">
        <v>566</v>
      </c>
      <c r="AJ1" s="57" t="s">
        <v>567</v>
      </c>
      <c r="AK1" s="57" t="s">
        <v>568</v>
      </c>
      <c r="AL1" s="57" t="s">
        <v>569</v>
      </c>
      <c r="AM1" s="57" t="s">
        <v>570</v>
      </c>
      <c r="AN1" s="57" t="s">
        <v>571</v>
      </c>
      <c r="AO1" s="57" t="s">
        <v>572</v>
      </c>
      <c r="AP1" s="57" t="s">
        <v>573</v>
      </c>
      <c r="AQ1" s="57" t="s">
        <v>574</v>
      </c>
      <c r="AR1" s="57" t="s">
        <v>575</v>
      </c>
      <c r="AS1" s="58" t="s">
        <v>576</v>
      </c>
      <c r="AT1" s="58" t="s">
        <v>577</v>
      </c>
      <c r="AU1" s="58" t="s">
        <v>578</v>
      </c>
      <c r="AV1" s="57" t="s">
        <v>579</v>
      </c>
      <c r="AW1" s="57" t="s">
        <v>580</v>
      </c>
      <c r="AX1" s="57" t="s">
        <v>581</v>
      </c>
      <c r="AY1" s="57" t="s">
        <v>582</v>
      </c>
      <c r="AZ1" s="57" t="s">
        <v>583</v>
      </c>
      <c r="BA1" s="57" t="s">
        <v>584</v>
      </c>
      <c r="BB1" s="57" t="s">
        <v>585</v>
      </c>
      <c r="BC1" s="57" t="s">
        <v>586</v>
      </c>
      <c r="BD1" s="57" t="s">
        <v>587</v>
      </c>
      <c r="BE1" s="57" t="s">
        <v>588</v>
      </c>
      <c r="BF1" s="57" t="s">
        <v>589</v>
      </c>
      <c r="BG1" s="57" t="s">
        <v>590</v>
      </c>
      <c r="BH1" s="57" t="s">
        <v>591</v>
      </c>
      <c r="BI1" s="57" t="s">
        <v>592</v>
      </c>
      <c r="BJ1" s="57" t="s">
        <v>593</v>
      </c>
      <c r="BK1" s="57" t="s">
        <v>594</v>
      </c>
      <c r="BL1" s="57" t="s">
        <v>595</v>
      </c>
      <c r="BM1" s="57" t="s">
        <v>596</v>
      </c>
      <c r="BN1" s="57" t="s">
        <v>597</v>
      </c>
      <c r="BO1" s="57" t="s">
        <v>598</v>
      </c>
      <c r="BP1" s="57" t="s">
        <v>599</v>
      </c>
      <c r="BQ1" s="57" t="s">
        <v>600</v>
      </c>
      <c r="BR1" s="57" t="s">
        <v>601</v>
      </c>
      <c r="BS1" s="57" t="s">
        <v>602</v>
      </c>
      <c r="BT1" s="57" t="s">
        <v>603</v>
      </c>
      <c r="BU1" s="57" t="s">
        <v>604</v>
      </c>
      <c r="BV1" s="57" t="s">
        <v>605</v>
      </c>
      <c r="BW1" s="57" t="s">
        <v>606</v>
      </c>
      <c r="BX1" s="57" t="s">
        <v>607</v>
      </c>
      <c r="BY1" s="57" t="s">
        <v>608</v>
      </c>
      <c r="BZ1" s="57" t="s">
        <v>609</v>
      </c>
      <c r="CA1" s="57" t="s">
        <v>610</v>
      </c>
      <c r="CB1" s="57" t="s">
        <v>611</v>
      </c>
      <c r="CC1" s="57" t="s">
        <v>612</v>
      </c>
      <c r="CD1" s="57" t="s">
        <v>613</v>
      </c>
      <c r="CE1" s="57" t="s">
        <v>614</v>
      </c>
      <c r="CF1" s="57" t="s">
        <v>615</v>
      </c>
      <c r="CG1" s="57" t="s">
        <v>616</v>
      </c>
      <c r="CH1" s="57" t="s">
        <v>617</v>
      </c>
      <c r="CI1" s="57" t="s">
        <v>618</v>
      </c>
      <c r="CJ1" s="57" t="s">
        <v>619</v>
      </c>
      <c r="CK1" s="57" t="s">
        <v>620</v>
      </c>
      <c r="CL1" s="57" t="s">
        <v>621</v>
      </c>
      <c r="CM1" s="57" t="s">
        <v>622</v>
      </c>
      <c r="CN1" s="57" t="s">
        <v>623</v>
      </c>
      <c r="CO1" s="57" t="s">
        <v>624</v>
      </c>
      <c r="CP1" s="57" t="s">
        <v>625</v>
      </c>
      <c r="CQ1" s="57" t="s">
        <v>626</v>
      </c>
      <c r="CR1" s="57" t="s">
        <v>627</v>
      </c>
      <c r="CS1" s="57" t="s">
        <v>628</v>
      </c>
      <c r="CT1" s="57" t="s">
        <v>629</v>
      </c>
      <c r="CU1" s="57" t="s">
        <v>630</v>
      </c>
      <c r="CV1" s="57" t="s">
        <v>631</v>
      </c>
      <c r="CW1" s="57" t="s">
        <v>632</v>
      </c>
      <c r="CX1" s="57" t="s">
        <v>633</v>
      </c>
      <c r="CY1" s="57" t="s">
        <v>634</v>
      </c>
      <c r="CZ1" s="57" t="s">
        <v>635</v>
      </c>
      <c r="DA1" s="57" t="s">
        <v>636</v>
      </c>
      <c r="DB1" s="57" t="s">
        <v>637</v>
      </c>
      <c r="DC1" s="57" t="s">
        <v>638</v>
      </c>
      <c r="DD1" s="57" t="s">
        <v>639</v>
      </c>
      <c r="DE1" s="57" t="s">
        <v>640</v>
      </c>
      <c r="DF1" s="57" t="s">
        <v>641</v>
      </c>
      <c r="DG1" s="57" t="s">
        <v>642</v>
      </c>
      <c r="DH1" s="57" t="s">
        <v>643</v>
      </c>
      <c r="DI1" s="57" t="s">
        <v>644</v>
      </c>
      <c r="DJ1" s="57" t="s">
        <v>645</v>
      </c>
      <c r="DK1" s="57" t="s">
        <v>646</v>
      </c>
      <c r="DL1" s="57" t="s">
        <v>647</v>
      </c>
      <c r="DM1" s="57" t="s">
        <v>648</v>
      </c>
      <c r="DN1" s="57" t="s">
        <v>649</v>
      </c>
      <c r="DO1" s="57" t="s">
        <v>650</v>
      </c>
      <c r="DP1" s="57" t="s">
        <v>651</v>
      </c>
      <c r="DQ1" s="57" t="s">
        <v>652</v>
      </c>
      <c r="DR1" s="57" t="s">
        <v>653</v>
      </c>
      <c r="DS1" s="57" t="s">
        <v>654</v>
      </c>
      <c r="DT1" s="57" t="s">
        <v>655</v>
      </c>
      <c r="DU1" s="57" t="s">
        <v>656</v>
      </c>
      <c r="DV1" s="57" t="s">
        <v>657</v>
      </c>
      <c r="DW1" s="57" t="s">
        <v>658</v>
      </c>
      <c r="DX1" s="57" t="s">
        <v>659</v>
      </c>
      <c r="DY1" s="57" t="s">
        <v>660</v>
      </c>
      <c r="DZ1" s="57" t="s">
        <v>661</v>
      </c>
      <c r="EA1" s="57" t="s">
        <v>662</v>
      </c>
      <c r="EB1" s="57" t="s">
        <v>663</v>
      </c>
      <c r="EC1" s="57" t="s">
        <v>664</v>
      </c>
      <c r="ED1" s="57" t="s">
        <v>665</v>
      </c>
      <c r="EE1" s="57" t="s">
        <v>666</v>
      </c>
      <c r="EF1" s="57" t="s">
        <v>667</v>
      </c>
      <c r="EG1" s="57" t="s">
        <v>668</v>
      </c>
      <c r="EH1" s="57" t="s">
        <v>669</v>
      </c>
      <c r="EI1" s="57" t="s">
        <v>670</v>
      </c>
      <c r="EJ1" s="57" t="s">
        <v>671</v>
      </c>
      <c r="EK1" s="57" t="s">
        <v>672</v>
      </c>
      <c r="EL1" s="57" t="s">
        <v>673</v>
      </c>
      <c r="EM1" s="57" t="s">
        <v>674</v>
      </c>
      <c r="EN1" s="57" t="s">
        <v>675</v>
      </c>
      <c r="EO1" s="57" t="s">
        <v>676</v>
      </c>
      <c r="EP1" s="57" t="s">
        <v>677</v>
      </c>
      <c r="EQ1" s="57" t="s">
        <v>678</v>
      </c>
      <c r="ER1" s="57" t="s">
        <v>679</v>
      </c>
      <c r="ES1" s="57" t="s">
        <v>680</v>
      </c>
      <c r="ET1" s="57" t="s">
        <v>681</v>
      </c>
      <c r="EU1" s="57" t="s">
        <v>682</v>
      </c>
      <c r="EV1" s="57" t="s">
        <v>683</v>
      </c>
      <c r="EW1" s="57" t="s">
        <v>684</v>
      </c>
      <c r="EX1" s="57" t="s">
        <v>685</v>
      </c>
      <c r="EY1" s="57" t="s">
        <v>686</v>
      </c>
      <c r="EZ1" s="57" t="s">
        <v>687</v>
      </c>
      <c r="FA1" s="57" t="s">
        <v>688</v>
      </c>
      <c r="FB1" s="57" t="s">
        <v>689</v>
      </c>
      <c r="FC1" s="57" t="s">
        <v>690</v>
      </c>
      <c r="FD1" s="57" t="s">
        <v>691</v>
      </c>
      <c r="FE1" s="57" t="s">
        <v>692</v>
      </c>
      <c r="FF1" s="57" t="s">
        <v>693</v>
      </c>
      <c r="FG1" s="57" t="s">
        <v>694</v>
      </c>
      <c r="FH1" s="57" t="s">
        <v>695</v>
      </c>
      <c r="FI1" s="57" t="s">
        <v>696</v>
      </c>
      <c r="FJ1" s="57" t="s">
        <v>697</v>
      </c>
      <c r="FK1" s="57" t="s">
        <v>698</v>
      </c>
      <c r="FL1" s="57" t="s">
        <v>699</v>
      </c>
      <c r="FM1" s="57" t="s">
        <v>700</v>
      </c>
      <c r="FN1" s="57" t="s">
        <v>701</v>
      </c>
      <c r="FO1" s="57" t="s">
        <v>702</v>
      </c>
      <c r="FP1" s="57" t="s">
        <v>703</v>
      </c>
      <c r="FQ1" s="57" t="s">
        <v>704</v>
      </c>
      <c r="FR1" s="57" t="s">
        <v>705</v>
      </c>
      <c r="FS1" s="57" t="s">
        <v>706</v>
      </c>
      <c r="FT1" s="57" t="s">
        <v>707</v>
      </c>
      <c r="FU1" s="57" t="s">
        <v>708</v>
      </c>
      <c r="FV1" s="57" t="s">
        <v>709</v>
      </c>
      <c r="FW1" s="57" t="s">
        <v>710</v>
      </c>
      <c r="FX1" s="57" t="s">
        <v>711</v>
      </c>
      <c r="FY1" s="57" t="s">
        <v>712</v>
      </c>
      <c r="FZ1" s="57" t="s">
        <v>713</v>
      </c>
      <c r="GA1" s="57" t="s">
        <v>714</v>
      </c>
      <c r="GB1" s="57" t="s">
        <v>715</v>
      </c>
      <c r="GC1" s="57" t="s">
        <v>716</v>
      </c>
      <c r="GD1" s="57" t="s">
        <v>717</v>
      </c>
      <c r="GE1" s="57" t="s">
        <v>718</v>
      </c>
      <c r="GF1" s="57" t="s">
        <v>719</v>
      </c>
      <c r="GG1" s="57" t="s">
        <v>720</v>
      </c>
      <c r="GH1" s="57" t="s">
        <v>721</v>
      </c>
      <c r="GI1" s="57" t="s">
        <v>722</v>
      </c>
      <c r="GJ1" s="57" t="s">
        <v>723</v>
      </c>
      <c r="GK1" s="57" t="s">
        <v>724</v>
      </c>
      <c r="GL1" s="57" t="s">
        <v>725</v>
      </c>
      <c r="GM1" s="57" t="s">
        <v>726</v>
      </c>
      <c r="GN1" s="57" t="s">
        <v>727</v>
      </c>
      <c r="GO1" s="57" t="s">
        <v>728</v>
      </c>
      <c r="GP1" s="57" t="s">
        <v>729</v>
      </c>
      <c r="GQ1" s="57" t="s">
        <v>730</v>
      </c>
      <c r="GR1" s="57" t="s">
        <v>731</v>
      </c>
      <c r="GS1" s="57" t="s">
        <v>732</v>
      </c>
      <c r="GT1" s="57" t="s">
        <v>733</v>
      </c>
      <c r="GU1" s="57" t="s">
        <v>734</v>
      </c>
      <c r="GV1" s="57" t="s">
        <v>735</v>
      </c>
      <c r="GW1" s="57" t="s">
        <v>736</v>
      </c>
      <c r="GX1" s="57" t="s">
        <v>737</v>
      </c>
      <c r="GY1" s="57" t="s">
        <v>738</v>
      </c>
      <c r="GZ1" s="57" t="s">
        <v>739</v>
      </c>
      <c r="HA1" s="57" t="s">
        <v>740</v>
      </c>
      <c r="HB1" s="57" t="s">
        <v>741</v>
      </c>
      <c r="HC1" s="57" t="s">
        <v>742</v>
      </c>
      <c r="HD1" s="57" t="s">
        <v>743</v>
      </c>
      <c r="HE1" s="57" t="s">
        <v>744</v>
      </c>
      <c r="HF1" s="57" t="s">
        <v>745</v>
      </c>
      <c r="HG1" s="57" t="s">
        <v>746</v>
      </c>
      <c r="HH1" s="57" t="s">
        <v>747</v>
      </c>
      <c r="HI1" s="57" t="s">
        <v>748</v>
      </c>
      <c r="HJ1" s="57" t="s">
        <v>749</v>
      </c>
      <c r="HK1" s="57" t="s">
        <v>750</v>
      </c>
      <c r="HL1" s="57" t="s">
        <v>751</v>
      </c>
      <c r="HM1" s="57" t="s">
        <v>752</v>
      </c>
      <c r="HN1" s="57" t="s">
        <v>753</v>
      </c>
      <c r="HO1" s="57" t="s">
        <v>754</v>
      </c>
      <c r="HP1" s="57" t="s">
        <v>755</v>
      </c>
      <c r="HQ1" s="57" t="s">
        <v>756</v>
      </c>
      <c r="HR1" s="57" t="s">
        <v>757</v>
      </c>
      <c r="HS1" s="57" t="s">
        <v>758</v>
      </c>
      <c r="HT1" s="57" t="s">
        <v>759</v>
      </c>
      <c r="HU1" s="57" t="s">
        <v>760</v>
      </c>
      <c r="HV1" s="57" t="s">
        <v>761</v>
      </c>
      <c r="HW1" s="57" t="s">
        <v>762</v>
      </c>
      <c r="HX1" s="57" t="s">
        <v>763</v>
      </c>
      <c r="HY1" s="57" t="s">
        <v>764</v>
      </c>
      <c r="HZ1" s="57" t="s">
        <v>765</v>
      </c>
      <c r="IA1" s="57" t="s">
        <v>766</v>
      </c>
      <c r="IB1" s="57" t="s">
        <v>767</v>
      </c>
      <c r="IC1" s="57" t="s">
        <v>768</v>
      </c>
      <c r="ID1" s="57" t="s">
        <v>769</v>
      </c>
      <c r="IE1" s="57" t="s">
        <v>770</v>
      </c>
      <c r="IF1" s="57" t="s">
        <v>771</v>
      </c>
      <c r="IG1" s="57" t="s">
        <v>772</v>
      </c>
      <c r="IH1" s="57" t="s">
        <v>773</v>
      </c>
      <c r="II1" s="57" t="s">
        <v>774</v>
      </c>
      <c r="IJ1" s="57" t="s">
        <v>775</v>
      </c>
      <c r="IK1" s="57" t="s">
        <v>776</v>
      </c>
      <c r="IL1" s="57" t="s">
        <v>777</v>
      </c>
      <c r="IM1" s="57" t="s">
        <v>778</v>
      </c>
      <c r="IN1" s="57" t="s">
        <v>779</v>
      </c>
      <c r="IO1" s="57" t="s">
        <v>780</v>
      </c>
      <c r="IP1" s="57" t="s">
        <v>781</v>
      </c>
      <c r="IQ1" s="57" t="s">
        <v>782</v>
      </c>
      <c r="IR1" s="57" t="s">
        <v>783</v>
      </c>
      <c r="IS1" s="57" t="s">
        <v>784</v>
      </c>
      <c r="IT1" s="57" t="s">
        <v>785</v>
      </c>
      <c r="IU1" s="57" t="s">
        <v>786</v>
      </c>
      <c r="IV1" s="57" t="s">
        <v>787</v>
      </c>
      <c r="IW1" s="57" t="s">
        <v>788</v>
      </c>
      <c r="IX1" s="59" t="s">
        <v>789</v>
      </c>
    </row>
    <row r="2" spans="1:258" ht="21.6" x14ac:dyDescent="0.3">
      <c r="A2" s="61" t="s">
        <v>12</v>
      </c>
      <c r="B2" s="22" t="s">
        <v>13</v>
      </c>
      <c r="C2" s="23" t="s">
        <v>14</v>
      </c>
      <c r="D2" s="23" t="s">
        <v>15</v>
      </c>
      <c r="E2" s="22" t="str">
        <f>"Intraoperative Warming Blanket Lower Body 62"" x 46"" (142 cm x 120 cm)"&amp;CHAR(10)&amp;"LOT # "&amp;H2&amp;" "&amp;"EXP # "&amp;TEXT(I2,"dd-mm-yyyy")</f>
        <v>Intraoperative Warming Blanket Lower Body 62" x 46" (142 cm x 120 cm)
LOT # WB250608002S EXP # 07-06-2028</v>
      </c>
      <c r="F2" s="23" t="s">
        <v>17</v>
      </c>
      <c r="G2" s="23" t="s">
        <v>30</v>
      </c>
      <c r="H2" s="24" t="s">
        <v>240</v>
      </c>
      <c r="I2" s="25">
        <v>46911</v>
      </c>
      <c r="J2" s="26">
        <f t="shared" ref="J2:J48" si="0">K2-L2</f>
        <v>0</v>
      </c>
      <c r="K2" s="27">
        <v>0</v>
      </c>
      <c r="L2" s="26">
        <f>SUM(N2:IX2)</f>
        <v>0</v>
      </c>
      <c r="M2" s="28" t="s">
        <v>19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30"/>
      <c r="AT2" s="30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3"/>
    </row>
    <row r="3" spans="1:258" ht="21.6" x14ac:dyDescent="0.3">
      <c r="A3" s="61" t="s">
        <v>12</v>
      </c>
      <c r="B3" s="22" t="s">
        <v>13</v>
      </c>
      <c r="C3" s="23" t="s">
        <v>14</v>
      </c>
      <c r="D3" s="23" t="s">
        <v>15</v>
      </c>
      <c r="E3" s="22" t="str">
        <f t="shared" ref="E3:E6" si="1">"Intraoperative Warming Blanket Lower Body 62"" x 46"" (142 cm x 120 cm)"&amp;CHAR(10)&amp;"LOT # "&amp;H3&amp;" "&amp;"EXP # "&amp;TEXT(I3,"dd-mm-yyyy")</f>
        <v>Intraoperative Warming Blanket Lower Body 62" x 46" (142 cm x 120 cm)
LOT # 25082702002 EXP # 26-08-2028</v>
      </c>
      <c r="F3" s="23" t="s">
        <v>17</v>
      </c>
      <c r="G3" s="23" t="s">
        <v>30</v>
      </c>
      <c r="H3" s="24">
        <v>25082702002</v>
      </c>
      <c r="I3" s="25">
        <v>46991</v>
      </c>
      <c r="J3" s="26">
        <f t="shared" si="0"/>
        <v>0</v>
      </c>
      <c r="K3" s="27">
        <v>0</v>
      </c>
      <c r="L3" s="26">
        <f t="shared" ref="L3:L66" si="2">SUM(N3:IX3)</f>
        <v>0</v>
      </c>
      <c r="M3" s="28" t="s">
        <v>19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30"/>
      <c r="AT3" s="30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3"/>
    </row>
    <row r="4" spans="1:258" ht="21.6" x14ac:dyDescent="0.3">
      <c r="A4" s="61" t="s">
        <v>12</v>
      </c>
      <c r="B4" s="22" t="s">
        <v>13</v>
      </c>
      <c r="C4" s="23" t="s">
        <v>14</v>
      </c>
      <c r="D4" s="23" t="s">
        <v>15</v>
      </c>
      <c r="E4" s="22" t="str">
        <f t="shared" ref="E4" si="3">"Intraoperative Warming Blanket Lower Body 62"" x 46"" (142 cm x 120 cm)"&amp;CHAR(10)&amp;"LOT # "&amp;H4&amp;" "&amp;"EXP # "&amp;TEXT(I4,"dd-mm-yyyy")</f>
        <v>Intraoperative Warming Blanket Lower Body 62" x 46" (142 cm x 120 cm)
LOT # 25121206002 EXP # 11-12-2028</v>
      </c>
      <c r="F4" s="23" t="s">
        <v>17</v>
      </c>
      <c r="G4" s="23" t="s">
        <v>18</v>
      </c>
      <c r="H4" s="24">
        <v>25121206002</v>
      </c>
      <c r="I4" s="25">
        <v>47098</v>
      </c>
      <c r="J4" s="26">
        <f t="shared" si="0"/>
        <v>24</v>
      </c>
      <c r="K4" s="27">
        <v>99</v>
      </c>
      <c r="L4" s="26">
        <f t="shared" si="2"/>
        <v>75</v>
      </c>
      <c r="M4" s="28" t="s">
        <v>19</v>
      </c>
      <c r="N4" s="29"/>
      <c r="O4" s="29"/>
      <c r="P4" s="29"/>
      <c r="Q4" s="29"/>
      <c r="R4" s="34">
        <f>40</f>
        <v>40</v>
      </c>
      <c r="S4" s="29"/>
      <c r="T4" s="29"/>
      <c r="U4" s="29"/>
      <c r="V4" s="29"/>
      <c r="W4" s="29"/>
      <c r="X4" s="29"/>
      <c r="Y4" s="34">
        <f>20</f>
        <v>20</v>
      </c>
      <c r="Z4" s="29"/>
      <c r="AA4" s="29"/>
      <c r="AB4" s="29"/>
      <c r="AC4" s="29"/>
      <c r="AD4" s="29"/>
      <c r="AE4" s="29"/>
      <c r="AF4" s="29"/>
      <c r="AG4" s="29"/>
      <c r="AH4" s="34">
        <f>15</f>
        <v>15</v>
      </c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30"/>
      <c r="AT4" s="30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3"/>
    </row>
    <row r="5" spans="1:258" ht="21.6" x14ac:dyDescent="0.3">
      <c r="A5" s="61" t="s">
        <v>12</v>
      </c>
      <c r="B5" s="22" t="s">
        <v>13</v>
      </c>
      <c r="C5" s="23" t="s">
        <v>14</v>
      </c>
      <c r="D5" s="23" t="s">
        <v>15</v>
      </c>
      <c r="E5" s="22" t="str">
        <f t="shared" si="1"/>
        <v>Intraoperative Warming Blanket Lower Body 62" x 46" (142 cm x 120 cm)
LOT # 25051203002 EXP # 11-05-2028</v>
      </c>
      <c r="F5" s="23" t="s">
        <v>17</v>
      </c>
      <c r="G5" s="23" t="s">
        <v>30</v>
      </c>
      <c r="H5" s="24">
        <v>25051203002</v>
      </c>
      <c r="I5" s="25">
        <v>46884</v>
      </c>
      <c r="J5" s="26">
        <f t="shared" si="0"/>
        <v>0</v>
      </c>
      <c r="K5" s="27">
        <v>0</v>
      </c>
      <c r="L5" s="26">
        <f t="shared" si="2"/>
        <v>0</v>
      </c>
      <c r="M5" s="2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30"/>
      <c r="AT5" s="30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3"/>
    </row>
    <row r="6" spans="1:258" ht="21.6" x14ac:dyDescent="0.3">
      <c r="A6" s="61" t="s">
        <v>12</v>
      </c>
      <c r="B6" s="22" t="s">
        <v>13</v>
      </c>
      <c r="C6" s="23" t="s">
        <v>14</v>
      </c>
      <c r="D6" s="23" t="s">
        <v>15</v>
      </c>
      <c r="E6" s="22" t="str">
        <f t="shared" si="1"/>
        <v>Intraoperative Warming Blanket Lower Body 62" x 46" (142 cm x 120 cm)
LOT # WB230714002S EXP # 13-07-2026</v>
      </c>
      <c r="F6" s="23" t="s">
        <v>17</v>
      </c>
      <c r="G6" s="23" t="s">
        <v>30</v>
      </c>
      <c r="H6" s="24" t="s">
        <v>21</v>
      </c>
      <c r="I6" s="25">
        <v>46216</v>
      </c>
      <c r="J6" s="26">
        <f t="shared" si="0"/>
        <v>0</v>
      </c>
      <c r="K6" s="27">
        <v>0</v>
      </c>
      <c r="L6" s="26">
        <f t="shared" si="2"/>
        <v>0</v>
      </c>
      <c r="M6" s="26">
        <f>SUM(J2:J6)</f>
        <v>24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30"/>
      <c r="AT6" s="30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3"/>
    </row>
    <row r="7" spans="1:258" ht="21.6" x14ac:dyDescent="0.3">
      <c r="A7" s="61" t="s">
        <v>22</v>
      </c>
      <c r="B7" s="22" t="s">
        <v>13</v>
      </c>
      <c r="C7" s="23" t="s">
        <v>14</v>
      </c>
      <c r="D7" s="23" t="s">
        <v>23</v>
      </c>
      <c r="E7" s="22" t="str">
        <f>"Intraoperative Warming Blanket Upper Body 80"" x 25"" (202 cm x 64 cm)"&amp;CHAR(10)&amp;"LOT # "&amp;H7&amp;" "&amp;"EXP # "&amp;TEXT(I7,"dd-mm-yyyy")</f>
        <v>Intraoperative Warming Blanket Upper Body 80" x 25" (202 cm x 64 cm)
LOT # 25072302003 EXP # 22-07-2028</v>
      </c>
      <c r="F7" s="23" t="s">
        <v>17</v>
      </c>
      <c r="G7" s="23" t="s">
        <v>30</v>
      </c>
      <c r="H7" s="24">
        <v>25072302003</v>
      </c>
      <c r="I7" s="25">
        <v>46956</v>
      </c>
      <c r="J7" s="26">
        <f t="shared" si="0"/>
        <v>0</v>
      </c>
      <c r="K7" s="27">
        <v>0</v>
      </c>
      <c r="L7" s="26">
        <f t="shared" si="2"/>
        <v>0</v>
      </c>
      <c r="M7" s="28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30"/>
      <c r="AT7" s="30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3"/>
    </row>
    <row r="8" spans="1:258" ht="21.6" x14ac:dyDescent="0.3">
      <c r="A8" s="61" t="s">
        <v>22</v>
      </c>
      <c r="B8" s="22"/>
      <c r="C8" s="23"/>
      <c r="D8" s="23"/>
      <c r="E8" s="22" t="str">
        <f>"Intraoperative Warming Blanket Upper Body 80"" x 25"" (202 cm x 64 cm)"&amp;CHAR(10)&amp;"LOT # "&amp;H8&amp;" "&amp;"EXP # "&amp;TEXT(I8,"dd-mm-yyyy")</f>
        <v>Intraoperative Warming Blanket Upper Body 80" x 25" (202 cm x 64 cm)
LOT # 25121901003 EXP # 18-12-2028</v>
      </c>
      <c r="F8" s="23" t="s">
        <v>17</v>
      </c>
      <c r="G8" s="23" t="s">
        <v>30</v>
      </c>
      <c r="H8" s="24">
        <v>25121901003</v>
      </c>
      <c r="I8" s="25">
        <v>47105</v>
      </c>
      <c r="J8" s="26">
        <f t="shared" si="0"/>
        <v>0</v>
      </c>
      <c r="K8" s="27">
        <v>0</v>
      </c>
      <c r="L8" s="26">
        <f t="shared" si="2"/>
        <v>0</v>
      </c>
      <c r="M8" s="28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30"/>
      <c r="AT8" s="30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3"/>
    </row>
    <row r="9" spans="1:258" ht="21.6" x14ac:dyDescent="0.3">
      <c r="A9" s="61" t="s">
        <v>22</v>
      </c>
      <c r="B9" s="22" t="s">
        <v>13</v>
      </c>
      <c r="C9" s="23" t="s">
        <v>14</v>
      </c>
      <c r="D9" s="23" t="s">
        <v>23</v>
      </c>
      <c r="E9" s="22" t="str">
        <f t="shared" ref="E9:E13" si="4">"Intraoperative Warming Blanket Upper Body 80"" x 25"" (202 cm x 64 cm)"&amp;CHAR(10)&amp;"LOT # "&amp;H9&amp;" "&amp;"EXP # "&amp;TEXT(I9,"dd-mm-yyyy")</f>
        <v>Intraoperative Warming Blanket Upper Body 80" x 25" (202 cm x 64 cm)
LOT # WB250607003S EXP # 06-06-2028</v>
      </c>
      <c r="F9" s="23" t="s">
        <v>17</v>
      </c>
      <c r="G9" s="23" t="s">
        <v>30</v>
      </c>
      <c r="H9" s="24" t="s">
        <v>231</v>
      </c>
      <c r="I9" s="25">
        <v>46910</v>
      </c>
      <c r="J9" s="26">
        <f t="shared" si="0"/>
        <v>0</v>
      </c>
      <c r="K9" s="27">
        <v>0</v>
      </c>
      <c r="L9" s="26">
        <f t="shared" si="2"/>
        <v>0</v>
      </c>
      <c r="M9" s="28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30"/>
      <c r="AT9" s="30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3"/>
    </row>
    <row r="10" spans="1:258" ht="21.6" x14ac:dyDescent="0.3">
      <c r="A10" s="61" t="s">
        <v>22</v>
      </c>
      <c r="B10" s="22" t="s">
        <v>13</v>
      </c>
      <c r="C10" s="23" t="s">
        <v>14</v>
      </c>
      <c r="D10" s="23" t="s">
        <v>23</v>
      </c>
      <c r="E10" s="22" t="str">
        <f t="shared" si="4"/>
        <v>Intraoperative Warming Blanket Upper Body 80" x 25" (202 cm x 64 cm)
LOT # WB230720003S EXP # 19-07-2026</v>
      </c>
      <c r="F10" s="23" t="s">
        <v>17</v>
      </c>
      <c r="G10" s="23" t="s">
        <v>30</v>
      </c>
      <c r="H10" s="24" t="s">
        <v>26</v>
      </c>
      <c r="I10" s="25">
        <v>46222</v>
      </c>
      <c r="J10" s="26">
        <f t="shared" si="0"/>
        <v>0</v>
      </c>
      <c r="K10" s="27">
        <v>0</v>
      </c>
      <c r="L10" s="26">
        <f t="shared" si="2"/>
        <v>0</v>
      </c>
      <c r="M10" s="28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30"/>
      <c r="AT10" s="30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3"/>
    </row>
    <row r="11" spans="1:258" ht="21.6" x14ac:dyDescent="0.3">
      <c r="A11" s="61" t="s">
        <v>22</v>
      </c>
      <c r="B11" s="22"/>
      <c r="C11" s="23"/>
      <c r="D11" s="23"/>
      <c r="E11" s="22" t="str">
        <f t="shared" si="4"/>
        <v>Intraoperative Warming Blanket Upper Body 80" x 25" (202 cm x 64 cm)
LOT # 26030601003 EXP # 05-03-2029</v>
      </c>
      <c r="F11" s="23" t="s">
        <v>17</v>
      </c>
      <c r="G11" s="23" t="s">
        <v>18</v>
      </c>
      <c r="H11" s="24">
        <v>26030601003</v>
      </c>
      <c r="I11" s="25">
        <v>47182</v>
      </c>
      <c r="J11" s="26">
        <f t="shared" si="0"/>
        <v>767</v>
      </c>
      <c r="K11" s="27">
        <v>1400</v>
      </c>
      <c r="L11" s="26">
        <f t="shared" si="2"/>
        <v>633</v>
      </c>
      <c r="M11" s="28" t="s">
        <v>19</v>
      </c>
      <c r="N11" s="29"/>
      <c r="O11" s="29"/>
      <c r="P11" s="29"/>
      <c r="Q11" s="29"/>
      <c r="R11" s="29"/>
      <c r="S11" s="29"/>
      <c r="T11" s="29"/>
      <c r="U11" s="29"/>
      <c r="V11" s="34">
        <f>20+40+50+20+40+40+50+73+110</f>
        <v>443</v>
      </c>
      <c r="W11" s="29"/>
      <c r="X11" s="29"/>
      <c r="Y11" s="29"/>
      <c r="Z11" s="29"/>
      <c r="AA11" s="29"/>
      <c r="AB11" s="29"/>
      <c r="AC11" s="29"/>
      <c r="AD11" s="29"/>
      <c r="AE11" s="29"/>
      <c r="AF11" s="34">
        <f>60</f>
        <v>60</v>
      </c>
      <c r="AG11" s="29"/>
      <c r="AH11" s="34">
        <f>40</f>
        <v>40</v>
      </c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35">
        <f>50+40</f>
        <v>90</v>
      </c>
      <c r="AT11" s="30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3"/>
    </row>
    <row r="12" spans="1:258" ht="21.6" x14ac:dyDescent="0.3">
      <c r="A12" s="61" t="s">
        <v>22</v>
      </c>
      <c r="B12" s="22" t="s">
        <v>13</v>
      </c>
      <c r="C12" s="23" t="s">
        <v>14</v>
      </c>
      <c r="D12" s="23" t="s">
        <v>23</v>
      </c>
      <c r="E12" s="22" t="str">
        <f t="shared" si="4"/>
        <v>Intraoperative Warming Blanket Upper Body 80" x 25" (202 cm x 64 cm)
LOT # WB230615003 EXP # 14-06-2026</v>
      </c>
      <c r="F12" s="23" t="s">
        <v>17</v>
      </c>
      <c r="G12" s="23" t="s">
        <v>30</v>
      </c>
      <c r="H12" s="24" t="s">
        <v>538</v>
      </c>
      <c r="I12" s="25">
        <v>46187</v>
      </c>
      <c r="J12" s="26">
        <f t="shared" si="0"/>
        <v>0</v>
      </c>
      <c r="K12" s="27">
        <v>0</v>
      </c>
      <c r="L12" s="26">
        <f t="shared" si="2"/>
        <v>0</v>
      </c>
      <c r="M12" s="28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30"/>
      <c r="AT12" s="30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3"/>
    </row>
    <row r="13" spans="1:258" ht="21.6" x14ac:dyDescent="0.3">
      <c r="A13" s="61" t="s">
        <v>22</v>
      </c>
      <c r="B13" s="22" t="s">
        <v>13</v>
      </c>
      <c r="C13" s="23" t="s">
        <v>14</v>
      </c>
      <c r="D13" s="23" t="s">
        <v>23</v>
      </c>
      <c r="E13" s="22" t="str">
        <f t="shared" si="4"/>
        <v>Intraoperative Warming Blanket Upper Body 80" x 25" (202 cm x 64 cm)
LOT # 25030501003 EXP # 04-03-2028</v>
      </c>
      <c r="F13" s="23" t="s">
        <v>17</v>
      </c>
      <c r="G13" s="23" t="s">
        <v>30</v>
      </c>
      <c r="H13" s="24">
        <v>25030501003</v>
      </c>
      <c r="I13" s="25">
        <v>46816</v>
      </c>
      <c r="J13" s="26">
        <f t="shared" si="0"/>
        <v>0</v>
      </c>
      <c r="K13" s="27">
        <v>0</v>
      </c>
      <c r="L13" s="26">
        <f t="shared" si="2"/>
        <v>0</v>
      </c>
      <c r="M13" s="26">
        <f>SUM(J7:J13)</f>
        <v>767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30"/>
      <c r="AT13" s="30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3"/>
    </row>
    <row r="14" spans="1:258" ht="21.6" x14ac:dyDescent="0.3">
      <c r="A14" s="61" t="s">
        <v>28</v>
      </c>
      <c r="B14" s="22" t="s">
        <v>13</v>
      </c>
      <c r="C14" s="23" t="s">
        <v>14</v>
      </c>
      <c r="D14" s="23" t="s">
        <v>29</v>
      </c>
      <c r="E14" s="22" t="str">
        <f>"Intraoperative Warming Blanket Adult Full Body 83"" x 47"" (210 cm x 120 cm) 40/box"&amp;CHAR(10)&amp;"LOT # "&amp;H14&amp;" "&amp;"EXP # "&amp;TEXT(I14,"dd-mm-yyyy")</f>
        <v>Intraoperative Warming Blanket Adult Full Body 83" x 47" (210 cm x 120 cm) 40/box
LOT # 25072104004 EXP # 20-07-2028</v>
      </c>
      <c r="F14" s="23" t="s">
        <v>17</v>
      </c>
      <c r="G14" s="23" t="s">
        <v>30</v>
      </c>
      <c r="H14" s="24">
        <v>25072104004</v>
      </c>
      <c r="I14" s="25">
        <v>46954</v>
      </c>
      <c r="J14" s="26">
        <f t="shared" si="0"/>
        <v>0</v>
      </c>
      <c r="K14" s="27">
        <v>0</v>
      </c>
      <c r="L14" s="26">
        <f t="shared" si="2"/>
        <v>0</v>
      </c>
      <c r="M14" s="28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30"/>
      <c r="AT14" s="30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3"/>
    </row>
    <row r="15" spans="1:258" ht="21.6" x14ac:dyDescent="0.3">
      <c r="A15" s="61" t="s">
        <v>28</v>
      </c>
      <c r="B15" s="22" t="s">
        <v>13</v>
      </c>
      <c r="C15" s="23" t="s">
        <v>14</v>
      </c>
      <c r="D15" s="23" t="s">
        <v>29</v>
      </c>
      <c r="E15" s="22" t="str">
        <f t="shared" ref="E15:E20" si="5">"Intraoperative Warming Blanket Adult Full Body 83"" x 47"" (210 cm x 120 cm) 40/box"&amp;CHAR(10)&amp;"LOT # "&amp;H15&amp;" "&amp;"EXP # "&amp;TEXT(I15,"dd-mm-yyyy")</f>
        <v>Intraoperative Warming Blanket Adult Full Body 83" x 47" (210 cm x 120 cm) 40/box
LOT # 25030502004 EXP # 04-03-2028</v>
      </c>
      <c r="F15" s="23" t="s">
        <v>17</v>
      </c>
      <c r="G15" s="23" t="s">
        <v>30</v>
      </c>
      <c r="H15" s="24">
        <v>25030502004</v>
      </c>
      <c r="I15" s="25">
        <v>46816</v>
      </c>
      <c r="J15" s="26">
        <f t="shared" si="0"/>
        <v>0</v>
      </c>
      <c r="K15" s="27">
        <v>0</v>
      </c>
      <c r="L15" s="26">
        <f t="shared" si="2"/>
        <v>0</v>
      </c>
      <c r="M15" s="28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30"/>
      <c r="AT15" s="30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3"/>
    </row>
    <row r="16" spans="1:258" ht="21.6" x14ac:dyDescent="0.3">
      <c r="A16" s="61" t="s">
        <v>28</v>
      </c>
      <c r="B16" s="22"/>
      <c r="C16" s="23"/>
      <c r="D16" s="23"/>
      <c r="E16" s="22" t="str">
        <f t="shared" si="5"/>
        <v>Intraoperative Warming Blanket Adult Full Body 83" x 47" (210 cm x 120 cm) 40/box
LOT # 25121903004 EXP # 18-12-2028</v>
      </c>
      <c r="F16" s="23" t="s">
        <v>17</v>
      </c>
      <c r="G16" s="23" t="s">
        <v>30</v>
      </c>
      <c r="H16" s="24">
        <v>25121903004</v>
      </c>
      <c r="I16" s="25">
        <v>47105</v>
      </c>
      <c r="J16" s="26">
        <f t="shared" si="0"/>
        <v>0</v>
      </c>
      <c r="K16" s="27">
        <v>208</v>
      </c>
      <c r="L16" s="26">
        <f t="shared" si="2"/>
        <v>208</v>
      </c>
      <c r="M16" s="28" t="s">
        <v>19</v>
      </c>
      <c r="N16" s="34">
        <f>5+2+10</f>
        <v>17</v>
      </c>
      <c r="O16" s="29"/>
      <c r="P16" s="29"/>
      <c r="Q16" s="29"/>
      <c r="R16" s="34">
        <f>80</f>
        <v>80</v>
      </c>
      <c r="S16" s="34">
        <f>40</f>
        <v>40</v>
      </c>
      <c r="T16" s="29"/>
      <c r="U16" s="34">
        <f>40</f>
        <v>40</v>
      </c>
      <c r="V16" s="29"/>
      <c r="W16" s="29"/>
      <c r="X16" s="29"/>
      <c r="Y16" s="34">
        <f>20</f>
        <v>20</v>
      </c>
      <c r="Z16" s="29"/>
      <c r="AA16" s="34">
        <f>11</f>
        <v>11</v>
      </c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30"/>
      <c r="AT16" s="30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3"/>
    </row>
    <row r="17" spans="1:258" ht="21.6" x14ac:dyDescent="0.3">
      <c r="A17" s="61" t="s">
        <v>28</v>
      </c>
      <c r="B17" s="22"/>
      <c r="C17" s="23"/>
      <c r="D17" s="23"/>
      <c r="E17" s="22" t="str">
        <f t="shared" ref="E17" si="6">"Intraoperative Warming Blanket Adult Full Body 83"" x 47"" (210 cm x 120 cm) 40/box"&amp;CHAR(10)&amp;"LOT # "&amp;H17&amp;" "&amp;"EXP # "&amp;TEXT(I17,"dd-mm-yyyy")</f>
        <v>Intraoperative Warming Blanket Adult Full Body 83" x 47" (210 cm x 120 cm) 40/box
LOT # 26032302004 EXP # 22-03-2029</v>
      </c>
      <c r="F17" s="23" t="s">
        <v>17</v>
      </c>
      <c r="G17" s="23" t="s">
        <v>18</v>
      </c>
      <c r="H17" s="24">
        <v>26032302004</v>
      </c>
      <c r="I17" s="25">
        <v>47199</v>
      </c>
      <c r="J17" s="26">
        <f t="shared" si="0"/>
        <v>6733</v>
      </c>
      <c r="K17" s="27">
        <v>11000</v>
      </c>
      <c r="L17" s="26">
        <f t="shared" si="2"/>
        <v>4267</v>
      </c>
      <c r="M17" s="28" t="s">
        <v>19</v>
      </c>
      <c r="N17" s="29"/>
      <c r="O17" s="29"/>
      <c r="P17" s="29"/>
      <c r="Q17" s="29"/>
      <c r="R17" s="29"/>
      <c r="S17" s="29"/>
      <c r="T17" s="29"/>
      <c r="U17" s="29"/>
      <c r="V17" s="34">
        <f>120+320+320+880+320+80</f>
        <v>2040</v>
      </c>
      <c r="W17" s="29"/>
      <c r="X17" s="29"/>
      <c r="Y17" s="29"/>
      <c r="Z17" s="29"/>
      <c r="AA17" s="34">
        <f>109</f>
        <v>109</v>
      </c>
      <c r="AB17" s="29"/>
      <c r="AC17" s="29"/>
      <c r="AD17" s="29"/>
      <c r="AE17" s="34">
        <f>30+320</f>
        <v>350</v>
      </c>
      <c r="AF17" s="29"/>
      <c r="AG17" s="34">
        <f>1000</f>
        <v>1000</v>
      </c>
      <c r="AH17" s="29"/>
      <c r="AI17" s="29"/>
      <c r="AJ17" s="29"/>
      <c r="AK17" s="34">
        <f>120+40</f>
        <v>160</v>
      </c>
      <c r="AL17" s="29"/>
      <c r="AM17" s="29"/>
      <c r="AN17" s="29"/>
      <c r="AO17" s="29"/>
      <c r="AP17" s="29"/>
      <c r="AQ17" s="29"/>
      <c r="AR17" s="29"/>
      <c r="AS17" s="35">
        <f>160+3+5+200</f>
        <v>368</v>
      </c>
      <c r="AT17" s="35">
        <f>120+120</f>
        <v>240</v>
      </c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3"/>
    </row>
    <row r="18" spans="1:258" ht="21.6" x14ac:dyDescent="0.3">
      <c r="A18" s="61" t="s">
        <v>28</v>
      </c>
      <c r="B18" s="22" t="s">
        <v>13</v>
      </c>
      <c r="C18" s="23" t="s">
        <v>14</v>
      </c>
      <c r="D18" s="23" t="s">
        <v>29</v>
      </c>
      <c r="E18" s="22" t="str">
        <f t="shared" si="5"/>
        <v>Intraoperative Warming Blanket Adult Full Body 83" x 47" (210 cm x 120 cm) 40/box
LOT # 25082705004 EXP # 26-08-2028</v>
      </c>
      <c r="F18" s="23" t="s">
        <v>17</v>
      </c>
      <c r="G18" s="23" t="s">
        <v>30</v>
      </c>
      <c r="H18" s="24">
        <v>25082705004</v>
      </c>
      <c r="I18" s="25">
        <v>46991</v>
      </c>
      <c r="J18" s="26">
        <f t="shared" si="0"/>
        <v>0</v>
      </c>
      <c r="K18" s="27">
        <v>0</v>
      </c>
      <c r="L18" s="26">
        <f t="shared" si="2"/>
        <v>0</v>
      </c>
      <c r="M18" s="28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30"/>
      <c r="AT18" s="30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3"/>
    </row>
    <row r="19" spans="1:258" ht="21.6" x14ac:dyDescent="0.3">
      <c r="A19" s="61" t="s">
        <v>28</v>
      </c>
      <c r="B19" s="22" t="s">
        <v>13</v>
      </c>
      <c r="C19" s="23" t="s">
        <v>14</v>
      </c>
      <c r="D19" s="23" t="s">
        <v>29</v>
      </c>
      <c r="E19" s="22" t="str">
        <f t="shared" si="5"/>
        <v>Intraoperative Warming Blanket Adult Full Body 83" x 47" (210 cm x 120 cm) 40/box
LOT # 25042302004 EXP # 22-04-2028</v>
      </c>
      <c r="F19" s="23" t="s">
        <v>17</v>
      </c>
      <c r="G19" s="23" t="s">
        <v>30</v>
      </c>
      <c r="H19" s="24">
        <v>25042302004</v>
      </c>
      <c r="I19" s="25">
        <v>46865</v>
      </c>
      <c r="J19" s="26">
        <f t="shared" si="0"/>
        <v>0</v>
      </c>
      <c r="K19" s="27">
        <v>0</v>
      </c>
      <c r="L19" s="26">
        <f t="shared" si="2"/>
        <v>0</v>
      </c>
      <c r="M19" s="28" t="s">
        <v>19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30"/>
      <c r="AT19" s="30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3"/>
    </row>
    <row r="20" spans="1:258" ht="21.6" x14ac:dyDescent="0.3">
      <c r="A20" s="61" t="s">
        <v>28</v>
      </c>
      <c r="B20" s="22" t="s">
        <v>13</v>
      </c>
      <c r="C20" s="23" t="s">
        <v>14</v>
      </c>
      <c r="D20" s="23" t="s">
        <v>29</v>
      </c>
      <c r="E20" s="22" t="str">
        <f t="shared" si="5"/>
        <v>Intraoperative Warming Blanket Adult Full Body 83" x 47" (210 cm x 120 cm) 40/box
LOT # 25030403004 EXP # 03-03-2028</v>
      </c>
      <c r="F20" s="23" t="s">
        <v>17</v>
      </c>
      <c r="G20" s="23" t="s">
        <v>30</v>
      </c>
      <c r="H20" s="24">
        <v>25030403004</v>
      </c>
      <c r="I20" s="25">
        <v>46815</v>
      </c>
      <c r="J20" s="26">
        <f t="shared" si="0"/>
        <v>0</v>
      </c>
      <c r="K20" s="27">
        <v>0</v>
      </c>
      <c r="L20" s="26">
        <f t="shared" si="2"/>
        <v>0</v>
      </c>
      <c r="M20" s="26">
        <f>SUM(J14:J20)</f>
        <v>6733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30"/>
      <c r="AT20" s="30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3"/>
    </row>
    <row r="21" spans="1:258" ht="21.6" x14ac:dyDescent="0.3">
      <c r="A21" s="61" t="s">
        <v>31</v>
      </c>
      <c r="B21" s="22" t="s">
        <v>13</v>
      </c>
      <c r="C21" s="23" t="s">
        <v>32</v>
      </c>
      <c r="D21" s="23" t="s">
        <v>32</v>
      </c>
      <c r="E21" s="22" t="str">
        <f>"Underbody Warming Blanket Full Access Underbody 85"" x 47"" (210 cm x 120cm)"&amp;CHAR(10)&amp;"LOT # "&amp;H21&amp;" "&amp;"EXP # "&amp;TEXT(I21,"dd-mm-yyyy")</f>
        <v>Underbody Warming Blanket Full Access Underbody 85" x 47" (210 cm x 120cm)
LOT # WB230612004 EXP # 10-06-2028</v>
      </c>
      <c r="F21" s="23" t="s">
        <v>17</v>
      </c>
      <c r="G21" s="23" t="s">
        <v>18</v>
      </c>
      <c r="H21" s="24" t="s">
        <v>181</v>
      </c>
      <c r="I21" s="25">
        <v>46914</v>
      </c>
      <c r="J21" s="26">
        <f t="shared" si="0"/>
        <v>370</v>
      </c>
      <c r="K21" s="27">
        <v>370</v>
      </c>
      <c r="L21" s="26">
        <f t="shared" si="2"/>
        <v>0</v>
      </c>
      <c r="M21" s="26">
        <f>SUM(J21)</f>
        <v>370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30"/>
      <c r="AT21" s="30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3"/>
    </row>
    <row r="22" spans="1:258" ht="21.6" x14ac:dyDescent="0.3">
      <c r="A22" s="61" t="s">
        <v>34</v>
      </c>
      <c r="B22" s="22" t="s">
        <v>13</v>
      </c>
      <c r="C22" s="23" t="s">
        <v>35</v>
      </c>
      <c r="D22" s="23" t="s">
        <v>29</v>
      </c>
      <c r="E22" s="22" t="str">
        <f>"Pediatric Warming Blanket Pediatric Full Body 67"" x 39"" (170cm x 100cm)"&amp;CHAR(10)&amp;"LOT # "&amp;H22&amp;" "&amp;"EXP # "&amp;TEXT(I22,"dd-mm-yyyy")</f>
        <v>Pediatric Warming Blanket Pediatric Full Body 67" x 39" (170cm x 100cm)
LOT # WB230715007S EXP # 14-07-2026</v>
      </c>
      <c r="F22" s="23" t="s">
        <v>17</v>
      </c>
      <c r="G22" s="23" t="s">
        <v>30</v>
      </c>
      <c r="H22" s="24" t="s">
        <v>37</v>
      </c>
      <c r="I22" s="25">
        <v>46217</v>
      </c>
      <c r="J22" s="26">
        <f t="shared" si="0"/>
        <v>0</v>
      </c>
      <c r="K22" s="27">
        <v>0</v>
      </c>
      <c r="L22" s="26">
        <f t="shared" si="2"/>
        <v>0</v>
      </c>
      <c r="M22" s="28" t="s">
        <v>19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30"/>
      <c r="AT22" s="30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3"/>
    </row>
    <row r="23" spans="1:258" ht="21.6" x14ac:dyDescent="0.3">
      <c r="A23" s="61" t="s">
        <v>34</v>
      </c>
      <c r="B23" s="22" t="s">
        <v>13</v>
      </c>
      <c r="C23" s="23" t="s">
        <v>35</v>
      </c>
      <c r="D23" s="23" t="s">
        <v>29</v>
      </c>
      <c r="E23" s="22" t="str">
        <f t="shared" ref="E23:E27" si="7">"Pediatric Warming Blanket Pediatric Full Body 67"" x 39"" (170cm x 100cm)"&amp;CHAR(10)&amp;"LOT # "&amp;H23&amp;" "&amp;"EXP # "&amp;TEXT(I23,"dd-mm-yyyy")</f>
        <v>Pediatric Warming Blanket Pediatric Full Body 67" x 39" (170cm x 100cm)
LOT # WB230617007S EXP # 16-06-2026</v>
      </c>
      <c r="F23" s="23" t="s">
        <v>17</v>
      </c>
      <c r="G23" s="23" t="s">
        <v>30</v>
      </c>
      <c r="H23" s="24" t="s">
        <v>201</v>
      </c>
      <c r="I23" s="25">
        <v>46189</v>
      </c>
      <c r="J23" s="26">
        <f t="shared" si="0"/>
        <v>0</v>
      </c>
      <c r="K23" s="27">
        <v>0</v>
      </c>
      <c r="L23" s="26">
        <f t="shared" si="2"/>
        <v>0</v>
      </c>
      <c r="M23" s="28" t="s">
        <v>19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30"/>
      <c r="AT23" s="30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3"/>
    </row>
    <row r="24" spans="1:258" ht="21.6" x14ac:dyDescent="0.3">
      <c r="A24" s="61" t="s">
        <v>34</v>
      </c>
      <c r="B24" s="22" t="s">
        <v>13</v>
      </c>
      <c r="C24" s="23" t="s">
        <v>35</v>
      </c>
      <c r="D24" s="23" t="s">
        <v>29</v>
      </c>
      <c r="E24" s="22" t="str">
        <f t="shared" ref="E24" si="8">"Pediatric Warming Blanket Pediatric Full Body 67"" x 39"" (170cm x 100cm)"&amp;CHAR(10)&amp;"LOT # "&amp;H24&amp;" "&amp;"EXP # "&amp;TEXT(I24,"dd-mm-yyyy")</f>
        <v>Pediatric Warming Blanket Pediatric Full Body 67" x 39" (170cm x 100cm)
LOT # 25111702007 EXP # 16-11-2028</v>
      </c>
      <c r="F24" s="23" t="s">
        <v>17</v>
      </c>
      <c r="G24" s="23" t="s">
        <v>30</v>
      </c>
      <c r="H24" s="24">
        <v>25111702007</v>
      </c>
      <c r="I24" s="25">
        <v>47073</v>
      </c>
      <c r="J24" s="26">
        <f t="shared" si="0"/>
        <v>0</v>
      </c>
      <c r="K24" s="27">
        <v>0</v>
      </c>
      <c r="L24" s="26">
        <f t="shared" si="2"/>
        <v>0</v>
      </c>
      <c r="M24" s="28" t="s">
        <v>19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30"/>
      <c r="AT24" s="30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3"/>
    </row>
    <row r="25" spans="1:258" ht="21.6" x14ac:dyDescent="0.3">
      <c r="A25" s="61" t="s">
        <v>34</v>
      </c>
      <c r="B25" s="22" t="s">
        <v>13</v>
      </c>
      <c r="C25" s="23" t="s">
        <v>35</v>
      </c>
      <c r="D25" s="23" t="s">
        <v>29</v>
      </c>
      <c r="E25" s="22" t="str">
        <f t="shared" ref="E25" si="9">"Pediatric Warming Blanket Pediatric Full Body 67"" x 39"" (170cm x 100cm)"&amp;CHAR(10)&amp;"LOT # "&amp;H25&amp;" "&amp;"EXP # "&amp;TEXT(I25,"dd-mm-yyyy")</f>
        <v>Pediatric Warming Blanket Pediatric Full Body 67" x 39" (170cm x 100cm)
LOT # 25121104007 EXP # 10-12-2028</v>
      </c>
      <c r="F25" s="23" t="s">
        <v>17</v>
      </c>
      <c r="G25" s="23" t="s">
        <v>18</v>
      </c>
      <c r="H25" s="24">
        <v>25121104007</v>
      </c>
      <c r="I25" s="25">
        <v>47097</v>
      </c>
      <c r="J25" s="26">
        <f t="shared" si="0"/>
        <v>224</v>
      </c>
      <c r="K25" s="27">
        <v>384</v>
      </c>
      <c r="L25" s="26">
        <f t="shared" si="2"/>
        <v>160</v>
      </c>
      <c r="M25" s="28" t="s">
        <v>19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34">
        <f>120</f>
        <v>120</v>
      </c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30"/>
      <c r="AT25" s="36">
        <f>40</f>
        <v>40</v>
      </c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3"/>
    </row>
    <row r="26" spans="1:258" ht="21.6" x14ac:dyDescent="0.3">
      <c r="A26" s="61" t="s">
        <v>34</v>
      </c>
      <c r="B26" s="22" t="s">
        <v>13</v>
      </c>
      <c r="C26" s="23" t="s">
        <v>35</v>
      </c>
      <c r="D26" s="23" t="s">
        <v>29</v>
      </c>
      <c r="E26" s="22" t="str">
        <f t="shared" si="7"/>
        <v>Pediatric Warming Blanket Pediatric Full Body 67" x 39" (170cm x 100cm)
LOT # WB230715007S EXP # 14-07-2026</v>
      </c>
      <c r="F26" s="23" t="s">
        <v>17</v>
      </c>
      <c r="G26" s="23" t="s">
        <v>30</v>
      </c>
      <c r="H26" s="24" t="s">
        <v>37</v>
      </c>
      <c r="I26" s="25">
        <v>46217</v>
      </c>
      <c r="J26" s="26">
        <f t="shared" si="0"/>
        <v>0</v>
      </c>
      <c r="K26" s="27">
        <v>0</v>
      </c>
      <c r="L26" s="26">
        <f t="shared" si="2"/>
        <v>0</v>
      </c>
      <c r="M26" s="28" t="s">
        <v>19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30"/>
      <c r="AT26" s="30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3"/>
    </row>
    <row r="27" spans="1:258" ht="21.6" x14ac:dyDescent="0.3">
      <c r="A27" s="61" t="s">
        <v>34</v>
      </c>
      <c r="B27" s="22" t="s">
        <v>13</v>
      </c>
      <c r="C27" s="23" t="s">
        <v>35</v>
      </c>
      <c r="D27" s="23" t="s">
        <v>29</v>
      </c>
      <c r="E27" s="22" t="str">
        <f t="shared" si="7"/>
        <v>Pediatric Warming Blanket Pediatric Full Body 67" x 39" (170cm x 100cm)
LOT # 25030503007 EXP # 04-03-2028</v>
      </c>
      <c r="F27" s="23" t="s">
        <v>17</v>
      </c>
      <c r="G27" s="23" t="s">
        <v>30</v>
      </c>
      <c r="H27" s="24">
        <v>25030503007</v>
      </c>
      <c r="I27" s="25">
        <v>46816</v>
      </c>
      <c r="J27" s="26">
        <f t="shared" si="0"/>
        <v>0</v>
      </c>
      <c r="K27" s="27">
        <v>0</v>
      </c>
      <c r="L27" s="26">
        <f t="shared" si="2"/>
        <v>0</v>
      </c>
      <c r="M27" s="26">
        <f>SUM(J22:J27)</f>
        <v>224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30"/>
      <c r="AT27" s="30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3"/>
    </row>
    <row r="28" spans="1:258" ht="21.6" x14ac:dyDescent="0.3">
      <c r="A28" s="61" t="s">
        <v>39</v>
      </c>
      <c r="B28" s="22" t="s">
        <v>13</v>
      </c>
      <c r="C28" s="23" t="s">
        <v>40</v>
      </c>
      <c r="D28" s="23" t="s">
        <v>29</v>
      </c>
      <c r="E28" s="22" t="str">
        <f>"Postoperative Warming Blanket Full Body Surgical 83"" x 47"" (210cm X 120cm)"&amp;CHAR(10)&amp;"LOT # "&amp;H28&amp;" "&amp;"EXP # "&amp;TEXT(I28,"dd-mm-yyyy")</f>
        <v>Postoperative Warming Blanket Full Body Surgical 83" x 47" (210cm X 120cm)
LOT # 25042801008 EXP # 27-04-2028</v>
      </c>
      <c r="F28" s="23" t="s">
        <v>17</v>
      </c>
      <c r="G28" s="23" t="s">
        <v>30</v>
      </c>
      <c r="H28" s="24">
        <v>25042801008</v>
      </c>
      <c r="I28" s="25">
        <v>46870</v>
      </c>
      <c r="J28" s="26">
        <f>K28-L28</f>
        <v>0</v>
      </c>
      <c r="K28" s="27">
        <v>0</v>
      </c>
      <c r="L28" s="26">
        <f t="shared" si="2"/>
        <v>0</v>
      </c>
      <c r="M28" s="28" t="s">
        <v>19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30"/>
      <c r="AT28" s="30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3"/>
    </row>
    <row r="29" spans="1:258" ht="21.6" x14ac:dyDescent="0.3">
      <c r="A29" s="61" t="s">
        <v>39</v>
      </c>
      <c r="B29" s="22" t="s">
        <v>13</v>
      </c>
      <c r="C29" s="23" t="s">
        <v>40</v>
      </c>
      <c r="D29" s="23" t="s">
        <v>29</v>
      </c>
      <c r="E29" s="22" t="str">
        <f t="shared" ref="E29:E30" si="10">"Postoperative Warming Blanket Full Body Surgical 83"" x 47"" (210cm X 120cm)"&amp;CHAR(10)&amp;"LOT # "&amp;H29&amp;" "&amp;"EXP # "&amp;TEXT(I29,"dd-mm-yyyy")</f>
        <v>Postoperative Warming Blanket Full Body Surgical 83" x 47" (210cm X 120cm)
LOT # 25082701008 EXP # 26-08-2028</v>
      </c>
      <c r="F29" s="23" t="s">
        <v>17</v>
      </c>
      <c r="G29" s="23" t="s">
        <v>18</v>
      </c>
      <c r="H29" s="24">
        <v>25082701008</v>
      </c>
      <c r="I29" s="25">
        <v>46991</v>
      </c>
      <c r="J29" s="26">
        <f>K29-L29</f>
        <v>420</v>
      </c>
      <c r="K29" s="27">
        <v>500</v>
      </c>
      <c r="L29" s="26">
        <f t="shared" si="2"/>
        <v>80</v>
      </c>
      <c r="M29" s="28" t="s">
        <v>19</v>
      </c>
      <c r="N29" s="29"/>
      <c r="O29" s="29"/>
      <c r="P29" s="29"/>
      <c r="Q29" s="29"/>
      <c r="R29" s="29"/>
      <c r="S29" s="29"/>
      <c r="T29" s="34">
        <f>40</f>
        <v>40</v>
      </c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35">
        <f>40</f>
        <v>40</v>
      </c>
      <c r="AT29" s="30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3"/>
    </row>
    <row r="30" spans="1:258" ht="21.6" x14ac:dyDescent="0.3">
      <c r="A30" s="61" t="s">
        <v>39</v>
      </c>
      <c r="B30" s="22" t="s">
        <v>13</v>
      </c>
      <c r="C30" s="23" t="s">
        <v>40</v>
      </c>
      <c r="D30" s="23" t="s">
        <v>29</v>
      </c>
      <c r="E30" s="22" t="str">
        <f t="shared" si="10"/>
        <v>Postoperative Warming Blanket Full Body Surgical 83" x 47" (210cm X 120cm)
LOT # WB230717008S EXP # 16-07-2026</v>
      </c>
      <c r="F30" s="23" t="s">
        <v>17</v>
      </c>
      <c r="G30" s="23" t="s">
        <v>30</v>
      </c>
      <c r="H30" s="24" t="s">
        <v>41</v>
      </c>
      <c r="I30" s="25">
        <v>46219</v>
      </c>
      <c r="J30" s="26">
        <f t="shared" si="0"/>
        <v>0</v>
      </c>
      <c r="K30" s="27">
        <v>0</v>
      </c>
      <c r="L30" s="26">
        <f t="shared" si="2"/>
        <v>0</v>
      </c>
      <c r="M30" s="26">
        <f>SUM(J28:J30)</f>
        <v>420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30"/>
      <c r="AT30" s="30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3"/>
    </row>
    <row r="31" spans="1:258" ht="21.6" x14ac:dyDescent="0.3">
      <c r="A31" s="61" t="s">
        <v>42</v>
      </c>
      <c r="B31" s="22" t="s">
        <v>13</v>
      </c>
      <c r="C31" s="23" t="s">
        <v>43</v>
      </c>
      <c r="D31" s="23" t="s">
        <v>32</v>
      </c>
      <c r="E31" s="22" t="str">
        <f>"Large Pediatric Under Body 36"" x 31""(160cm x 80cm)"&amp;CHAR(10)&amp;"LOT # "&amp;H31&amp;" "&amp;"EXP # "&amp;TEXT(I31,"dd-mm-yyyy")</f>
        <v>Large Pediatric Under Body 36" x 31"(160cm x 80cm)
LOT # 25082706009 EXP # 26-08-2028</v>
      </c>
      <c r="F31" s="23" t="s">
        <v>17</v>
      </c>
      <c r="G31" s="23" t="s">
        <v>18</v>
      </c>
      <c r="H31" s="24">
        <v>25082706009</v>
      </c>
      <c r="I31" s="25">
        <v>46991</v>
      </c>
      <c r="J31" s="26">
        <f t="shared" si="0"/>
        <v>390</v>
      </c>
      <c r="K31" s="27">
        <v>390</v>
      </c>
      <c r="L31" s="26">
        <f t="shared" si="2"/>
        <v>0</v>
      </c>
      <c r="M31" s="28" t="s">
        <v>19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30"/>
      <c r="AT31" s="30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3"/>
    </row>
    <row r="32" spans="1:258" ht="21.6" x14ac:dyDescent="0.3">
      <c r="A32" s="61" t="s">
        <v>42</v>
      </c>
      <c r="B32" s="22" t="s">
        <v>13</v>
      </c>
      <c r="C32" s="23" t="s">
        <v>43</v>
      </c>
      <c r="D32" s="23" t="s">
        <v>32</v>
      </c>
      <c r="E32" s="22" t="str">
        <f>"Large Pediatric Under Body 36"" x 31""(160cm x 80cm)"&amp;CHAR(10)&amp;"LOT # "&amp;H32&amp;" "&amp;"EXP # "&amp;TEXT(I32,"dd-mm-yyyy")</f>
        <v>Large Pediatric Under Body 36" x 31"(160cm x 80cm)
LOT # WB202406200 EXP # 19-06-2027</v>
      </c>
      <c r="F32" s="23" t="s">
        <v>17</v>
      </c>
      <c r="G32" s="23" t="s">
        <v>30</v>
      </c>
      <c r="H32" s="24" t="s">
        <v>172</v>
      </c>
      <c r="I32" s="25">
        <v>46557</v>
      </c>
      <c r="J32" s="26">
        <f t="shared" si="0"/>
        <v>0</v>
      </c>
      <c r="K32" s="27">
        <v>0</v>
      </c>
      <c r="L32" s="26">
        <f t="shared" si="2"/>
        <v>0</v>
      </c>
      <c r="M32" s="26">
        <f>SUM(J31:J32)</f>
        <v>390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30"/>
      <c r="AT32" s="30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3"/>
    </row>
    <row r="33" spans="1:258" ht="21.6" x14ac:dyDescent="0.3">
      <c r="A33" s="61" t="s">
        <v>44</v>
      </c>
      <c r="B33" s="22" t="s">
        <v>13</v>
      </c>
      <c r="C33" s="23" t="s">
        <v>35</v>
      </c>
      <c r="D33" s="23" t="s">
        <v>15</v>
      </c>
      <c r="E33" s="22" t="str">
        <f>"Pediatric Warming Blanket Pediatric Lower Body 56"" x 39""(142cm x 100cm)"&amp;CHAR(10)&amp;"LOT # "&amp;H33&amp;" "&amp;"EXP # "&amp;TEXT(I33,"dd-mm-yyyy")</f>
        <v>Pediatric Warming Blanket Pediatric Lower Body 56" x 39"(142cm x 100cm)
LOT # 20240120 EXP # 17-09-2027</v>
      </c>
      <c r="F33" s="23" t="s">
        <v>17</v>
      </c>
      <c r="G33" s="23" t="s">
        <v>18</v>
      </c>
      <c r="H33" s="24">
        <v>20240120</v>
      </c>
      <c r="I33" s="25">
        <v>46647</v>
      </c>
      <c r="J33" s="26">
        <f t="shared" si="0"/>
        <v>322</v>
      </c>
      <c r="K33" s="27">
        <v>322</v>
      </c>
      <c r="L33" s="26">
        <f t="shared" si="2"/>
        <v>0</v>
      </c>
      <c r="M33" s="26">
        <f>SUM(J33)</f>
        <v>322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30"/>
      <c r="AT33" s="30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3"/>
    </row>
    <row r="34" spans="1:258" ht="21.6" x14ac:dyDescent="0.3">
      <c r="A34" s="61" t="s">
        <v>45</v>
      </c>
      <c r="B34" s="22" t="s">
        <v>13</v>
      </c>
      <c r="C34" s="23" t="s">
        <v>46</v>
      </c>
      <c r="D34" s="23" t="s">
        <v>46</v>
      </c>
      <c r="E34" s="22" t="str">
        <f>"Surgical Access Warming Blanket 83"" x 47"" (210cm x 120cm)"&amp;CHAR(10)&amp;"LOT # "&amp;H34&amp;" "&amp;"EXP # "&amp;TEXT(I34,"dd-mm-yyyy")</f>
        <v>Surgical Access Warming Blanket 83" x 47" (210cm x 120cm)
LOT # WB240827016 EXP # 26-08-2027</v>
      </c>
      <c r="F34" s="23" t="s">
        <v>17</v>
      </c>
      <c r="G34" s="23" t="s">
        <v>30</v>
      </c>
      <c r="H34" s="24" t="s">
        <v>48</v>
      </c>
      <c r="I34" s="25">
        <v>46625</v>
      </c>
      <c r="J34" s="26">
        <f t="shared" si="0"/>
        <v>0</v>
      </c>
      <c r="K34" s="27">
        <v>0</v>
      </c>
      <c r="L34" s="26">
        <f t="shared" si="2"/>
        <v>0</v>
      </c>
      <c r="M34" s="28" t="s">
        <v>19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30"/>
      <c r="AT34" s="30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3"/>
    </row>
    <row r="35" spans="1:258" ht="21.6" x14ac:dyDescent="0.3">
      <c r="A35" s="61" t="s">
        <v>45</v>
      </c>
      <c r="B35" s="22" t="s">
        <v>13</v>
      </c>
      <c r="C35" s="23" t="s">
        <v>46</v>
      </c>
      <c r="D35" s="23" t="s">
        <v>46</v>
      </c>
      <c r="E35" s="22" t="str">
        <f t="shared" ref="E35:E38" si="11">"Surgical Access Warming Blanket 83"" x 47"" (210cm x 120cm)"&amp;CHAR(10)&amp;"LOT # "&amp;H35&amp;" "&amp;"EXP # "&amp;TEXT(I35,"dd-mm-yyyy")</f>
        <v>Surgical Access Warming Blanket 83" x 47" (210cm x 120cm)
LOT # 25072304016 EXP # 22-07-2028</v>
      </c>
      <c r="F35" s="23" t="s">
        <v>17</v>
      </c>
      <c r="G35" s="23" t="s">
        <v>30</v>
      </c>
      <c r="H35" s="24">
        <v>25072304016</v>
      </c>
      <c r="I35" s="25">
        <v>46956</v>
      </c>
      <c r="J35" s="26">
        <f t="shared" si="0"/>
        <v>0</v>
      </c>
      <c r="K35" s="27">
        <v>0</v>
      </c>
      <c r="L35" s="26">
        <f t="shared" si="2"/>
        <v>0</v>
      </c>
      <c r="M35" s="28" t="s">
        <v>19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30"/>
      <c r="AT35" s="30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3"/>
    </row>
    <row r="36" spans="1:258" ht="21.6" x14ac:dyDescent="0.3">
      <c r="A36" s="61" t="s">
        <v>45</v>
      </c>
      <c r="B36" s="22" t="s">
        <v>13</v>
      </c>
      <c r="C36" s="23" t="s">
        <v>46</v>
      </c>
      <c r="D36" s="23" t="s">
        <v>46</v>
      </c>
      <c r="E36" s="22" t="str">
        <f t="shared" ref="E36:E37" si="12">"Surgical Access Warming Blanket 83"" x 47"" (210cm x 120cm)"&amp;CHAR(10)&amp;"LOT # "&amp;H36&amp;" "&amp;"EXP # "&amp;TEXT(I36,"dd-mm-yyyy")</f>
        <v>Surgical Access Warming Blanket 83" x 47" (210cm x 120cm)
LOT # 25121902016 EXP # 18-12-2028</v>
      </c>
      <c r="F36" s="23" t="s">
        <v>17</v>
      </c>
      <c r="G36" s="23" t="s">
        <v>30</v>
      </c>
      <c r="H36" s="24">
        <v>25121902016</v>
      </c>
      <c r="I36" s="25">
        <v>47105</v>
      </c>
      <c r="J36" s="26">
        <f t="shared" ref="J36:J37" si="13">K36-L36</f>
        <v>0</v>
      </c>
      <c r="K36" s="27">
        <v>0</v>
      </c>
      <c r="L36" s="26">
        <f t="shared" si="2"/>
        <v>0</v>
      </c>
      <c r="M36" s="28" t="s">
        <v>19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30"/>
      <c r="AT36" s="30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3"/>
    </row>
    <row r="37" spans="1:258" ht="21.6" x14ac:dyDescent="0.3">
      <c r="A37" s="61" t="s">
        <v>45</v>
      </c>
      <c r="B37" s="22" t="s">
        <v>13</v>
      </c>
      <c r="C37" s="23" t="s">
        <v>46</v>
      </c>
      <c r="D37" s="23" t="s">
        <v>46</v>
      </c>
      <c r="E37" s="22" t="str">
        <f t="shared" si="12"/>
        <v>Surgical Access Warming Blanket 83" x 47" (210cm x 120cm)
LOT # 25092201016 EXP # 21-09-2028</v>
      </c>
      <c r="F37" s="23" t="s">
        <v>17</v>
      </c>
      <c r="G37" s="23" t="s">
        <v>18</v>
      </c>
      <c r="H37" s="24">
        <v>25092201016</v>
      </c>
      <c r="I37" s="25">
        <v>47017</v>
      </c>
      <c r="J37" s="26">
        <f t="shared" si="13"/>
        <v>79</v>
      </c>
      <c r="K37" s="27">
        <v>239</v>
      </c>
      <c r="L37" s="26">
        <f t="shared" si="2"/>
        <v>160</v>
      </c>
      <c r="M37" s="28" t="s">
        <v>19</v>
      </c>
      <c r="N37" s="34">
        <f>40+20</f>
        <v>60</v>
      </c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34">
        <f>40</f>
        <v>40</v>
      </c>
      <c r="AI37" s="34">
        <f>40</f>
        <v>40</v>
      </c>
      <c r="AJ37" s="29"/>
      <c r="AK37" s="29"/>
      <c r="AL37" s="29"/>
      <c r="AM37" s="29"/>
      <c r="AN37" s="29"/>
      <c r="AO37" s="29"/>
      <c r="AP37" s="29"/>
      <c r="AQ37" s="29"/>
      <c r="AR37" s="29"/>
      <c r="AS37" s="35">
        <f>20</f>
        <v>20</v>
      </c>
      <c r="AT37" s="30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3"/>
    </row>
    <row r="38" spans="1:258" ht="21.6" x14ac:dyDescent="0.3">
      <c r="A38" s="61" t="s">
        <v>45</v>
      </c>
      <c r="B38" s="22" t="s">
        <v>13</v>
      </c>
      <c r="C38" s="23" t="s">
        <v>46</v>
      </c>
      <c r="D38" s="23" t="s">
        <v>46</v>
      </c>
      <c r="E38" s="22" t="str">
        <f t="shared" si="11"/>
        <v>Surgical Access Warming Blanket 83" x 47" (210cm x 120cm)
LOT # 25030504016 EXP # 04-03-2028</v>
      </c>
      <c r="F38" s="23" t="s">
        <v>17</v>
      </c>
      <c r="G38" s="23" t="s">
        <v>30</v>
      </c>
      <c r="H38" s="24">
        <v>25030504016</v>
      </c>
      <c r="I38" s="25">
        <v>46816</v>
      </c>
      <c r="J38" s="26">
        <f t="shared" si="0"/>
        <v>0</v>
      </c>
      <c r="K38" s="27">
        <v>0</v>
      </c>
      <c r="L38" s="26">
        <f t="shared" si="2"/>
        <v>0</v>
      </c>
      <c r="M38" s="26">
        <f>SUM(J34:J38)</f>
        <v>79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30"/>
      <c r="AT38" s="30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3"/>
    </row>
    <row r="39" spans="1:258" ht="21.6" x14ac:dyDescent="0.3">
      <c r="A39" s="61" t="s">
        <v>49</v>
      </c>
      <c r="B39" s="22" t="s">
        <v>13</v>
      </c>
      <c r="C39" s="23" t="s">
        <v>50</v>
      </c>
      <c r="D39" s="23" t="s">
        <v>51</v>
      </c>
      <c r="E39" s="22" t="str">
        <f>"Infant Full Body / Under Body 47"" x 31"" (120cm x 80 cm)"&amp;CHAR(10)&amp;"LOT # "&amp;H39&amp;" "&amp;"EXP # "&amp;TEXT(I39,"dd-mm-yyyy")</f>
        <v>Infant Full Body / Under Body 47" x 31" (120cm x 80 cm)
LOT # WU240737015 EXP # 15-03-2027</v>
      </c>
      <c r="F39" s="23" t="s">
        <v>17</v>
      </c>
      <c r="G39" s="23" t="s">
        <v>18</v>
      </c>
      <c r="H39" s="24" t="s">
        <v>204</v>
      </c>
      <c r="I39" s="25">
        <v>46461</v>
      </c>
      <c r="J39" s="26">
        <f t="shared" si="0"/>
        <v>1</v>
      </c>
      <c r="K39" s="27">
        <v>1</v>
      </c>
      <c r="L39" s="26">
        <f t="shared" si="2"/>
        <v>0</v>
      </c>
      <c r="M39" s="28" t="s">
        <v>19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30"/>
      <c r="AT39" s="30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3"/>
    </row>
    <row r="40" spans="1:258" ht="21.6" x14ac:dyDescent="0.3">
      <c r="A40" s="61" t="s">
        <v>49</v>
      </c>
      <c r="B40" s="22" t="s">
        <v>13</v>
      </c>
      <c r="C40" s="23" t="s">
        <v>50</v>
      </c>
      <c r="D40" s="23" t="s">
        <v>51</v>
      </c>
      <c r="E40" s="22" t="str">
        <f>"Infant Full Body / Under Body 47"" x 31"" (120cm x 80 cm)"&amp;CHAR(10)&amp;"LOT # "&amp;H40&amp;" "&amp;"EXP # "&amp;TEXT(I40,"dd-mm-yyyy")</f>
        <v>Infant Full Body / Under Body 47" x 31" (120cm x 80 cm)
LOT # WU240737015 EXP # 15-03-2027</v>
      </c>
      <c r="F40" s="23" t="s">
        <v>17</v>
      </c>
      <c r="G40" s="23" t="s">
        <v>33</v>
      </c>
      <c r="H40" s="24" t="s">
        <v>204</v>
      </c>
      <c r="I40" s="25">
        <v>46461</v>
      </c>
      <c r="J40" s="26">
        <f t="shared" si="0"/>
        <v>464</v>
      </c>
      <c r="K40" s="27">
        <v>464</v>
      </c>
      <c r="L40" s="26">
        <f t="shared" si="2"/>
        <v>0</v>
      </c>
      <c r="M40" s="26">
        <f>SUM(J39:J40)</f>
        <v>465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30"/>
      <c r="AT40" s="30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3"/>
    </row>
    <row r="41" spans="1:258" ht="21.6" x14ac:dyDescent="0.3">
      <c r="A41" s="61" t="s">
        <v>53</v>
      </c>
      <c r="B41" s="22" t="s">
        <v>13</v>
      </c>
      <c r="C41" s="23" t="s">
        <v>50</v>
      </c>
      <c r="D41" s="22" t="s">
        <v>32</v>
      </c>
      <c r="E41" s="22" t="str">
        <f>"Pediatric Warming Blanket Infant Under Body 39"" x 39"" (100cm X 100cm) 40/box"&amp;CHAR(10)&amp;"LOT # "&amp;H41&amp;" "&amp;"EXP # "&amp;TEXT(I41,"dd-mm-yyyy")</f>
        <v>Pediatric Warming Blanket Infant Under Body 39" x 39" (100cm X 100cm) 40/box
LOT # WB240717028 EXP # 16-07-2027</v>
      </c>
      <c r="F41" s="23" t="s">
        <v>17</v>
      </c>
      <c r="G41" s="23" t="s">
        <v>30</v>
      </c>
      <c r="H41" s="24" t="s">
        <v>54</v>
      </c>
      <c r="I41" s="25">
        <v>46584</v>
      </c>
      <c r="J41" s="26">
        <f>K41-L41</f>
        <v>0</v>
      </c>
      <c r="K41" s="27">
        <v>0</v>
      </c>
      <c r="L41" s="26">
        <f t="shared" si="2"/>
        <v>0</v>
      </c>
      <c r="M41" s="28" t="s">
        <v>19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30"/>
      <c r="AT41" s="30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3"/>
    </row>
    <row r="42" spans="1:258" ht="21.6" x14ac:dyDescent="0.3">
      <c r="A42" s="61" t="s">
        <v>53</v>
      </c>
      <c r="B42" s="22" t="s">
        <v>13</v>
      </c>
      <c r="C42" s="23" t="s">
        <v>50</v>
      </c>
      <c r="D42" s="22" t="s">
        <v>32</v>
      </c>
      <c r="E42" s="22" t="str">
        <f t="shared" ref="E42:E48" si="14">"Pediatric Warming Blanket Infant Under Body 39"" x 39"" (100cm X 100cm) 40/box"&amp;CHAR(10)&amp;"LOT # "&amp;H42&amp;" "&amp;"EXP # "&amp;TEXT(I42,"dd-mm-yyyy")</f>
        <v>Pediatric Warming Blanket Infant Under Body 39" x 39" (100cm X 100cm) 40/box
LOT # 25030505028 EXP # 04-03-2028</v>
      </c>
      <c r="F42" s="23" t="s">
        <v>17</v>
      </c>
      <c r="G42" s="23" t="s">
        <v>30</v>
      </c>
      <c r="H42" s="24">
        <v>25030505028</v>
      </c>
      <c r="I42" s="25">
        <v>46816</v>
      </c>
      <c r="J42" s="26">
        <f t="shared" si="0"/>
        <v>0</v>
      </c>
      <c r="K42" s="27">
        <v>0</v>
      </c>
      <c r="L42" s="26">
        <f t="shared" si="2"/>
        <v>0</v>
      </c>
      <c r="M42" s="28" t="s">
        <v>19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30"/>
      <c r="AT42" s="30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3"/>
    </row>
    <row r="43" spans="1:258" ht="21.6" x14ac:dyDescent="0.3">
      <c r="A43" s="61" t="s">
        <v>53</v>
      </c>
      <c r="B43" s="22" t="s">
        <v>13</v>
      </c>
      <c r="C43" s="23" t="s">
        <v>50</v>
      </c>
      <c r="D43" s="22" t="s">
        <v>32</v>
      </c>
      <c r="E43" s="22" t="str">
        <f t="shared" ref="E43:E45" si="15">"Pediatric Warming Blanket Infant Under Body 39"" x 39"" (100cm X 100cm) 40/box"&amp;CHAR(10)&amp;"LOT # "&amp;H43&amp;" "&amp;"EXP # "&amp;TEXT(I43,"dd-mm-yyyy")</f>
        <v>Pediatric Warming Blanket Infant Under Body 39" x 39" (100cm X 100cm) 40/box
LOT # 25111701028 EXP # 16-11-2028</v>
      </c>
      <c r="F43" s="23" t="s">
        <v>17</v>
      </c>
      <c r="G43" s="23" t="s">
        <v>18</v>
      </c>
      <c r="H43" s="24">
        <v>25111701028</v>
      </c>
      <c r="I43" s="25">
        <v>47073</v>
      </c>
      <c r="J43" s="26">
        <f t="shared" si="0"/>
        <v>99</v>
      </c>
      <c r="K43" s="27">
        <v>259</v>
      </c>
      <c r="L43" s="26">
        <f t="shared" si="2"/>
        <v>160</v>
      </c>
      <c r="M43" s="28" t="s">
        <v>19</v>
      </c>
      <c r="N43" s="29"/>
      <c r="O43" s="29"/>
      <c r="P43" s="29"/>
      <c r="Q43" s="34">
        <f>30</f>
        <v>30</v>
      </c>
      <c r="R43" s="34">
        <f>30</f>
        <v>30</v>
      </c>
      <c r="S43" s="29"/>
      <c r="T43" s="29"/>
      <c r="U43" s="34">
        <f>20</f>
        <v>20</v>
      </c>
      <c r="V43" s="29"/>
      <c r="W43" s="29"/>
      <c r="X43" s="29"/>
      <c r="Y43" s="29"/>
      <c r="Z43" s="29"/>
      <c r="AA43" s="29"/>
      <c r="AB43" s="29"/>
      <c r="AC43" s="29"/>
      <c r="AD43" s="29"/>
      <c r="AE43" s="34">
        <f>50</f>
        <v>50</v>
      </c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35">
        <f>30</f>
        <v>30</v>
      </c>
      <c r="AT43" s="30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3"/>
    </row>
    <row r="44" spans="1:258" ht="21.6" x14ac:dyDescent="0.3">
      <c r="A44" s="61" t="s">
        <v>53</v>
      </c>
      <c r="B44" s="22" t="s">
        <v>13</v>
      </c>
      <c r="C44" s="23" t="s">
        <v>50</v>
      </c>
      <c r="D44" s="22" t="s">
        <v>32</v>
      </c>
      <c r="E44" s="22" t="str">
        <f t="shared" ref="E44" si="16">"Pediatric Warming Blanket Infant Under Body 39"" x 39"" (100cm X 100cm) 40/box"&amp;CHAR(10)&amp;"LOT # "&amp;H44&amp;" "&amp;"EXP # "&amp;TEXT(I44,"dd-mm-yyyy")</f>
        <v>Pediatric Warming Blanket Infant Under Body 39" x 39" (100cm X 100cm) 40/box
LOT # 26032001028 EXP # 19-03-2029</v>
      </c>
      <c r="F44" s="23" t="s">
        <v>17</v>
      </c>
      <c r="G44" s="23" t="s">
        <v>20</v>
      </c>
      <c r="H44" s="24">
        <v>26032001028</v>
      </c>
      <c r="I44" s="25">
        <v>47196</v>
      </c>
      <c r="J44" s="26">
        <f t="shared" si="0"/>
        <v>400</v>
      </c>
      <c r="K44" s="27">
        <v>400</v>
      </c>
      <c r="L44" s="26">
        <f t="shared" si="2"/>
        <v>0</v>
      </c>
      <c r="M44" s="28" t="s">
        <v>19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30"/>
      <c r="AT44" s="30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3"/>
    </row>
    <row r="45" spans="1:258" ht="21.6" x14ac:dyDescent="0.3">
      <c r="A45" s="61" t="s">
        <v>53</v>
      </c>
      <c r="B45" s="22" t="s">
        <v>13</v>
      </c>
      <c r="C45" s="23" t="s">
        <v>50</v>
      </c>
      <c r="D45" s="22" t="s">
        <v>32</v>
      </c>
      <c r="E45" s="22" t="str">
        <f t="shared" si="15"/>
        <v>Pediatric Warming Blanket Infant Under Body 39" x 39" (100cm X 100cm) 40/box
LOT # 25121105028 EXP # 10-12-2028</v>
      </c>
      <c r="F45" s="23" t="s">
        <v>17</v>
      </c>
      <c r="G45" s="23" t="s">
        <v>30</v>
      </c>
      <c r="H45" s="24">
        <v>25121105028</v>
      </c>
      <c r="I45" s="25">
        <v>47097</v>
      </c>
      <c r="J45" s="26">
        <f t="shared" si="0"/>
        <v>0</v>
      </c>
      <c r="K45" s="27">
        <v>0</v>
      </c>
      <c r="L45" s="26">
        <f t="shared" si="2"/>
        <v>0</v>
      </c>
      <c r="M45" s="28" t="s">
        <v>19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30"/>
      <c r="AT45" s="30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3"/>
    </row>
    <row r="46" spans="1:258" ht="21.6" x14ac:dyDescent="0.3">
      <c r="A46" s="61" t="s">
        <v>53</v>
      </c>
      <c r="B46" s="22" t="s">
        <v>13</v>
      </c>
      <c r="C46" s="23" t="s">
        <v>50</v>
      </c>
      <c r="D46" s="22" t="s">
        <v>32</v>
      </c>
      <c r="E46" s="22" t="str">
        <f t="shared" si="14"/>
        <v>Pediatric Warming Blanket Infant Under Body 39" x 39" (100cm X 100cm) 40/box
LOT # 25082707028 EXP # 26-08-2028</v>
      </c>
      <c r="F46" s="23" t="s">
        <v>17</v>
      </c>
      <c r="G46" s="23" t="s">
        <v>30</v>
      </c>
      <c r="H46" s="24">
        <v>25082707028</v>
      </c>
      <c r="I46" s="25">
        <v>46991</v>
      </c>
      <c r="J46" s="26">
        <f t="shared" si="0"/>
        <v>0</v>
      </c>
      <c r="K46" s="27">
        <v>0</v>
      </c>
      <c r="L46" s="26">
        <f t="shared" si="2"/>
        <v>0</v>
      </c>
      <c r="M46" s="28" t="s">
        <v>19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30"/>
      <c r="AT46" s="30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3"/>
    </row>
    <row r="47" spans="1:258" ht="21.6" x14ac:dyDescent="0.3">
      <c r="A47" s="61" t="s">
        <v>53</v>
      </c>
      <c r="B47" s="22" t="s">
        <v>13</v>
      </c>
      <c r="C47" s="23" t="s">
        <v>50</v>
      </c>
      <c r="D47" s="22" t="s">
        <v>32</v>
      </c>
      <c r="E47" s="22" t="str">
        <f t="shared" si="14"/>
        <v>Pediatric Warming Blanket Infant Under Body 39" x 39" (100cm X 100cm) 40/box
LOT # 25072303028 EXP # 22-07-2028</v>
      </c>
      <c r="F47" s="23" t="s">
        <v>17</v>
      </c>
      <c r="G47" s="23" t="s">
        <v>30</v>
      </c>
      <c r="H47" s="24">
        <v>25072303028</v>
      </c>
      <c r="I47" s="25">
        <v>46956</v>
      </c>
      <c r="J47" s="26">
        <f t="shared" si="0"/>
        <v>0</v>
      </c>
      <c r="K47" s="27">
        <v>0</v>
      </c>
      <c r="L47" s="26">
        <f t="shared" si="2"/>
        <v>0</v>
      </c>
      <c r="M47" s="28" t="s">
        <v>19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30"/>
      <c r="AT47" s="30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3"/>
    </row>
    <row r="48" spans="1:258" ht="21.6" x14ac:dyDescent="0.3">
      <c r="A48" s="61" t="s">
        <v>53</v>
      </c>
      <c r="B48" s="22" t="s">
        <v>13</v>
      </c>
      <c r="C48" s="23" t="s">
        <v>50</v>
      </c>
      <c r="D48" s="22" t="s">
        <v>32</v>
      </c>
      <c r="E48" s="22" t="str">
        <f t="shared" si="14"/>
        <v>Pediatric Warming Blanket Infant Under Body 39" x 39" (100cm X 100cm) 40/box
LOT # WB24041108S EXP # 10-04-2027</v>
      </c>
      <c r="F48" s="23" t="s">
        <v>17</v>
      </c>
      <c r="G48" s="23" t="s">
        <v>30</v>
      </c>
      <c r="H48" s="24" t="s">
        <v>55</v>
      </c>
      <c r="I48" s="25">
        <v>46487</v>
      </c>
      <c r="J48" s="26">
        <f t="shared" si="0"/>
        <v>0</v>
      </c>
      <c r="K48" s="27">
        <v>0</v>
      </c>
      <c r="L48" s="26">
        <f t="shared" si="2"/>
        <v>0</v>
      </c>
      <c r="M48" s="26">
        <f>SUM(J41:J48)</f>
        <v>499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30"/>
      <c r="AT48" s="30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  <c r="IX48" s="33"/>
    </row>
    <row r="49" spans="1:258" ht="21.6" x14ac:dyDescent="0.3">
      <c r="A49" s="61" t="s">
        <v>56</v>
      </c>
      <c r="B49" s="22" t="s">
        <v>57</v>
      </c>
      <c r="C49" s="23" t="s">
        <v>58</v>
      </c>
      <c r="D49" s="23" t="s">
        <v>59</v>
      </c>
      <c r="E49" s="22" t="str">
        <f>"Thigh Length SCD Sleeves - Small 30pairs/box"&amp;CHAR(10)&amp;"LOT # "&amp;H49&amp;" "&amp;"EXP # "&amp;TEXT(I49,"mm-yyyy")</f>
        <v>Thigh Length SCD Sleeves - Small 30pairs/box
LOT # 20240910 EXP # 09-2029</v>
      </c>
      <c r="F49" s="23" t="s">
        <v>60</v>
      </c>
      <c r="G49" s="23" t="s">
        <v>30</v>
      </c>
      <c r="H49" s="24">
        <v>20240910</v>
      </c>
      <c r="I49" s="37">
        <v>47362</v>
      </c>
      <c r="J49" s="26">
        <f t="shared" ref="J49:J154" si="17">K49-L49</f>
        <v>0</v>
      </c>
      <c r="K49" s="38">
        <v>0</v>
      </c>
      <c r="L49" s="26">
        <f t="shared" si="2"/>
        <v>0</v>
      </c>
      <c r="M49" s="28" t="s">
        <v>19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30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  <c r="IX49" s="33"/>
    </row>
    <row r="50" spans="1:258" ht="21.6" x14ac:dyDescent="0.3">
      <c r="A50" s="61" t="s">
        <v>56</v>
      </c>
      <c r="B50" s="22" t="s">
        <v>57</v>
      </c>
      <c r="C50" s="23" t="s">
        <v>58</v>
      </c>
      <c r="D50" s="23" t="s">
        <v>59</v>
      </c>
      <c r="E50" s="22" t="str">
        <f t="shared" ref="E50" si="18">"Thigh Length SCD Sleeves - Small 30pairs/box"&amp;CHAR(10)&amp;"LOT # "&amp;H50&amp;" "&amp;"EXP # "&amp;TEXT(I50,"dd-mm-yyyy")</f>
        <v>Thigh Length SCD Sleeves - Small 30pairs/box
LOT # NO LOT # EXP # NO EXPIRY</v>
      </c>
      <c r="F50" s="23" t="s">
        <v>60</v>
      </c>
      <c r="G50" s="23" t="s">
        <v>30</v>
      </c>
      <c r="H50" s="24" t="s">
        <v>203</v>
      </c>
      <c r="I50" s="37" t="s">
        <v>202</v>
      </c>
      <c r="J50" s="26">
        <f t="shared" si="17"/>
        <v>0</v>
      </c>
      <c r="K50" s="38">
        <v>0</v>
      </c>
      <c r="L50" s="26">
        <f t="shared" si="2"/>
        <v>0</v>
      </c>
      <c r="M50" s="28" t="s">
        <v>19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30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  <c r="IG50" s="32"/>
      <c r="IH50" s="32"/>
      <c r="II50" s="32"/>
      <c r="IJ50" s="32"/>
      <c r="IK50" s="32"/>
      <c r="IL50" s="32"/>
      <c r="IM50" s="32"/>
      <c r="IN50" s="32"/>
      <c r="IO50" s="32"/>
      <c r="IP50" s="32"/>
      <c r="IQ50" s="32"/>
      <c r="IR50" s="32"/>
      <c r="IS50" s="32"/>
      <c r="IT50" s="32"/>
      <c r="IU50" s="32"/>
      <c r="IV50" s="32"/>
      <c r="IW50" s="32"/>
      <c r="IX50" s="33"/>
    </row>
    <row r="51" spans="1:258" ht="21.6" x14ac:dyDescent="0.3">
      <c r="A51" s="61" t="s">
        <v>56</v>
      </c>
      <c r="B51" s="22" t="s">
        <v>57</v>
      </c>
      <c r="C51" s="23" t="s">
        <v>58</v>
      </c>
      <c r="D51" s="23" t="s">
        <v>59</v>
      </c>
      <c r="E51" s="22" t="str">
        <f>"Thigh Length SCD Sleeves - Small 30pairs/box"&amp;CHAR(10)&amp;"LOT # "&amp;H51&amp;" "&amp;"EXP # "&amp;TEXT(I51,"mm-yyyy")</f>
        <v>Thigh Length SCD Sleeves - Small 30pairs/box
LOT # 20250810 EXP # 08-2029</v>
      </c>
      <c r="F51" s="23" t="s">
        <v>60</v>
      </c>
      <c r="G51" s="23" t="s">
        <v>30</v>
      </c>
      <c r="H51" s="24">
        <v>20250810</v>
      </c>
      <c r="I51" s="37">
        <v>47331</v>
      </c>
      <c r="J51" s="26">
        <f t="shared" si="17"/>
        <v>0</v>
      </c>
      <c r="K51" s="38">
        <v>0</v>
      </c>
      <c r="L51" s="26">
        <f t="shared" si="2"/>
        <v>0</v>
      </c>
      <c r="M51" s="28" t="s">
        <v>19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30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  <c r="IX51" s="33"/>
    </row>
    <row r="52" spans="1:258" ht="21.6" x14ac:dyDescent="0.3">
      <c r="A52" s="61" t="s">
        <v>56</v>
      </c>
      <c r="B52" s="22" t="s">
        <v>57</v>
      </c>
      <c r="C52" s="23" t="s">
        <v>58</v>
      </c>
      <c r="D52" s="23" t="s">
        <v>59</v>
      </c>
      <c r="E52" s="22" t="str">
        <f>"Thigh Length SCD Sleeves - Small 30pairs/box"&amp;CHAR(10)&amp;"LOT # "&amp;H52&amp;" "&amp;"EXP # "&amp;TEXT(I52,"mm-yyyy")</f>
        <v>Thigh Length SCD Sleeves - Small 30pairs/box
LOT # 241210 EXP # 12-2029</v>
      </c>
      <c r="F52" s="23" t="s">
        <v>60</v>
      </c>
      <c r="G52" s="23" t="s">
        <v>30</v>
      </c>
      <c r="H52" s="24">
        <v>241210</v>
      </c>
      <c r="I52" s="37">
        <v>47453</v>
      </c>
      <c r="J52" s="26">
        <f t="shared" si="17"/>
        <v>0</v>
      </c>
      <c r="K52" s="38">
        <v>0</v>
      </c>
      <c r="L52" s="26">
        <f t="shared" si="2"/>
        <v>0</v>
      </c>
      <c r="M52" s="26">
        <f>SUM(J49:J52)</f>
        <v>0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30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  <c r="IX52" s="33"/>
    </row>
    <row r="53" spans="1:258" ht="21.6" x14ac:dyDescent="0.3">
      <c r="A53" s="61" t="s">
        <v>61</v>
      </c>
      <c r="B53" s="22"/>
      <c r="C53" s="23"/>
      <c r="D53" s="23" t="s">
        <v>59</v>
      </c>
      <c r="E53" s="22" t="str">
        <f>"Thigh Length SCD Sleeves - Medium 25pairs/box"&amp;CHAR(10)&amp;"LOT # "&amp;H53&amp;" "&amp;"EXP # "&amp;TEXT(I53,"mm-yyyy")</f>
        <v>Thigh Length SCD Sleeves - Medium 25pairs/box
LOT # 20250810 EXP # 08-2029</v>
      </c>
      <c r="F53" s="23" t="s">
        <v>60</v>
      </c>
      <c r="G53" s="23" t="s">
        <v>30</v>
      </c>
      <c r="H53" s="24">
        <v>20250810</v>
      </c>
      <c r="I53" s="37">
        <v>47331</v>
      </c>
      <c r="J53" s="26">
        <f t="shared" si="17"/>
        <v>0</v>
      </c>
      <c r="K53" s="38">
        <v>0</v>
      </c>
      <c r="L53" s="26">
        <f t="shared" si="2"/>
        <v>0</v>
      </c>
      <c r="M53" s="28" t="s">
        <v>19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30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  <c r="IX53" s="33"/>
    </row>
    <row r="54" spans="1:258" ht="21.6" x14ac:dyDescent="0.3">
      <c r="A54" s="61" t="s">
        <v>61</v>
      </c>
      <c r="B54" s="22" t="s">
        <v>57</v>
      </c>
      <c r="C54" s="23" t="s">
        <v>58</v>
      </c>
      <c r="D54" s="23" t="s">
        <v>59</v>
      </c>
      <c r="E54" s="22" t="str">
        <f t="shared" ref="E54" si="19">"Thigh Length SCD Sleeves - Medium 25pairs/box"&amp;CHAR(10)&amp;"LOT # "&amp;H54&amp;" "&amp;"EXP # "&amp;TEXT(I54,"dd-mm-yyyy")</f>
        <v>Thigh Length SCD Sleeves - Medium 25pairs/box
LOT # 240320 EXP # 20-03-2029</v>
      </c>
      <c r="F54" s="23" t="s">
        <v>60</v>
      </c>
      <c r="G54" s="23" t="s">
        <v>30</v>
      </c>
      <c r="H54" s="24">
        <v>240320</v>
      </c>
      <c r="I54" s="37">
        <v>47197</v>
      </c>
      <c r="J54" s="26">
        <f t="shared" si="17"/>
        <v>0</v>
      </c>
      <c r="K54" s="38">
        <v>0</v>
      </c>
      <c r="L54" s="26">
        <f t="shared" si="2"/>
        <v>0</v>
      </c>
      <c r="M54" s="28" t="s">
        <v>19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30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  <c r="IX54" s="33"/>
    </row>
    <row r="55" spans="1:258" ht="21.6" x14ac:dyDescent="0.3">
      <c r="A55" s="61" t="s">
        <v>61</v>
      </c>
      <c r="B55" s="22" t="s">
        <v>57</v>
      </c>
      <c r="C55" s="23" t="s">
        <v>58</v>
      </c>
      <c r="D55" s="23" t="s">
        <v>59</v>
      </c>
      <c r="E55" s="22" t="str">
        <f>"Thigh Length SCD Sleeves - Medium 25pairs/box"&amp;CHAR(10)&amp;"LOT # "&amp;H55&amp;" "&amp;"EXP # "&amp;TEXT(I55,"mm-yyyy")</f>
        <v>Thigh Length SCD Sleeves - Medium 25pairs/box
LOT # 240320 EXP # 03-2028</v>
      </c>
      <c r="F55" s="23" t="s">
        <v>60</v>
      </c>
      <c r="G55" s="23" t="s">
        <v>30</v>
      </c>
      <c r="H55" s="24">
        <v>240320</v>
      </c>
      <c r="I55" s="37">
        <v>46813</v>
      </c>
      <c r="J55" s="26">
        <f t="shared" si="17"/>
        <v>0</v>
      </c>
      <c r="K55" s="38">
        <v>0</v>
      </c>
      <c r="L55" s="26">
        <f t="shared" si="2"/>
        <v>0</v>
      </c>
      <c r="M55" s="28" t="s">
        <v>19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30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  <c r="IX55" s="33"/>
    </row>
    <row r="56" spans="1:258" ht="21.6" x14ac:dyDescent="0.3">
      <c r="A56" s="61" t="s">
        <v>61</v>
      </c>
      <c r="B56" s="22" t="s">
        <v>57</v>
      </c>
      <c r="C56" s="23" t="s">
        <v>58</v>
      </c>
      <c r="D56" s="23" t="s">
        <v>59</v>
      </c>
      <c r="E56" s="22" t="str">
        <f>"Thigh Length SCD Sleeves - Medium 25pairs/box"&amp;CHAR(10)&amp;"LOT # "&amp;H56&amp;" "&amp;"EXP # "&amp;TEXT(I56,"mm-yyyy")</f>
        <v>Thigh Length SCD Sleeves - Medium 25pairs/box
LOT # 20250810 EXP # 08-2029</v>
      </c>
      <c r="F56" s="23" t="s">
        <v>60</v>
      </c>
      <c r="G56" s="23" t="s">
        <v>30</v>
      </c>
      <c r="H56" s="24">
        <v>20250810</v>
      </c>
      <c r="I56" s="37">
        <v>47331</v>
      </c>
      <c r="J56" s="26">
        <f t="shared" ref="J56" si="20">K56-L56</f>
        <v>0</v>
      </c>
      <c r="K56" s="38">
        <v>0</v>
      </c>
      <c r="L56" s="26">
        <f t="shared" si="2"/>
        <v>0</v>
      </c>
      <c r="M56" s="28" t="s">
        <v>19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30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  <c r="IX56" s="33"/>
    </row>
    <row r="57" spans="1:258" ht="21.6" x14ac:dyDescent="0.3">
      <c r="A57" s="61" t="s">
        <v>61</v>
      </c>
      <c r="B57" s="22" t="s">
        <v>57</v>
      </c>
      <c r="C57" s="23" t="s">
        <v>58</v>
      </c>
      <c r="D57" s="23" t="s">
        <v>59</v>
      </c>
      <c r="E57" s="22" t="str">
        <f>"Thigh Length SCD Sleeves - Medium 25pairs/box"&amp;CHAR(10)&amp;"LOT # "&amp;H57&amp;" "&amp;"EXP # "&amp;TEXT(I57,"mm-yyyy")</f>
        <v>Thigh Length SCD Sleeves - Medium 25pairs/box
LOT # 20241210 EXP # 12-2029</v>
      </c>
      <c r="F57" s="23" t="s">
        <v>60</v>
      </c>
      <c r="G57" s="23" t="s">
        <v>30</v>
      </c>
      <c r="H57" s="24">
        <v>20241210</v>
      </c>
      <c r="I57" s="37">
        <v>47453</v>
      </c>
      <c r="J57" s="39">
        <f>K57-L57</f>
        <v>0</v>
      </c>
      <c r="K57" s="38">
        <v>0</v>
      </c>
      <c r="L57" s="26">
        <f t="shared" si="2"/>
        <v>0</v>
      </c>
      <c r="M57" s="26">
        <f>SUM(J53:J57)</f>
        <v>0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30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3"/>
    </row>
    <row r="58" spans="1:258" ht="21.6" x14ac:dyDescent="0.3">
      <c r="A58" s="61" t="s">
        <v>62</v>
      </c>
      <c r="B58" s="22" t="s">
        <v>57</v>
      </c>
      <c r="C58" s="23" t="s">
        <v>58</v>
      </c>
      <c r="D58" s="23" t="s">
        <v>59</v>
      </c>
      <c r="E58" s="22" t="str">
        <f>"Thigh Length SCD Sleeves - Large 20pairs/box"&amp;CHAR(10)&amp;"LOT # "&amp;H58&amp;" "&amp;"EXP # "&amp;TEXT(I58,"mm-yyyy")</f>
        <v>Thigh Length SCD Sleeves - Large 20pairs/box
LOT # 20230910 EXP # 09-2028</v>
      </c>
      <c r="F58" s="23" t="s">
        <v>60</v>
      </c>
      <c r="G58" s="23" t="s">
        <v>30</v>
      </c>
      <c r="H58" s="24">
        <v>20230910</v>
      </c>
      <c r="I58" s="37">
        <v>46997</v>
      </c>
      <c r="J58" s="26">
        <f t="shared" si="17"/>
        <v>0</v>
      </c>
      <c r="K58" s="38">
        <v>0</v>
      </c>
      <c r="L58" s="26">
        <f t="shared" si="2"/>
        <v>0</v>
      </c>
      <c r="M58" s="28" t="s">
        <v>19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30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3"/>
    </row>
    <row r="59" spans="1:258" ht="21.6" x14ac:dyDescent="0.3">
      <c r="A59" s="61" t="s">
        <v>62</v>
      </c>
      <c r="B59" s="22" t="s">
        <v>57</v>
      </c>
      <c r="C59" s="23" t="s">
        <v>58</v>
      </c>
      <c r="D59" s="23" t="s">
        <v>59</v>
      </c>
      <c r="E59" s="22" t="str">
        <f>"Thigh Length SCD Sleeves - Large 20pairs/box"&amp;CHAR(10)&amp;"LOT # "&amp;H59&amp;" "&amp;"EXP # "&amp;TEXT(I59,"mm-yyyy")</f>
        <v>Thigh Length SCD Sleeves - Large 20pairs/box
LOT # 20230910 EXP # 09-2028</v>
      </c>
      <c r="F59" s="23" t="s">
        <v>60</v>
      </c>
      <c r="G59" s="23" t="s">
        <v>30</v>
      </c>
      <c r="H59" s="24">
        <v>20230910</v>
      </c>
      <c r="I59" s="37">
        <v>46997</v>
      </c>
      <c r="J59" s="26">
        <f t="shared" si="17"/>
        <v>0</v>
      </c>
      <c r="K59" s="38">
        <v>0</v>
      </c>
      <c r="L59" s="26">
        <f t="shared" si="2"/>
        <v>0</v>
      </c>
      <c r="M59" s="28" t="s">
        <v>19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30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3"/>
    </row>
    <row r="60" spans="1:258" ht="21.6" x14ac:dyDescent="0.3">
      <c r="A60" s="61" t="s">
        <v>62</v>
      </c>
      <c r="B60" s="22" t="s">
        <v>57</v>
      </c>
      <c r="C60" s="23" t="s">
        <v>58</v>
      </c>
      <c r="D60" s="23" t="s">
        <v>59</v>
      </c>
      <c r="E60" s="22" t="str">
        <f>"Thigh Length SCD Sleeves - Large 20pairs/box"&amp;CHAR(10)&amp;"LOT # "&amp;H60&amp;" "&amp;"EXP # "&amp;TEXT(I60,"mm-yyyy")</f>
        <v>Thigh Length SCD Sleeves - Large 20pairs/box
LOT # 240320 EXP # 03-2029</v>
      </c>
      <c r="F60" s="23" t="s">
        <v>60</v>
      </c>
      <c r="G60" s="23" t="s">
        <v>18</v>
      </c>
      <c r="H60" s="24">
        <v>240320</v>
      </c>
      <c r="I60" s="37">
        <v>47178</v>
      </c>
      <c r="J60" s="26">
        <f t="shared" si="17"/>
        <v>-1</v>
      </c>
      <c r="K60" s="38">
        <v>-1</v>
      </c>
      <c r="L60" s="26">
        <f t="shared" si="2"/>
        <v>0</v>
      </c>
      <c r="M60" s="26">
        <f>SUM(J58:J60)</f>
        <v>-1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30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3"/>
    </row>
    <row r="61" spans="1:258" ht="21.6" x14ac:dyDescent="0.3">
      <c r="A61" s="61" t="s">
        <v>63</v>
      </c>
      <c r="B61" s="22"/>
      <c r="C61" s="23"/>
      <c r="D61" s="23" t="s">
        <v>65</v>
      </c>
      <c r="E61" s="22" t="str">
        <f>"Below Knee SCD Sleeves - Small 40 PAIRS/BOX"&amp;CHAR(10)&amp;"LOT # "&amp;H61&amp;" "&amp;"EXP # "&amp;TEXT(I61,"dd-mm-yyyy")</f>
        <v>Below Knee SCD Sleeves - Small 40 PAIRS/BOX
LOT # 240320 EXP # 20-03-2029</v>
      </c>
      <c r="F61" s="23" t="s">
        <v>60</v>
      </c>
      <c r="G61" s="23" t="s">
        <v>18</v>
      </c>
      <c r="H61" s="24">
        <v>240320</v>
      </c>
      <c r="I61" s="37">
        <v>47197</v>
      </c>
      <c r="J61" s="26">
        <f t="shared" si="17"/>
        <v>0</v>
      </c>
      <c r="K61" s="38">
        <v>0</v>
      </c>
      <c r="L61" s="26">
        <f t="shared" si="2"/>
        <v>0</v>
      </c>
      <c r="M61" s="28" t="s">
        <v>19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30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3"/>
    </row>
    <row r="62" spans="1:258" ht="21.6" x14ac:dyDescent="0.3">
      <c r="A62" s="61" t="s">
        <v>63</v>
      </c>
      <c r="B62" s="22" t="s">
        <v>57</v>
      </c>
      <c r="C62" s="23" t="s">
        <v>64</v>
      </c>
      <c r="D62" s="23" t="s">
        <v>65</v>
      </c>
      <c r="E62" s="22" t="str">
        <f>"Below Knee SCD Sleeves - Small 40 PAIRS/BOX"&amp;CHAR(10)&amp;"LOT # "&amp;H62&amp;" "&amp;"EXP # "&amp;TEXT(I62,"mm-yyyy")</f>
        <v>Below Knee SCD Sleeves - Small 40 PAIRS/BOX
LOT # 240320 EXP # 03-2029</v>
      </c>
      <c r="F62" s="23" t="s">
        <v>60</v>
      </c>
      <c r="G62" s="23" t="s">
        <v>18</v>
      </c>
      <c r="H62" s="24">
        <v>240320</v>
      </c>
      <c r="I62" s="37">
        <v>47178</v>
      </c>
      <c r="J62" s="26">
        <f t="shared" si="17"/>
        <v>92</v>
      </c>
      <c r="K62" s="38">
        <v>92</v>
      </c>
      <c r="L62" s="26">
        <f t="shared" si="2"/>
        <v>0</v>
      </c>
      <c r="M62" s="28" t="s">
        <v>19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30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  <c r="IG62" s="32"/>
      <c r="IH62" s="32"/>
      <c r="II62" s="32"/>
      <c r="IJ62" s="32"/>
      <c r="IK62" s="32"/>
      <c r="IL62" s="32"/>
      <c r="IM62" s="32"/>
      <c r="IN62" s="32"/>
      <c r="IO62" s="32"/>
      <c r="IP62" s="32"/>
      <c r="IQ62" s="32"/>
      <c r="IR62" s="32"/>
      <c r="IS62" s="32"/>
      <c r="IT62" s="32"/>
      <c r="IU62" s="32"/>
      <c r="IV62" s="32"/>
      <c r="IW62" s="32"/>
      <c r="IX62" s="33"/>
    </row>
    <row r="63" spans="1:258" ht="21.6" x14ac:dyDescent="0.3">
      <c r="A63" s="61" t="s">
        <v>63</v>
      </c>
      <c r="B63" s="22" t="s">
        <v>57</v>
      </c>
      <c r="C63" s="23" t="s">
        <v>64</v>
      </c>
      <c r="D63" s="23" t="s">
        <v>65</v>
      </c>
      <c r="E63" s="22" t="str">
        <f>"Below Knee SCD Sleeves - Small 40 PAIRS/BOX"&amp;CHAR(10)&amp;"LOT # "&amp;H63&amp;" "&amp;"EXP # "&amp;TEXT(I63,"mm-yyyy")</f>
        <v>Below Knee SCD Sleeves - Small 40 PAIRS/BOX
LOT # 241210 EXP # 12-2029</v>
      </c>
      <c r="F63" s="23" t="s">
        <v>60</v>
      </c>
      <c r="G63" s="23" t="s">
        <v>20</v>
      </c>
      <c r="H63" s="24">
        <v>241210</v>
      </c>
      <c r="I63" s="37">
        <v>47453</v>
      </c>
      <c r="J63" s="26">
        <f t="shared" si="17"/>
        <v>160</v>
      </c>
      <c r="K63" s="38">
        <v>160</v>
      </c>
      <c r="L63" s="26">
        <f t="shared" si="2"/>
        <v>0</v>
      </c>
      <c r="M63" s="26">
        <f>SUM(J61:J63)</f>
        <v>252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30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32"/>
      <c r="ID63" s="32"/>
      <c r="IE63" s="32"/>
      <c r="IF63" s="32"/>
      <c r="IG63" s="32"/>
      <c r="IH63" s="32"/>
      <c r="II63" s="32"/>
      <c r="IJ63" s="32"/>
      <c r="IK63" s="32"/>
      <c r="IL63" s="32"/>
      <c r="IM63" s="32"/>
      <c r="IN63" s="32"/>
      <c r="IO63" s="32"/>
      <c r="IP63" s="32"/>
      <c r="IQ63" s="32"/>
      <c r="IR63" s="32"/>
      <c r="IS63" s="32"/>
      <c r="IT63" s="32"/>
      <c r="IU63" s="32"/>
      <c r="IV63" s="32"/>
      <c r="IW63" s="32"/>
      <c r="IX63" s="33"/>
    </row>
    <row r="64" spans="1:258" ht="21.6" x14ac:dyDescent="0.3">
      <c r="A64" s="61" t="s">
        <v>66</v>
      </c>
      <c r="B64" s="22" t="s">
        <v>57</v>
      </c>
      <c r="C64" s="23" t="s">
        <v>64</v>
      </c>
      <c r="D64" s="23" t="s">
        <v>65</v>
      </c>
      <c r="E64" s="22" t="str">
        <f>"Below Knee SCD Sleeves - Medium 30 PAIRS/BOX"&amp;CHAR(10)&amp;"LOT # "&amp;H64&amp;" "&amp;"EXP # "&amp;TEXT(I64,"mm-yyyy")</f>
        <v>Below Knee SCD Sleeves - Medium 30 PAIRS/BOX
LOT # 230910 EXP # 09-2028</v>
      </c>
      <c r="F64" s="23" t="s">
        <v>60</v>
      </c>
      <c r="G64" s="23" t="s">
        <v>30</v>
      </c>
      <c r="H64" s="24">
        <v>230910</v>
      </c>
      <c r="I64" s="37">
        <v>46997</v>
      </c>
      <c r="J64" s="26">
        <f t="shared" si="17"/>
        <v>0</v>
      </c>
      <c r="K64" s="38">
        <v>0</v>
      </c>
      <c r="L64" s="26">
        <f t="shared" si="2"/>
        <v>0</v>
      </c>
      <c r="M64" s="26" t="s">
        <v>19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30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3"/>
    </row>
    <row r="65" spans="1:258" ht="21.6" x14ac:dyDescent="0.3">
      <c r="A65" s="61" t="s">
        <v>66</v>
      </c>
      <c r="B65" s="22" t="s">
        <v>57</v>
      </c>
      <c r="C65" s="23" t="s">
        <v>64</v>
      </c>
      <c r="D65" s="23" t="s">
        <v>65</v>
      </c>
      <c r="E65" s="22" t="str">
        <f>"Below Knee SCD Sleeves - Medium 30 PAIRS/BOX"&amp;CHAR(10)&amp;"LOT # "&amp;H65&amp;" "&amp;"EXP # "&amp;TEXT(I65,"mm-yyyy")</f>
        <v>Below Knee SCD Sleeves - Medium 30 PAIRS/BOX
LOT # 240320 EXP # 03-2029</v>
      </c>
      <c r="F65" s="23" t="s">
        <v>60</v>
      </c>
      <c r="G65" s="23" t="s">
        <v>30</v>
      </c>
      <c r="H65" s="24">
        <v>240320</v>
      </c>
      <c r="I65" s="37">
        <v>47178</v>
      </c>
      <c r="J65" s="26">
        <f t="shared" si="17"/>
        <v>0</v>
      </c>
      <c r="K65" s="38">
        <v>0</v>
      </c>
      <c r="L65" s="26">
        <f t="shared" si="2"/>
        <v>0</v>
      </c>
      <c r="M65" s="28" t="s">
        <v>19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30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  <c r="IX65" s="33"/>
    </row>
    <row r="66" spans="1:258" ht="21.6" x14ac:dyDescent="0.3">
      <c r="A66" s="61" t="s">
        <v>66</v>
      </c>
      <c r="B66" s="22" t="s">
        <v>57</v>
      </c>
      <c r="C66" s="23" t="s">
        <v>64</v>
      </c>
      <c r="D66" s="23" t="s">
        <v>65</v>
      </c>
      <c r="E66" s="22" t="str">
        <f>"Below Knee SCD Sleeves - Medium 30 PAIRS/BOX"&amp;CHAR(10)&amp;"LOT # "&amp;H66&amp;" "&amp;"EXP # "&amp;TEXT(I66,"mm-yyyy")</f>
        <v>Below Knee SCD Sleeves - Medium 30 PAIRS/BOX
LOT # 241210 EXP # 12-2029</v>
      </c>
      <c r="F66" s="23" t="s">
        <v>60</v>
      </c>
      <c r="G66" s="23" t="s">
        <v>30</v>
      </c>
      <c r="H66" s="24">
        <v>241210</v>
      </c>
      <c r="I66" s="37">
        <v>47453</v>
      </c>
      <c r="J66" s="26">
        <f t="shared" si="17"/>
        <v>0</v>
      </c>
      <c r="K66" s="38">
        <v>10</v>
      </c>
      <c r="L66" s="26">
        <f t="shared" si="2"/>
        <v>10</v>
      </c>
      <c r="M66" s="26">
        <f>SUM(J64:J66)</f>
        <v>0</v>
      </c>
      <c r="N66" s="29"/>
      <c r="O66" s="29"/>
      <c r="P66" s="29"/>
      <c r="Q66" s="29"/>
      <c r="R66" s="29"/>
      <c r="S66" s="29"/>
      <c r="T66" s="29"/>
      <c r="U66" s="34">
        <f>10</f>
        <v>10</v>
      </c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30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32"/>
      <c r="ID66" s="32"/>
      <c r="IE66" s="32"/>
      <c r="IF66" s="32"/>
      <c r="IG66" s="32"/>
      <c r="IH66" s="32"/>
      <c r="II66" s="32"/>
      <c r="IJ66" s="32"/>
      <c r="IK66" s="32"/>
      <c r="IL66" s="32"/>
      <c r="IM66" s="32"/>
      <c r="IN66" s="32"/>
      <c r="IO66" s="32"/>
      <c r="IP66" s="32"/>
      <c r="IQ66" s="32"/>
      <c r="IR66" s="32"/>
      <c r="IS66" s="32"/>
      <c r="IT66" s="32"/>
      <c r="IU66" s="32"/>
      <c r="IV66" s="32"/>
      <c r="IW66" s="32"/>
      <c r="IX66" s="33"/>
    </row>
    <row r="67" spans="1:258" ht="21.6" x14ac:dyDescent="0.3">
      <c r="A67" s="61" t="s">
        <v>67</v>
      </c>
      <c r="B67" s="22"/>
      <c r="C67" s="23"/>
      <c r="D67" s="23" t="s">
        <v>65</v>
      </c>
      <c r="E67" s="22" t="str">
        <f>"Below Knee SCD Sleeves - Large 30 PAIRS/BOX"&amp;CHAR(10)&amp;"LOT # "&amp;H67&amp;" "&amp;"EXP # "&amp;TEXT(I67,"mm-yyyy")</f>
        <v>Below Knee SCD Sleeves - Large 30 PAIRS/BOX
LOT # 230910 EXP # 09-2028</v>
      </c>
      <c r="F67" s="23" t="s">
        <v>60</v>
      </c>
      <c r="G67" s="23" t="s">
        <v>30</v>
      </c>
      <c r="H67" s="24">
        <v>230910</v>
      </c>
      <c r="I67" s="37">
        <v>46997</v>
      </c>
      <c r="J67" s="26">
        <f t="shared" si="17"/>
        <v>0</v>
      </c>
      <c r="K67" s="38">
        <v>0</v>
      </c>
      <c r="L67" s="26">
        <f t="shared" ref="L67:L135" si="21">SUM(N67:IX67)</f>
        <v>0</v>
      </c>
      <c r="M67" s="28" t="s">
        <v>19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30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  <c r="IG67" s="32"/>
      <c r="IH67" s="32"/>
      <c r="II67" s="32"/>
      <c r="IJ67" s="32"/>
      <c r="IK67" s="32"/>
      <c r="IL67" s="32"/>
      <c r="IM67" s="32"/>
      <c r="IN67" s="32"/>
      <c r="IO67" s="32"/>
      <c r="IP67" s="32"/>
      <c r="IQ67" s="32"/>
      <c r="IR67" s="32"/>
      <c r="IS67" s="32"/>
      <c r="IT67" s="32"/>
      <c r="IU67" s="32"/>
      <c r="IV67" s="32"/>
      <c r="IW67" s="32"/>
      <c r="IX67" s="33"/>
    </row>
    <row r="68" spans="1:258" ht="21.6" x14ac:dyDescent="0.3">
      <c r="A68" s="61" t="s">
        <v>67</v>
      </c>
      <c r="B68" s="22" t="s">
        <v>57</v>
      </c>
      <c r="C68" s="23" t="s">
        <v>64</v>
      </c>
      <c r="D68" s="23" t="s">
        <v>65</v>
      </c>
      <c r="E68" s="22" t="str">
        <f>"Below Knee SCD Sleeves - Large 30 PAIRS/BOX"&amp;CHAR(10)&amp;"LOT # "&amp;H68&amp;" "&amp;"EXP # "&amp;TEXT(I68,"mm-yyyy")</f>
        <v>Below Knee SCD Sleeves - Large 30 PAIRS/BOX
LOT # 20230910 EXP # 09-2028</v>
      </c>
      <c r="F68" s="23" t="s">
        <v>60</v>
      </c>
      <c r="G68" s="23" t="s">
        <v>30</v>
      </c>
      <c r="H68" s="24">
        <v>20230910</v>
      </c>
      <c r="I68" s="37">
        <v>46997</v>
      </c>
      <c r="J68" s="26">
        <f t="shared" si="17"/>
        <v>0</v>
      </c>
      <c r="K68" s="38">
        <v>0</v>
      </c>
      <c r="L68" s="26">
        <f t="shared" si="21"/>
        <v>0</v>
      </c>
      <c r="M68" s="28" t="s">
        <v>19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30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  <c r="IX68" s="33"/>
    </row>
    <row r="69" spans="1:258" ht="21.6" x14ac:dyDescent="0.3">
      <c r="A69" s="61" t="s">
        <v>67</v>
      </c>
      <c r="B69" s="22" t="s">
        <v>57</v>
      </c>
      <c r="C69" s="23" t="s">
        <v>64</v>
      </c>
      <c r="D69" s="23" t="s">
        <v>65</v>
      </c>
      <c r="E69" s="22" t="str">
        <f>"Below Knee SCD Sleeves - Large 30 PAIRS/BOX"&amp;CHAR(10)&amp;"LOT # "&amp;H69&amp;" "&amp;"EXP # "&amp;TEXT(I69,"mm-yyyy")</f>
        <v>Below Knee SCD Sleeves - Large 30 PAIRS/BOX
LOT # 221020 EXP # 10-2027</v>
      </c>
      <c r="F69" s="23" t="s">
        <v>60</v>
      </c>
      <c r="G69" s="23" t="s">
        <v>30</v>
      </c>
      <c r="H69" s="24">
        <v>221020</v>
      </c>
      <c r="I69" s="37">
        <v>46661</v>
      </c>
      <c r="J69" s="26">
        <f t="shared" ref="J69" si="22">K69-L69</f>
        <v>0</v>
      </c>
      <c r="K69" s="38">
        <v>0</v>
      </c>
      <c r="L69" s="26">
        <f t="shared" si="21"/>
        <v>0</v>
      </c>
      <c r="M69" s="28" t="s">
        <v>19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30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  <c r="IG69" s="32"/>
      <c r="IH69" s="32"/>
      <c r="II69" s="32"/>
      <c r="IJ69" s="32"/>
      <c r="IK69" s="32"/>
      <c r="IL69" s="32"/>
      <c r="IM69" s="32"/>
      <c r="IN69" s="32"/>
      <c r="IO69" s="32"/>
      <c r="IP69" s="32"/>
      <c r="IQ69" s="32"/>
      <c r="IR69" s="32"/>
      <c r="IS69" s="32"/>
      <c r="IT69" s="32"/>
      <c r="IU69" s="32"/>
      <c r="IV69" s="32"/>
      <c r="IW69" s="32"/>
      <c r="IX69" s="33"/>
    </row>
    <row r="70" spans="1:258" ht="21.6" x14ac:dyDescent="0.3">
      <c r="A70" s="61" t="s">
        <v>67</v>
      </c>
      <c r="B70" s="22" t="s">
        <v>57</v>
      </c>
      <c r="C70" s="23" t="s">
        <v>64</v>
      </c>
      <c r="D70" s="23" t="s">
        <v>65</v>
      </c>
      <c r="E70" s="22" t="str">
        <f>"Below Knee SCD Sleeves - Large 30 PAIRS/BOX"&amp;CHAR(10)&amp;"LOT # "&amp;H70&amp;" "&amp;"EXP # "&amp;TEXT(I70,"mm-yyyy")</f>
        <v>Below Knee SCD Sleeves - Large 30 PAIRS/BOX
LOT # 240320 EXP # 03-2029</v>
      </c>
      <c r="F70" s="23" t="s">
        <v>60</v>
      </c>
      <c r="G70" s="23" t="s">
        <v>30</v>
      </c>
      <c r="H70" s="24">
        <v>240320</v>
      </c>
      <c r="I70" s="37">
        <v>47178</v>
      </c>
      <c r="J70" s="26">
        <f t="shared" si="17"/>
        <v>0</v>
      </c>
      <c r="K70" s="38">
        <v>0</v>
      </c>
      <c r="L70" s="26">
        <f t="shared" si="21"/>
        <v>0</v>
      </c>
      <c r="M70" s="26">
        <f>SUM(J67:J70)</f>
        <v>0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30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  <c r="IX70" s="33"/>
    </row>
    <row r="71" spans="1:258" ht="21.6" x14ac:dyDescent="0.3">
      <c r="A71" s="61" t="s">
        <v>68</v>
      </c>
      <c r="B71" s="22" t="s">
        <v>57</v>
      </c>
      <c r="C71" s="23" t="s">
        <v>64</v>
      </c>
      <c r="D71" s="23" t="s">
        <v>65</v>
      </c>
      <c r="E71" s="22" t="str">
        <f>"Below Knee SCD Sleeves - X-Large 25 PAIRS/BOX"&amp;CHAR(10)&amp;"LOT # "&amp;H71&amp;" "&amp;"EXP # "&amp;TEXT(I71,"mm-yyyy")</f>
        <v>Below Knee SCD Sleeves - X-Large 25 PAIRS/BOX
LOT # 240320 EXP # 03-2029</v>
      </c>
      <c r="F71" s="23" t="s">
        <v>60</v>
      </c>
      <c r="G71" s="23" t="s">
        <v>30</v>
      </c>
      <c r="H71" s="24">
        <v>240320</v>
      </c>
      <c r="I71" s="37">
        <v>47178</v>
      </c>
      <c r="J71" s="26">
        <f t="shared" si="17"/>
        <v>0</v>
      </c>
      <c r="K71" s="38">
        <v>0</v>
      </c>
      <c r="L71" s="26">
        <f t="shared" si="21"/>
        <v>0</v>
      </c>
      <c r="M71" s="28" t="s">
        <v>19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30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  <c r="IX71" s="33"/>
    </row>
    <row r="72" spans="1:258" ht="21.6" x14ac:dyDescent="0.3">
      <c r="A72" s="61" t="s">
        <v>68</v>
      </c>
      <c r="B72" s="22" t="s">
        <v>57</v>
      </c>
      <c r="C72" s="23" t="s">
        <v>64</v>
      </c>
      <c r="D72" s="23" t="s">
        <v>65</v>
      </c>
      <c r="E72" s="22" t="str">
        <f>"Below Knee SCD Sleeves - X-Large 25 PAIRS/BOX"&amp;CHAR(10)&amp;"LOT # "&amp;H72&amp;" "&amp;"EXP # "&amp;TEXT(I72,"mm-yyyy")</f>
        <v>Below Knee SCD Sleeves - X-Large 25 PAIRS/BOX
LOT # 20240910 EXP # 09-2029</v>
      </c>
      <c r="F72" s="23" t="s">
        <v>60</v>
      </c>
      <c r="G72" s="23" t="s">
        <v>18</v>
      </c>
      <c r="H72" s="24">
        <v>20240910</v>
      </c>
      <c r="I72" s="37">
        <v>47362</v>
      </c>
      <c r="J72" s="26">
        <f t="shared" si="17"/>
        <v>83</v>
      </c>
      <c r="K72" s="38">
        <v>331</v>
      </c>
      <c r="L72" s="26">
        <f t="shared" si="21"/>
        <v>248</v>
      </c>
      <c r="M72" s="26">
        <f>SUM(J71:J72)</f>
        <v>83</v>
      </c>
      <c r="N72" s="34">
        <f>50</f>
        <v>50</v>
      </c>
      <c r="O72" s="29"/>
      <c r="P72" s="29"/>
      <c r="Q72" s="29"/>
      <c r="R72" s="29"/>
      <c r="S72" s="34">
        <f>25</f>
        <v>25</v>
      </c>
      <c r="T72" s="29"/>
      <c r="U72" s="29"/>
      <c r="V72" s="29"/>
      <c r="W72" s="29"/>
      <c r="X72" s="29"/>
      <c r="Y72" s="29"/>
      <c r="Z72" s="29"/>
      <c r="AA72" s="34">
        <f>60</f>
        <v>60</v>
      </c>
      <c r="AB72" s="29"/>
      <c r="AC72" s="29"/>
      <c r="AD72" s="29"/>
      <c r="AE72" s="29"/>
      <c r="AF72" s="34">
        <f>25</f>
        <v>25</v>
      </c>
      <c r="AG72" s="29"/>
      <c r="AH72" s="34">
        <f>8</f>
        <v>8</v>
      </c>
      <c r="AI72" s="29"/>
      <c r="AJ72" s="29"/>
      <c r="AK72" s="34">
        <f>50</f>
        <v>50</v>
      </c>
      <c r="AL72" s="29"/>
      <c r="AM72" s="29"/>
      <c r="AN72" s="29"/>
      <c r="AO72" s="29"/>
      <c r="AP72" s="29"/>
      <c r="AQ72" s="29"/>
      <c r="AR72" s="29"/>
      <c r="AS72" s="35">
        <f>30</f>
        <v>30</v>
      </c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3"/>
    </row>
    <row r="73" spans="1:258" ht="21.6" x14ac:dyDescent="0.3">
      <c r="A73" s="61" t="s">
        <v>69</v>
      </c>
      <c r="B73" s="22" t="s">
        <v>57</v>
      </c>
      <c r="C73" s="23" t="s">
        <v>70</v>
      </c>
      <c r="D73" s="23" t="s">
        <v>70</v>
      </c>
      <c r="E73" s="22" t="str">
        <f>"Compression Foot Cuff W41.8 Cm x L22.8 Cm"&amp;CHAR(10)&amp;"LOT # "&amp;H73&amp;" "&amp;"EXP # "&amp;TEXT(I73,"dd-mm-yyyy")</f>
        <v xml:space="preserve">Compression Foot Cuff W41.8 Cm x L22.8 Cm
LOT #   EXP #  </v>
      </c>
      <c r="F73" s="23" t="s">
        <v>60</v>
      </c>
      <c r="G73" s="23" t="s">
        <v>18</v>
      </c>
      <c r="H73" s="24" t="str">
        <f>" "</f>
        <v xml:space="preserve"> </v>
      </c>
      <c r="I73" s="24" t="str">
        <f>" "</f>
        <v xml:space="preserve"> </v>
      </c>
      <c r="J73" s="26">
        <f t="shared" si="17"/>
        <v>65</v>
      </c>
      <c r="K73" s="38">
        <v>65</v>
      </c>
      <c r="L73" s="26">
        <f t="shared" si="21"/>
        <v>0</v>
      </c>
      <c r="M73" s="26">
        <f>SUM(J73)</f>
        <v>65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30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  <c r="IX73" s="33"/>
    </row>
    <row r="74" spans="1:258" ht="21.6" x14ac:dyDescent="0.3">
      <c r="A74" s="61" t="s">
        <v>448</v>
      </c>
      <c r="B74" s="22"/>
      <c r="C74" s="23"/>
      <c r="D74" s="23"/>
      <c r="E74" s="22" t="str">
        <f>"COMPRESSION THIGH SCD SLEEVES - SMALL - 25PAIRS/BOX"&amp;CHAR(10)&amp;"LOT # "&amp;H74&amp;" "&amp;"EXP # "&amp;TEXT(I74,"mm-yyyy")</f>
        <v>COMPRESSION THIGH SCD SLEEVES - SMALL - 25PAIRS/BOX
LOT # 260515 EXP # 05-2029</v>
      </c>
      <c r="F74" s="23" t="s">
        <v>60</v>
      </c>
      <c r="G74" s="23" t="s">
        <v>20</v>
      </c>
      <c r="H74" s="24">
        <v>260515</v>
      </c>
      <c r="I74" s="40">
        <v>47239</v>
      </c>
      <c r="J74" s="26">
        <f t="shared" si="17"/>
        <v>113</v>
      </c>
      <c r="K74" s="38">
        <v>125</v>
      </c>
      <c r="L74" s="26">
        <f t="shared" si="21"/>
        <v>12</v>
      </c>
      <c r="M74" s="26" t="s">
        <v>19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35">
        <f>12</f>
        <v>12</v>
      </c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  <c r="IX74" s="33"/>
    </row>
    <row r="75" spans="1:258" ht="21.6" x14ac:dyDescent="0.3">
      <c r="A75" s="61" t="s">
        <v>448</v>
      </c>
      <c r="B75" s="22"/>
      <c r="C75" s="23"/>
      <c r="D75" s="23"/>
      <c r="E75" s="22" t="str">
        <f>"COMPRESSION THIGH SCD SLEEVES - SMALL - 25PAIRS/BOX"&amp;CHAR(10)&amp;"LOT # "&amp;H75&amp;" "&amp;"EXP # "&amp;TEXT(I75,"mm-yyyy")</f>
        <v>COMPRESSION THIGH SCD SLEEVES - SMALL - 25PAIRS/BOX
LOT # 251115 EXP # 11-2028</v>
      </c>
      <c r="F75" s="23" t="s">
        <v>60</v>
      </c>
      <c r="G75" s="23" t="s">
        <v>30</v>
      </c>
      <c r="H75" s="24">
        <v>251115</v>
      </c>
      <c r="I75" s="40">
        <v>47058</v>
      </c>
      <c r="J75" s="26">
        <f t="shared" ref="J75:J84" si="23">K75-L75</f>
        <v>0</v>
      </c>
      <c r="K75" s="38">
        <v>200</v>
      </c>
      <c r="L75" s="26">
        <f t="shared" si="21"/>
        <v>200</v>
      </c>
      <c r="M75" s="26">
        <f>SUM(J74,J75)</f>
        <v>113</v>
      </c>
      <c r="N75" s="29"/>
      <c r="O75" s="29"/>
      <c r="P75" s="29"/>
      <c r="Q75" s="29"/>
      <c r="R75" s="29"/>
      <c r="S75" s="34">
        <f>10</f>
        <v>10</v>
      </c>
      <c r="T75" s="34">
        <f>2</f>
        <v>2</v>
      </c>
      <c r="U75" s="34">
        <f>25+20</f>
        <v>45</v>
      </c>
      <c r="V75" s="29"/>
      <c r="W75" s="29"/>
      <c r="X75" s="29"/>
      <c r="Y75" s="29"/>
      <c r="Z75" s="29"/>
      <c r="AA75" s="34">
        <f>30</f>
        <v>30</v>
      </c>
      <c r="AB75" s="34">
        <f>15</f>
        <v>15</v>
      </c>
      <c r="AC75" s="29"/>
      <c r="AD75" s="29"/>
      <c r="AE75" s="34">
        <f>25</f>
        <v>25</v>
      </c>
      <c r="AF75" s="29"/>
      <c r="AG75" s="34">
        <f>25</f>
        <v>25</v>
      </c>
      <c r="AH75" s="29"/>
      <c r="AI75" s="29"/>
      <c r="AJ75" s="29"/>
      <c r="AK75" s="29"/>
      <c r="AL75" s="34">
        <f>25</f>
        <v>25</v>
      </c>
      <c r="AM75" s="29"/>
      <c r="AN75" s="29"/>
      <c r="AO75" s="29"/>
      <c r="AP75" s="29"/>
      <c r="AQ75" s="29"/>
      <c r="AR75" s="29"/>
      <c r="AS75" s="35">
        <f>10+13</f>
        <v>23</v>
      </c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  <c r="IX75" s="33"/>
    </row>
    <row r="76" spans="1:258" ht="21.6" x14ac:dyDescent="0.3">
      <c r="A76" s="61" t="s">
        <v>449</v>
      </c>
      <c r="B76" s="22"/>
      <c r="C76" s="23"/>
      <c r="D76" s="23"/>
      <c r="E76" s="22" t="str">
        <f>"COMPRESSION THIGH SCD SLEEVES - MEDIUM - 25PAIRS/BOX"&amp;CHAR(10)&amp;"LOT # "&amp;H76&amp;" "&amp;"EXP # "&amp;TEXT(I76,"mm-yyyy")</f>
        <v>COMPRESSION THIGH SCD SLEEVES - MEDIUM - 25PAIRS/BOX
LOT # 260515 EXP # 05-2029</v>
      </c>
      <c r="F76" s="23" t="s">
        <v>60</v>
      </c>
      <c r="G76" s="23" t="s">
        <v>18</v>
      </c>
      <c r="H76" s="24">
        <v>260515</v>
      </c>
      <c r="I76" s="40">
        <v>47239</v>
      </c>
      <c r="J76" s="26">
        <f t="shared" si="23"/>
        <v>42</v>
      </c>
      <c r="K76" s="38">
        <v>100</v>
      </c>
      <c r="L76" s="26">
        <f t="shared" si="21"/>
        <v>58</v>
      </c>
      <c r="M76" s="26" t="s">
        <v>19</v>
      </c>
      <c r="N76" s="29"/>
      <c r="O76" s="29"/>
      <c r="P76" s="29"/>
      <c r="Q76" s="29"/>
      <c r="R76" s="29"/>
      <c r="S76" s="34"/>
      <c r="T76" s="34"/>
      <c r="U76" s="34"/>
      <c r="V76" s="29"/>
      <c r="W76" s="29"/>
      <c r="X76" s="29"/>
      <c r="Y76" s="29"/>
      <c r="Z76" s="29"/>
      <c r="AA76" s="34"/>
      <c r="AB76" s="34"/>
      <c r="AC76" s="29"/>
      <c r="AD76" s="29"/>
      <c r="AE76" s="34"/>
      <c r="AF76" s="29"/>
      <c r="AG76" s="34"/>
      <c r="AH76" s="29"/>
      <c r="AI76" s="29"/>
      <c r="AJ76" s="29"/>
      <c r="AK76" s="29"/>
      <c r="AL76" s="34"/>
      <c r="AM76" s="29"/>
      <c r="AN76" s="29"/>
      <c r="AO76" s="29"/>
      <c r="AP76" s="29"/>
      <c r="AQ76" s="29"/>
      <c r="AR76" s="29"/>
      <c r="AS76" s="35">
        <f>14+10</f>
        <v>24</v>
      </c>
      <c r="AT76" s="35">
        <f>24+10</f>
        <v>34</v>
      </c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  <c r="IG76" s="32"/>
      <c r="IH76" s="32"/>
      <c r="II76" s="32"/>
      <c r="IJ76" s="32"/>
      <c r="IK76" s="32"/>
      <c r="IL76" s="32"/>
      <c r="IM76" s="32"/>
      <c r="IN76" s="32"/>
      <c r="IO76" s="32"/>
      <c r="IP76" s="32"/>
      <c r="IQ76" s="32"/>
      <c r="IR76" s="32"/>
      <c r="IS76" s="32"/>
      <c r="IT76" s="32"/>
      <c r="IU76" s="32"/>
      <c r="IV76" s="32"/>
      <c r="IW76" s="32"/>
      <c r="IX76" s="33"/>
    </row>
    <row r="77" spans="1:258" ht="21.6" x14ac:dyDescent="0.3">
      <c r="A77" s="61" t="s">
        <v>449</v>
      </c>
      <c r="B77" s="22"/>
      <c r="C77" s="23"/>
      <c r="D77" s="23"/>
      <c r="E77" s="22" t="str">
        <f>"COMPRESSION THIGH SCD SLEEVES - MEDIUM - 25PAIRS/BOX"&amp;CHAR(10)&amp;"LOT # "&amp;H77&amp;" "&amp;"EXP # "&amp;TEXT(I77,"mm-yyyy")</f>
        <v>COMPRESSION THIGH SCD SLEEVES - MEDIUM - 25PAIRS/BOX
LOT # 251115 EXP # 11-2028</v>
      </c>
      <c r="F77" s="23" t="s">
        <v>60</v>
      </c>
      <c r="G77" s="23" t="s">
        <v>30</v>
      </c>
      <c r="H77" s="24">
        <v>251115</v>
      </c>
      <c r="I77" s="40">
        <v>47058</v>
      </c>
      <c r="J77" s="26">
        <f t="shared" si="23"/>
        <v>0</v>
      </c>
      <c r="K77" s="38">
        <f>250+1</f>
        <v>251</v>
      </c>
      <c r="L77" s="26">
        <f t="shared" si="21"/>
        <v>251</v>
      </c>
      <c r="M77" s="26">
        <f>SUM(J76,J77)</f>
        <v>42</v>
      </c>
      <c r="N77" s="34">
        <f>25</f>
        <v>25</v>
      </c>
      <c r="O77" s="29"/>
      <c r="P77" s="29"/>
      <c r="Q77" s="29"/>
      <c r="R77" s="29"/>
      <c r="S77" s="34">
        <f>20</f>
        <v>20</v>
      </c>
      <c r="T77" s="34">
        <f>2</f>
        <v>2</v>
      </c>
      <c r="U77" s="34">
        <f>25+20</f>
        <v>45</v>
      </c>
      <c r="V77" s="34">
        <f>25</f>
        <v>25</v>
      </c>
      <c r="W77" s="29"/>
      <c r="X77" s="29"/>
      <c r="Y77" s="29"/>
      <c r="Z77" s="29"/>
      <c r="AA77" s="29"/>
      <c r="AB77" s="34">
        <f>25+15</f>
        <v>40</v>
      </c>
      <c r="AC77" s="29"/>
      <c r="AD77" s="29"/>
      <c r="AE77" s="34">
        <f>7</f>
        <v>7</v>
      </c>
      <c r="AF77" s="34">
        <f>20+15</f>
        <v>35</v>
      </c>
      <c r="AG77" s="34">
        <f>20</f>
        <v>20</v>
      </c>
      <c r="AH77" s="29"/>
      <c r="AI77" s="29"/>
      <c r="AJ77" s="29"/>
      <c r="AK77" s="29"/>
      <c r="AL77" s="34">
        <f>10+10</f>
        <v>20</v>
      </c>
      <c r="AM77" s="29"/>
      <c r="AN77" s="29"/>
      <c r="AO77" s="29"/>
      <c r="AP77" s="29"/>
      <c r="AQ77" s="29"/>
      <c r="AR77" s="29"/>
      <c r="AS77" s="35">
        <f>11</f>
        <v>11</v>
      </c>
      <c r="AT77" s="35">
        <f>1</f>
        <v>1</v>
      </c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  <c r="HT77" s="32"/>
      <c r="HU77" s="32"/>
      <c r="HV77" s="32"/>
      <c r="HW77" s="32"/>
      <c r="HX77" s="32"/>
      <c r="HY77" s="32"/>
      <c r="HZ77" s="32"/>
      <c r="IA77" s="32"/>
      <c r="IB77" s="32"/>
      <c r="IC77" s="32"/>
      <c r="ID77" s="32"/>
      <c r="IE77" s="32"/>
      <c r="IF77" s="32"/>
      <c r="IG77" s="32"/>
      <c r="IH77" s="32"/>
      <c r="II77" s="32"/>
      <c r="IJ77" s="32"/>
      <c r="IK77" s="32"/>
      <c r="IL77" s="32"/>
      <c r="IM77" s="32"/>
      <c r="IN77" s="32"/>
      <c r="IO77" s="32"/>
      <c r="IP77" s="32"/>
      <c r="IQ77" s="32"/>
      <c r="IR77" s="32"/>
      <c r="IS77" s="32"/>
      <c r="IT77" s="32"/>
      <c r="IU77" s="32"/>
      <c r="IV77" s="32"/>
      <c r="IW77" s="32"/>
      <c r="IX77" s="33"/>
    </row>
    <row r="78" spans="1:258" ht="21.6" x14ac:dyDescent="0.3">
      <c r="A78" s="61" t="s">
        <v>450</v>
      </c>
      <c r="B78" s="22"/>
      <c r="C78" s="23"/>
      <c r="D78" s="23"/>
      <c r="E78" s="22" t="str">
        <f>"COMPRESSION THIGH SCD SLEEVES - LARGE - 20PAIRS/BOX"&amp;CHAR(10)&amp;"LOT # "&amp;H78&amp;" "&amp;"EXP # "&amp;TEXT(I78,"mm-yyyy")</f>
        <v>COMPRESSION THIGH SCD SLEEVES - LARGE - 20PAIRS/BOX
LOT # 260515 EXP # 05-2029</v>
      </c>
      <c r="F78" s="23" t="s">
        <v>60</v>
      </c>
      <c r="G78" s="23" t="s">
        <v>18</v>
      </c>
      <c r="H78" s="24">
        <v>260515</v>
      </c>
      <c r="I78" s="40">
        <v>47239</v>
      </c>
      <c r="J78" s="26">
        <f t="shared" si="23"/>
        <v>104</v>
      </c>
      <c r="K78" s="38">
        <v>140</v>
      </c>
      <c r="L78" s="26">
        <f t="shared" si="21"/>
        <v>36</v>
      </c>
      <c r="M78" s="26" t="s">
        <v>19</v>
      </c>
      <c r="N78" s="34"/>
      <c r="O78" s="29"/>
      <c r="P78" s="29"/>
      <c r="Q78" s="29"/>
      <c r="R78" s="29"/>
      <c r="S78" s="34"/>
      <c r="T78" s="34"/>
      <c r="U78" s="34"/>
      <c r="V78" s="34"/>
      <c r="W78" s="29"/>
      <c r="X78" s="29"/>
      <c r="Y78" s="29"/>
      <c r="Z78" s="29"/>
      <c r="AA78" s="29"/>
      <c r="AB78" s="34"/>
      <c r="AC78" s="29"/>
      <c r="AD78" s="29"/>
      <c r="AE78" s="34"/>
      <c r="AF78" s="34"/>
      <c r="AG78" s="34"/>
      <c r="AH78" s="29"/>
      <c r="AI78" s="29"/>
      <c r="AJ78" s="29"/>
      <c r="AK78" s="29"/>
      <c r="AL78" s="34"/>
      <c r="AM78" s="29"/>
      <c r="AN78" s="29"/>
      <c r="AO78" s="29"/>
      <c r="AP78" s="29"/>
      <c r="AQ78" s="29"/>
      <c r="AR78" s="29"/>
      <c r="AS78" s="30"/>
      <c r="AT78" s="35">
        <f>16+20</f>
        <v>36</v>
      </c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3"/>
    </row>
    <row r="79" spans="1:258" ht="21.6" x14ac:dyDescent="0.3">
      <c r="A79" s="61" t="s">
        <v>450</v>
      </c>
      <c r="B79" s="22"/>
      <c r="C79" s="23"/>
      <c r="D79" s="23"/>
      <c r="E79" s="22" t="str">
        <f>"COMPRESSION THIGH SCD SLEEVES - LARGE - 20PAIRS/BOX"&amp;CHAR(10)&amp;"LOT # "&amp;H79&amp;" "&amp;"EXP # "&amp;TEXT(I79,"mm-yyyy")</f>
        <v>COMPRESSION THIGH SCD SLEEVES - LARGE - 20PAIRS/BOX
LOT # 251115 EXP # 11-2028</v>
      </c>
      <c r="F79" s="23" t="s">
        <v>60</v>
      </c>
      <c r="G79" s="23" t="s">
        <v>30</v>
      </c>
      <c r="H79" s="24">
        <v>251115</v>
      </c>
      <c r="I79" s="40">
        <v>47058</v>
      </c>
      <c r="J79" s="26">
        <f t="shared" si="23"/>
        <v>0</v>
      </c>
      <c r="K79" s="38">
        <v>240</v>
      </c>
      <c r="L79" s="26">
        <f t="shared" si="21"/>
        <v>240</v>
      </c>
      <c r="M79" s="26">
        <f>SUM(J78,J79)</f>
        <v>104</v>
      </c>
      <c r="N79" s="34">
        <f>20</f>
        <v>20</v>
      </c>
      <c r="O79" s="29"/>
      <c r="P79" s="29"/>
      <c r="Q79" s="29"/>
      <c r="R79" s="29"/>
      <c r="S79" s="29"/>
      <c r="T79" s="34">
        <f>2</f>
        <v>2</v>
      </c>
      <c r="U79" s="34">
        <f>20+10</f>
        <v>30</v>
      </c>
      <c r="V79" s="29"/>
      <c r="W79" s="29"/>
      <c r="X79" s="29"/>
      <c r="Y79" s="29"/>
      <c r="Z79" s="29"/>
      <c r="AA79" s="29"/>
      <c r="AB79" s="34">
        <f>10+20</f>
        <v>30</v>
      </c>
      <c r="AC79" s="29"/>
      <c r="AD79" s="29"/>
      <c r="AE79" s="34">
        <f>4</f>
        <v>4</v>
      </c>
      <c r="AF79" s="34">
        <f>20</f>
        <v>20</v>
      </c>
      <c r="AG79" s="34">
        <f>25</f>
        <v>25</v>
      </c>
      <c r="AH79" s="29"/>
      <c r="AI79" s="29"/>
      <c r="AJ79" s="29"/>
      <c r="AK79" s="29"/>
      <c r="AL79" s="34">
        <f>10+40</f>
        <v>50</v>
      </c>
      <c r="AM79" s="29"/>
      <c r="AN79" s="29"/>
      <c r="AO79" s="29"/>
      <c r="AP79" s="29"/>
      <c r="AQ79" s="29"/>
      <c r="AR79" s="29"/>
      <c r="AS79" s="35">
        <f>20+25</f>
        <v>45</v>
      </c>
      <c r="AT79" s="35">
        <f>14</f>
        <v>14</v>
      </c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32"/>
      <c r="ID79" s="32"/>
      <c r="IE79" s="32"/>
      <c r="IF79" s="32"/>
      <c r="IG79" s="32"/>
      <c r="IH79" s="32"/>
      <c r="II79" s="32"/>
      <c r="IJ79" s="32"/>
      <c r="IK79" s="32"/>
      <c r="IL79" s="32"/>
      <c r="IM79" s="32"/>
      <c r="IN79" s="32"/>
      <c r="IO79" s="32"/>
      <c r="IP79" s="32"/>
      <c r="IQ79" s="32"/>
      <c r="IR79" s="32"/>
      <c r="IS79" s="32"/>
      <c r="IT79" s="32"/>
      <c r="IU79" s="32"/>
      <c r="IV79" s="32"/>
      <c r="IW79" s="32"/>
      <c r="IX79" s="33"/>
    </row>
    <row r="80" spans="1:258" ht="21.6" x14ac:dyDescent="0.3">
      <c r="A80" s="61" t="s">
        <v>416</v>
      </c>
      <c r="B80" s="22"/>
      <c r="C80" s="23"/>
      <c r="D80" s="23"/>
      <c r="E80" s="22" t="str">
        <f>"COMPRESSION CALF SCD SLEEVES - SMALL - 40 PAIRS/BOX"&amp;CHAR(10)&amp;"LOT # "&amp;H80&amp;" "&amp;"EXP # "&amp;TEXT(I80,"mm-yyyy")</f>
        <v>COMPRESSION CALF SCD SLEEVES - SMALL - 40 PAIRS/BOX
LOT # 251115 EXP # 11-2028</v>
      </c>
      <c r="F80" s="23" t="s">
        <v>60</v>
      </c>
      <c r="G80" s="23" t="s">
        <v>27</v>
      </c>
      <c r="H80" s="24">
        <v>251115</v>
      </c>
      <c r="I80" s="40">
        <v>47058</v>
      </c>
      <c r="J80" s="26">
        <f t="shared" si="23"/>
        <v>100</v>
      </c>
      <c r="K80" s="38">
        <v>100</v>
      </c>
      <c r="L80" s="26">
        <f t="shared" si="21"/>
        <v>0</v>
      </c>
      <c r="M80" s="26">
        <f t="shared" ref="M80" si="24">SUM(J80)</f>
        <v>100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30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32"/>
      <c r="ID80" s="32"/>
      <c r="IE80" s="32"/>
      <c r="IF80" s="32"/>
      <c r="IG80" s="32"/>
      <c r="IH80" s="32"/>
      <c r="II80" s="32"/>
      <c r="IJ80" s="32"/>
      <c r="IK80" s="32"/>
      <c r="IL80" s="32"/>
      <c r="IM80" s="32"/>
      <c r="IN80" s="32"/>
      <c r="IO80" s="32"/>
      <c r="IP80" s="32"/>
      <c r="IQ80" s="32"/>
      <c r="IR80" s="32"/>
      <c r="IS80" s="32"/>
      <c r="IT80" s="32"/>
      <c r="IU80" s="32"/>
      <c r="IV80" s="32"/>
      <c r="IW80" s="32"/>
      <c r="IX80" s="33"/>
    </row>
    <row r="81" spans="1:258" ht="21.6" x14ac:dyDescent="0.3">
      <c r="A81" s="61" t="s">
        <v>417</v>
      </c>
      <c r="B81" s="22"/>
      <c r="C81" s="23"/>
      <c r="D81" s="23"/>
      <c r="E81" s="22" t="str">
        <f>"COMPRESSION CALF SCD SLEEVES - MEDIUM - 40 PAIRS/BOX"&amp;CHAR(10)&amp;"LOT # "&amp;H81&amp;" "&amp;"EXP # "&amp;TEXT(I81,"mm-yyyy")</f>
        <v>COMPRESSION CALF SCD SLEEVES - MEDIUM - 40 PAIRS/BOX
LOT # 260515 EXP # 05-2029</v>
      </c>
      <c r="F81" s="23" t="s">
        <v>60</v>
      </c>
      <c r="G81" s="23" t="s">
        <v>18</v>
      </c>
      <c r="H81" s="24">
        <v>260515</v>
      </c>
      <c r="I81" s="40">
        <v>47239</v>
      </c>
      <c r="J81" s="26">
        <f t="shared" si="23"/>
        <v>395</v>
      </c>
      <c r="K81" s="38">
        <v>520</v>
      </c>
      <c r="L81" s="26">
        <f t="shared" si="21"/>
        <v>125</v>
      </c>
      <c r="M81" s="26" t="s">
        <v>19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35">
        <f>10+55</f>
        <v>65</v>
      </c>
      <c r="AT81" s="35">
        <f>35+25</f>
        <v>60</v>
      </c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32"/>
      <c r="ID81" s="32"/>
      <c r="IE81" s="32"/>
      <c r="IF81" s="32"/>
      <c r="IG81" s="32"/>
      <c r="IH81" s="32"/>
      <c r="II81" s="32"/>
      <c r="IJ81" s="32"/>
      <c r="IK81" s="32"/>
      <c r="IL81" s="32"/>
      <c r="IM81" s="32"/>
      <c r="IN81" s="32"/>
      <c r="IO81" s="32"/>
      <c r="IP81" s="32"/>
      <c r="IQ81" s="32"/>
      <c r="IR81" s="32"/>
      <c r="IS81" s="32"/>
      <c r="IT81" s="32"/>
      <c r="IU81" s="32"/>
      <c r="IV81" s="32"/>
      <c r="IW81" s="32"/>
      <c r="IX81" s="33"/>
    </row>
    <row r="82" spans="1:258" ht="21.6" x14ac:dyDescent="0.3">
      <c r="A82" s="61" t="s">
        <v>417</v>
      </c>
      <c r="B82" s="22"/>
      <c r="C82" s="23"/>
      <c r="D82" s="23"/>
      <c r="E82" s="22" t="str">
        <f>"COMPRESSION CALF SCD SLEEVES - MEDIUM - 40 PAIRS/BOX"&amp;CHAR(10)&amp;"LOT # "&amp;H82&amp;" "&amp;"EXP # "&amp;TEXT(I82,"mm-yyyy")</f>
        <v>COMPRESSION CALF SCD SLEEVES - MEDIUM - 40 PAIRS/BOX
LOT # 251115 EXP # 11-2028</v>
      </c>
      <c r="F82" s="23" t="s">
        <v>60</v>
      </c>
      <c r="G82" s="23" t="s">
        <v>30</v>
      </c>
      <c r="H82" s="24">
        <v>251115</v>
      </c>
      <c r="I82" s="40">
        <v>47058</v>
      </c>
      <c r="J82" s="26">
        <f t="shared" si="23"/>
        <v>0</v>
      </c>
      <c r="K82" s="38">
        <v>195</v>
      </c>
      <c r="L82" s="26">
        <f t="shared" si="21"/>
        <v>195</v>
      </c>
      <c r="M82" s="26">
        <f>SUM(J81,J82)</f>
        <v>395</v>
      </c>
      <c r="N82" s="29"/>
      <c r="O82" s="29"/>
      <c r="P82" s="29"/>
      <c r="Q82" s="29"/>
      <c r="R82" s="29"/>
      <c r="S82" s="34">
        <f>40</f>
        <v>40</v>
      </c>
      <c r="T82" s="29"/>
      <c r="U82" s="34">
        <f>15+40</f>
        <v>55</v>
      </c>
      <c r="V82" s="29"/>
      <c r="W82" s="29"/>
      <c r="X82" s="29"/>
      <c r="Y82" s="29"/>
      <c r="Z82" s="34">
        <f>25</f>
        <v>25</v>
      </c>
      <c r="AA82" s="29"/>
      <c r="AB82" s="34">
        <f>15</f>
        <v>15</v>
      </c>
      <c r="AC82" s="29"/>
      <c r="AD82" s="29"/>
      <c r="AE82" s="29"/>
      <c r="AF82" s="34">
        <f>10</f>
        <v>10</v>
      </c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35">
        <f>50</f>
        <v>50</v>
      </c>
      <c r="AT82" s="30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  <c r="IG82" s="32"/>
      <c r="IH82" s="32"/>
      <c r="II82" s="32"/>
      <c r="IJ82" s="32"/>
      <c r="IK82" s="32"/>
      <c r="IL82" s="32"/>
      <c r="IM82" s="32"/>
      <c r="IN82" s="32"/>
      <c r="IO82" s="32"/>
      <c r="IP82" s="32"/>
      <c r="IQ82" s="32"/>
      <c r="IR82" s="32"/>
      <c r="IS82" s="32"/>
      <c r="IT82" s="32"/>
      <c r="IU82" s="32"/>
      <c r="IV82" s="32"/>
      <c r="IW82" s="32"/>
      <c r="IX82" s="33"/>
    </row>
    <row r="83" spans="1:258" ht="21.6" x14ac:dyDescent="0.3">
      <c r="A83" s="61" t="s">
        <v>418</v>
      </c>
      <c r="B83" s="22"/>
      <c r="C83" s="23"/>
      <c r="D83" s="23"/>
      <c r="E83" s="22" t="str">
        <f>"COMPRESSION CALF SCD SLEEVES - LARGE - 35 PAIRS/BOX"&amp;CHAR(10)&amp;"LOT # "&amp;H83&amp;" "&amp;"EXP # "&amp;TEXT(I83,"mm-yyyy")</f>
        <v>COMPRESSION CALF SCD SLEEVES - LARGE - 35 PAIRS/BOX
LOT # 260515 EXP # 05-2029</v>
      </c>
      <c r="F83" s="23" t="s">
        <v>60</v>
      </c>
      <c r="G83" s="23" t="s">
        <v>18</v>
      </c>
      <c r="H83" s="24">
        <v>260515</v>
      </c>
      <c r="I83" s="40">
        <v>47239</v>
      </c>
      <c r="J83" s="26">
        <f t="shared" si="23"/>
        <v>30</v>
      </c>
      <c r="K83" s="38">
        <v>105</v>
      </c>
      <c r="L83" s="26">
        <f t="shared" si="21"/>
        <v>75</v>
      </c>
      <c r="M83" s="26" t="s">
        <v>19</v>
      </c>
      <c r="N83" s="29"/>
      <c r="O83" s="29"/>
      <c r="P83" s="29"/>
      <c r="Q83" s="29"/>
      <c r="R83" s="29"/>
      <c r="S83" s="34"/>
      <c r="T83" s="29"/>
      <c r="U83" s="34"/>
      <c r="V83" s="29"/>
      <c r="W83" s="29"/>
      <c r="X83" s="29"/>
      <c r="Y83" s="29"/>
      <c r="Z83" s="34"/>
      <c r="AA83" s="29"/>
      <c r="AB83" s="34"/>
      <c r="AC83" s="29"/>
      <c r="AD83" s="29"/>
      <c r="AE83" s="29"/>
      <c r="AF83" s="34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35">
        <f>56+9</f>
        <v>65</v>
      </c>
      <c r="AT83" s="35">
        <f>10</f>
        <v>10</v>
      </c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32"/>
      <c r="ID83" s="32"/>
      <c r="IE83" s="32"/>
      <c r="IF83" s="32"/>
      <c r="IG83" s="32"/>
      <c r="IH83" s="32"/>
      <c r="II83" s="32"/>
      <c r="IJ83" s="32"/>
      <c r="IK83" s="32"/>
      <c r="IL83" s="32"/>
      <c r="IM83" s="32"/>
      <c r="IN83" s="32"/>
      <c r="IO83" s="32"/>
      <c r="IP83" s="32"/>
      <c r="IQ83" s="32"/>
      <c r="IR83" s="32"/>
      <c r="IS83" s="32"/>
      <c r="IT83" s="32"/>
      <c r="IU83" s="32"/>
      <c r="IV83" s="32"/>
      <c r="IW83" s="32"/>
      <c r="IX83" s="33"/>
    </row>
    <row r="84" spans="1:258" ht="21.6" x14ac:dyDescent="0.3">
      <c r="A84" s="61" t="s">
        <v>418</v>
      </c>
      <c r="B84" s="22"/>
      <c r="C84" s="23"/>
      <c r="D84" s="23"/>
      <c r="E84" s="22" t="str">
        <f>"COMPRESSION CALF SCD SLEEVES - LARGE - 35 PAIRS/BOX"&amp;CHAR(10)&amp;"LOT # "&amp;H84&amp;" "&amp;"EXP # "&amp;TEXT(I84,"mm-yyyy")</f>
        <v>COMPRESSION CALF SCD SLEEVES - LARGE - 35 PAIRS/BOX
LOT # 251115 EXP # 11-2028</v>
      </c>
      <c r="F84" s="23" t="s">
        <v>60</v>
      </c>
      <c r="G84" s="23" t="s">
        <v>30</v>
      </c>
      <c r="H84" s="24">
        <v>251115</v>
      </c>
      <c r="I84" s="40">
        <v>47058</v>
      </c>
      <c r="J84" s="26">
        <f t="shared" si="23"/>
        <v>0</v>
      </c>
      <c r="K84" s="38">
        <v>10</v>
      </c>
      <c r="L84" s="26">
        <f t="shared" si="21"/>
        <v>10</v>
      </c>
      <c r="M84" s="26">
        <f>SUM(J83,J84)</f>
        <v>30</v>
      </c>
      <c r="N84" s="29"/>
      <c r="O84" s="29"/>
      <c r="P84" s="29"/>
      <c r="Q84" s="29"/>
      <c r="R84" s="29"/>
      <c r="S84" s="29"/>
      <c r="T84" s="29"/>
      <c r="U84" s="29"/>
      <c r="V84" s="34">
        <f>5</f>
        <v>5</v>
      </c>
      <c r="W84" s="29"/>
      <c r="X84" s="29"/>
      <c r="Y84" s="29"/>
      <c r="Z84" s="29"/>
      <c r="AA84" s="29"/>
      <c r="AB84" s="34">
        <f>1</f>
        <v>1</v>
      </c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35">
        <f>4</f>
        <v>4</v>
      </c>
      <c r="AT84" s="30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  <c r="HQ84" s="32"/>
      <c r="HR84" s="32"/>
      <c r="HS84" s="32"/>
      <c r="HT84" s="32"/>
      <c r="HU84" s="32"/>
      <c r="HV84" s="32"/>
      <c r="HW84" s="32"/>
      <c r="HX84" s="32"/>
      <c r="HY84" s="32"/>
      <c r="HZ84" s="32"/>
      <c r="IA84" s="32"/>
      <c r="IB84" s="32"/>
      <c r="IC84" s="32"/>
      <c r="ID84" s="32"/>
      <c r="IE84" s="32"/>
      <c r="IF84" s="32"/>
      <c r="IG84" s="32"/>
      <c r="IH84" s="32"/>
      <c r="II84" s="32"/>
      <c r="IJ84" s="32"/>
      <c r="IK84" s="32"/>
      <c r="IL84" s="32"/>
      <c r="IM84" s="32"/>
      <c r="IN84" s="32"/>
      <c r="IO84" s="32"/>
      <c r="IP84" s="32"/>
      <c r="IQ84" s="32"/>
      <c r="IR84" s="32"/>
      <c r="IS84" s="32"/>
      <c r="IT84" s="32"/>
      <c r="IU84" s="32"/>
      <c r="IV84" s="32"/>
      <c r="IW84" s="32"/>
      <c r="IX84" s="33"/>
    </row>
    <row r="85" spans="1:258" ht="21.6" x14ac:dyDescent="0.3">
      <c r="A85" s="61" t="s">
        <v>71</v>
      </c>
      <c r="B85" s="23" t="s">
        <v>72</v>
      </c>
      <c r="C85" s="23" t="s">
        <v>58</v>
      </c>
      <c r="D85" s="23" t="s">
        <v>59</v>
      </c>
      <c r="E85" s="22" t="str">
        <f>"AG-Thigh Length,with Dotted silicone topband,Anti-Embolism Stocking (Pair)- XS"&amp;CHAR(10)&amp;"LOT # "&amp;H85&amp;" "&amp;"EXP # "&amp;TEXT(I85,"mm-yyyy")</f>
        <v>AG-Thigh Length,with Dotted silicone topband,Anti-Embolism Stocking (Pair)- XS
LOT # 0521-6888 EXP # 05-2026</v>
      </c>
      <c r="F85" s="23" t="s">
        <v>73</v>
      </c>
      <c r="G85" s="23" t="s">
        <v>18</v>
      </c>
      <c r="H85" s="24" t="s">
        <v>74</v>
      </c>
      <c r="I85" s="40">
        <v>46143</v>
      </c>
      <c r="J85" s="26">
        <f t="shared" si="17"/>
        <v>193</v>
      </c>
      <c r="K85" s="38">
        <v>193</v>
      </c>
      <c r="L85" s="26">
        <f t="shared" si="21"/>
        <v>0</v>
      </c>
      <c r="M85" s="26">
        <f>SUM(J85)</f>
        <v>193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30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  <c r="HQ85" s="32"/>
      <c r="HR85" s="32"/>
      <c r="HS85" s="32"/>
      <c r="HT85" s="32"/>
      <c r="HU85" s="32"/>
      <c r="HV85" s="32"/>
      <c r="HW85" s="32"/>
      <c r="HX85" s="32"/>
      <c r="HY85" s="32"/>
      <c r="HZ85" s="32"/>
      <c r="IA85" s="32"/>
      <c r="IB85" s="32"/>
      <c r="IC85" s="32"/>
      <c r="ID85" s="32"/>
      <c r="IE85" s="32"/>
      <c r="IF85" s="32"/>
      <c r="IG85" s="32"/>
      <c r="IH85" s="32"/>
      <c r="II85" s="32"/>
      <c r="IJ85" s="32"/>
      <c r="IK85" s="32"/>
      <c r="IL85" s="32"/>
      <c r="IM85" s="32"/>
      <c r="IN85" s="32"/>
      <c r="IO85" s="32"/>
      <c r="IP85" s="32"/>
      <c r="IQ85" s="32"/>
      <c r="IR85" s="32"/>
      <c r="IS85" s="32"/>
      <c r="IT85" s="32"/>
      <c r="IU85" s="32"/>
      <c r="IV85" s="32"/>
      <c r="IW85" s="32"/>
      <c r="IX85" s="33"/>
    </row>
    <row r="86" spans="1:258" ht="21.6" x14ac:dyDescent="0.3">
      <c r="A86" s="61" t="s">
        <v>75</v>
      </c>
      <c r="B86" s="23" t="s">
        <v>72</v>
      </c>
      <c r="C86" s="23" t="s">
        <v>58</v>
      </c>
      <c r="D86" s="23" t="s">
        <v>59</v>
      </c>
      <c r="E86" s="22" t="str">
        <f>"AG-Thigh Length,with Dotted silicone topband,Anti-Embolism Stocking (Pair)- S"&amp;CHAR(10)&amp;"LOT # "&amp;H86&amp;" "&amp;"EXP # "&amp;TEXT(I86,"mm-yyyy")</f>
        <v>AG-Thigh Length,with Dotted silicone topband,Anti-Embolism Stocking (Pair)- S
LOT # 1023-7321 EXP # 10-2028</v>
      </c>
      <c r="F86" s="23" t="s">
        <v>73</v>
      </c>
      <c r="G86" s="23" t="s">
        <v>18</v>
      </c>
      <c r="H86" s="24" t="s">
        <v>76</v>
      </c>
      <c r="I86" s="40">
        <v>47027</v>
      </c>
      <c r="J86" s="26">
        <f t="shared" si="17"/>
        <v>55</v>
      </c>
      <c r="K86" s="38">
        <v>55</v>
      </c>
      <c r="L86" s="26">
        <f t="shared" si="21"/>
        <v>0</v>
      </c>
      <c r="M86" s="28" t="s">
        <v>19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30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32"/>
      <c r="ID86" s="32"/>
      <c r="IE86" s="32"/>
      <c r="IF86" s="32"/>
      <c r="IG86" s="32"/>
      <c r="IH86" s="32"/>
      <c r="II86" s="32"/>
      <c r="IJ86" s="32"/>
      <c r="IK86" s="32"/>
      <c r="IL86" s="32"/>
      <c r="IM86" s="32"/>
      <c r="IN86" s="32"/>
      <c r="IO86" s="32"/>
      <c r="IP86" s="32"/>
      <c r="IQ86" s="32"/>
      <c r="IR86" s="32"/>
      <c r="IS86" s="32"/>
      <c r="IT86" s="32"/>
      <c r="IU86" s="32"/>
      <c r="IV86" s="32"/>
      <c r="IW86" s="32"/>
      <c r="IX86" s="33"/>
    </row>
    <row r="87" spans="1:258" ht="21.6" x14ac:dyDescent="0.3">
      <c r="A87" s="61" t="s">
        <v>75</v>
      </c>
      <c r="B87" s="23" t="s">
        <v>72</v>
      </c>
      <c r="C87" s="23" t="s">
        <v>58</v>
      </c>
      <c r="D87" s="23" t="s">
        <v>59</v>
      </c>
      <c r="E87" s="22" t="str">
        <f>"AG-Thigh Length,with Dotted silicone topband,Anti-Embolism Stocking (Pair)- S"&amp;CHAR(10)&amp;"LOT # "&amp;H87&amp;" "&amp;"EXP # "&amp;TEXT(I87,"mm-yyyy")</f>
        <v>AG-Thigh Length,with Dotted silicone topband,Anti-Embolism Stocking (Pair)- S
LOT # 1223-7401 EXP # 11-2028</v>
      </c>
      <c r="F87" s="23" t="s">
        <v>73</v>
      </c>
      <c r="G87" s="23" t="s">
        <v>25</v>
      </c>
      <c r="H87" s="24" t="s">
        <v>77</v>
      </c>
      <c r="I87" s="40">
        <v>47058</v>
      </c>
      <c r="J87" s="26">
        <f t="shared" si="17"/>
        <v>152</v>
      </c>
      <c r="K87" s="38">
        <v>152</v>
      </c>
      <c r="L87" s="26">
        <f t="shared" si="21"/>
        <v>0</v>
      </c>
      <c r="M87" s="28" t="s">
        <v>19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30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32"/>
      <c r="ID87" s="32"/>
      <c r="IE87" s="32"/>
      <c r="IF87" s="32"/>
      <c r="IG87" s="32"/>
      <c r="IH87" s="32"/>
      <c r="II87" s="32"/>
      <c r="IJ87" s="32"/>
      <c r="IK87" s="32"/>
      <c r="IL87" s="32"/>
      <c r="IM87" s="32"/>
      <c r="IN87" s="32"/>
      <c r="IO87" s="32"/>
      <c r="IP87" s="32"/>
      <c r="IQ87" s="32"/>
      <c r="IR87" s="32"/>
      <c r="IS87" s="32"/>
      <c r="IT87" s="32"/>
      <c r="IU87" s="32"/>
      <c r="IV87" s="32"/>
      <c r="IW87" s="32"/>
      <c r="IX87" s="33"/>
    </row>
    <row r="88" spans="1:258" ht="21.6" x14ac:dyDescent="0.3">
      <c r="A88" s="61" t="s">
        <v>75</v>
      </c>
      <c r="B88" s="23" t="s">
        <v>72</v>
      </c>
      <c r="C88" s="23" t="s">
        <v>58</v>
      </c>
      <c r="D88" s="23" t="s">
        <v>59</v>
      </c>
      <c r="E88" s="22" t="str">
        <f>"AG-Thigh Length,with Dotted silicone topband,Anti-Embolism Stocking (Pair)- S"&amp;CHAR(10)&amp;"LOT # "&amp;H88&amp;" "&amp;"EXP # "&amp;TEXT(I88,"mm-yyyy")</f>
        <v>AG-Thigh Length,with Dotted silicone topband,Anti-Embolism Stocking (Pair)- S
LOT # 0426-7559 EXP # 04-2031</v>
      </c>
      <c r="F88" s="23" t="s">
        <v>73</v>
      </c>
      <c r="G88" s="23" t="s">
        <v>20</v>
      </c>
      <c r="H88" s="24" t="s">
        <v>503</v>
      </c>
      <c r="I88" s="40">
        <v>47939</v>
      </c>
      <c r="J88" s="26">
        <f t="shared" si="17"/>
        <v>120</v>
      </c>
      <c r="K88" s="38">
        <v>120</v>
      </c>
      <c r="L88" s="26">
        <f t="shared" si="21"/>
        <v>0</v>
      </c>
      <c r="M88" s="28" t="s">
        <v>19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30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32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  <c r="HQ88" s="32"/>
      <c r="HR88" s="32"/>
      <c r="HS88" s="32"/>
      <c r="HT88" s="32"/>
      <c r="HU88" s="32"/>
      <c r="HV88" s="32"/>
      <c r="HW88" s="32"/>
      <c r="HX88" s="32"/>
      <c r="HY88" s="32"/>
      <c r="HZ88" s="32"/>
      <c r="IA88" s="32"/>
      <c r="IB88" s="32"/>
      <c r="IC88" s="32"/>
      <c r="ID88" s="32"/>
      <c r="IE88" s="32"/>
      <c r="IF88" s="32"/>
      <c r="IG88" s="32"/>
      <c r="IH88" s="32"/>
      <c r="II88" s="32"/>
      <c r="IJ88" s="32"/>
      <c r="IK88" s="32"/>
      <c r="IL88" s="32"/>
      <c r="IM88" s="32"/>
      <c r="IN88" s="32"/>
      <c r="IO88" s="32"/>
      <c r="IP88" s="32"/>
      <c r="IQ88" s="32"/>
      <c r="IR88" s="32"/>
      <c r="IS88" s="32"/>
      <c r="IT88" s="32"/>
      <c r="IU88" s="32"/>
      <c r="IV88" s="32"/>
      <c r="IW88" s="32"/>
      <c r="IX88" s="33"/>
    </row>
    <row r="89" spans="1:258" ht="21.6" x14ac:dyDescent="0.3">
      <c r="A89" s="61" t="s">
        <v>75</v>
      </c>
      <c r="B89" s="23" t="s">
        <v>72</v>
      </c>
      <c r="C89" s="23" t="s">
        <v>58</v>
      </c>
      <c r="D89" s="23" t="s">
        <v>59</v>
      </c>
      <c r="E89" s="22" t="str">
        <f>"AG-Thigh Length,with Dotted silicone topband,Anti-Embolism Stocking (Pair)- S"&amp;CHAR(10)&amp;"LOT # "&amp;H89&amp;" "&amp;"EXP # "&amp;TEXT(I89,"mm-yyyy")</f>
        <v>AG-Thigh Length,with Dotted silicone topband,Anti-Embolism Stocking (Pair)- S
LOT # 0522-7040 EXP # 05-2027</v>
      </c>
      <c r="F89" s="23" t="s">
        <v>73</v>
      </c>
      <c r="G89" s="23" t="s">
        <v>30</v>
      </c>
      <c r="H89" s="24" t="s">
        <v>78</v>
      </c>
      <c r="I89" s="40">
        <v>46508</v>
      </c>
      <c r="J89" s="26">
        <f t="shared" si="17"/>
        <v>0</v>
      </c>
      <c r="K89" s="38">
        <v>0</v>
      </c>
      <c r="L89" s="26">
        <f t="shared" si="21"/>
        <v>0</v>
      </c>
      <c r="M89" s="26">
        <f>SUM(J86:J89)</f>
        <v>327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30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  <c r="HT89" s="32"/>
      <c r="HU89" s="32"/>
      <c r="HV89" s="32"/>
      <c r="HW89" s="32"/>
      <c r="HX89" s="32"/>
      <c r="HY89" s="32"/>
      <c r="HZ89" s="32"/>
      <c r="IA89" s="32"/>
      <c r="IB89" s="32"/>
      <c r="IC89" s="32"/>
      <c r="ID89" s="32"/>
      <c r="IE89" s="32"/>
      <c r="IF89" s="32"/>
      <c r="IG89" s="32"/>
      <c r="IH89" s="32"/>
      <c r="II89" s="32"/>
      <c r="IJ89" s="32"/>
      <c r="IK89" s="32"/>
      <c r="IL89" s="32"/>
      <c r="IM89" s="32"/>
      <c r="IN89" s="32"/>
      <c r="IO89" s="32"/>
      <c r="IP89" s="32"/>
      <c r="IQ89" s="32"/>
      <c r="IR89" s="32"/>
      <c r="IS89" s="32"/>
      <c r="IT89" s="32"/>
      <c r="IU89" s="32"/>
      <c r="IV89" s="32"/>
      <c r="IW89" s="32"/>
      <c r="IX89" s="33"/>
    </row>
    <row r="90" spans="1:258" ht="21.6" x14ac:dyDescent="0.3">
      <c r="A90" s="61" t="s">
        <v>79</v>
      </c>
      <c r="B90" s="23" t="s">
        <v>72</v>
      </c>
      <c r="C90" s="23" t="s">
        <v>58</v>
      </c>
      <c r="D90" s="23" t="s">
        <v>59</v>
      </c>
      <c r="E90" s="22" t="str">
        <f>"AG-Thigh Length,with Dotted silicone topband,Anti-Embolism Stocking (Pair)- M"&amp;CHAR(10)&amp;"LOT # "&amp;H90&amp;" "&amp;"EXP # "&amp;TEXT(I90,"mm-yyyy")</f>
        <v>AG-Thigh Length,with Dotted silicone topband,Anti-Embolism Stocking (Pair)- M
LOT # 1023-7386 EXP # 10-2028</v>
      </c>
      <c r="F90" s="23" t="s">
        <v>73</v>
      </c>
      <c r="G90" s="23" t="s">
        <v>30</v>
      </c>
      <c r="H90" s="24" t="s">
        <v>80</v>
      </c>
      <c r="I90" s="40">
        <v>47027</v>
      </c>
      <c r="J90" s="26">
        <f t="shared" si="17"/>
        <v>0</v>
      </c>
      <c r="K90" s="38">
        <v>0</v>
      </c>
      <c r="L90" s="26">
        <f t="shared" si="21"/>
        <v>0</v>
      </c>
      <c r="M90" s="28" t="s">
        <v>19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30"/>
      <c r="AT90" s="31"/>
      <c r="AU90" s="30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32"/>
      <c r="ID90" s="32"/>
      <c r="IE90" s="32"/>
      <c r="IF90" s="32"/>
      <c r="IG90" s="32"/>
      <c r="IH90" s="32"/>
      <c r="II90" s="32"/>
      <c r="IJ90" s="32"/>
      <c r="IK90" s="32"/>
      <c r="IL90" s="32"/>
      <c r="IM90" s="32"/>
      <c r="IN90" s="32"/>
      <c r="IO90" s="32"/>
      <c r="IP90" s="32"/>
      <c r="IQ90" s="32"/>
      <c r="IR90" s="32"/>
      <c r="IS90" s="32"/>
      <c r="IT90" s="32"/>
      <c r="IU90" s="32"/>
      <c r="IV90" s="32"/>
      <c r="IW90" s="32"/>
      <c r="IX90" s="33"/>
    </row>
    <row r="91" spans="1:258" ht="21.6" x14ac:dyDescent="0.3">
      <c r="A91" s="61" t="s">
        <v>79</v>
      </c>
      <c r="B91" s="23" t="s">
        <v>72</v>
      </c>
      <c r="C91" s="23" t="s">
        <v>58</v>
      </c>
      <c r="D91" s="23" t="s">
        <v>59</v>
      </c>
      <c r="E91" s="22" t="str">
        <f>"AG-Thigh Length,with Dotted silicone topband,Anti-Embolism Stocking (Pair)- M"&amp;CHAR(10)&amp;"LOT # "&amp;H91&amp;" "&amp;"EXP # "&amp;TEXT(I91,"mm-yyyy")</f>
        <v>AG-Thigh Length,with Dotted silicone topband,Anti-Embolism Stocking (Pair)- M
LOT # 1223-7386 EXP # 12-2028</v>
      </c>
      <c r="F91" s="23" t="s">
        <v>73</v>
      </c>
      <c r="G91" s="23" t="s">
        <v>30</v>
      </c>
      <c r="H91" s="24" t="s">
        <v>81</v>
      </c>
      <c r="I91" s="40">
        <v>47088</v>
      </c>
      <c r="J91" s="26">
        <f t="shared" si="17"/>
        <v>0</v>
      </c>
      <c r="K91" s="38">
        <v>0</v>
      </c>
      <c r="L91" s="26">
        <f t="shared" si="21"/>
        <v>0</v>
      </c>
      <c r="M91" s="28" t="s">
        <v>19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30"/>
      <c r="AT91" s="31"/>
      <c r="AU91" s="30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  <c r="IG91" s="32"/>
      <c r="IH91" s="32"/>
      <c r="II91" s="32"/>
      <c r="IJ91" s="32"/>
      <c r="IK91" s="32"/>
      <c r="IL91" s="32"/>
      <c r="IM91" s="32"/>
      <c r="IN91" s="32"/>
      <c r="IO91" s="32"/>
      <c r="IP91" s="32"/>
      <c r="IQ91" s="32"/>
      <c r="IR91" s="32"/>
      <c r="IS91" s="32"/>
      <c r="IT91" s="32"/>
      <c r="IU91" s="32"/>
      <c r="IV91" s="32"/>
      <c r="IW91" s="32"/>
      <c r="IX91" s="33"/>
    </row>
    <row r="92" spans="1:258" ht="21.6" x14ac:dyDescent="0.3">
      <c r="A92" s="61" t="s">
        <v>79</v>
      </c>
      <c r="B92" s="23" t="s">
        <v>72</v>
      </c>
      <c r="C92" s="23" t="s">
        <v>58</v>
      </c>
      <c r="D92" s="23" t="s">
        <v>59</v>
      </c>
      <c r="E92" s="22" t="str">
        <f>"AG-Thigh Length,with Dotted silicone topband,Anti-Embolism Stocking (Pair)- M"&amp;CHAR(10)&amp;"LOT # "&amp;H92&amp;" "&amp;"EXP # "&amp;TEXT(I92,"mm-yyyy")</f>
        <v>AG-Thigh Length,with Dotted silicone topband,Anti-Embolism Stocking (Pair)- M
LOT # 0425-7569 EXP # 04-2030</v>
      </c>
      <c r="F92" s="23" t="s">
        <v>73</v>
      </c>
      <c r="G92" s="23" t="s">
        <v>30</v>
      </c>
      <c r="H92" s="24" t="s">
        <v>82</v>
      </c>
      <c r="I92" s="40">
        <v>47574</v>
      </c>
      <c r="J92" s="26">
        <f t="shared" si="17"/>
        <v>0</v>
      </c>
      <c r="K92" s="38">
        <v>0</v>
      </c>
      <c r="L92" s="26">
        <f t="shared" si="21"/>
        <v>0</v>
      </c>
      <c r="M92" s="28" t="s">
        <v>19</v>
      </c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30"/>
      <c r="AT92" s="31"/>
      <c r="AU92" s="30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  <c r="GY92" s="32"/>
      <c r="GZ92" s="32"/>
      <c r="HA92" s="32"/>
      <c r="HB92" s="32"/>
      <c r="HC92" s="32"/>
      <c r="HD92" s="32"/>
      <c r="HE92" s="32"/>
      <c r="HF92" s="32"/>
      <c r="HG92" s="32"/>
      <c r="HH92" s="32"/>
      <c r="HI92" s="32"/>
      <c r="HJ92" s="32"/>
      <c r="HK92" s="32"/>
      <c r="HL92" s="32"/>
      <c r="HM92" s="32"/>
      <c r="HN92" s="32"/>
      <c r="HO92" s="32"/>
      <c r="HP92" s="32"/>
      <c r="HQ92" s="32"/>
      <c r="HR92" s="32"/>
      <c r="HS92" s="32"/>
      <c r="HT92" s="32"/>
      <c r="HU92" s="32"/>
      <c r="HV92" s="32"/>
      <c r="HW92" s="32"/>
      <c r="HX92" s="32"/>
      <c r="HY92" s="32"/>
      <c r="HZ92" s="32"/>
      <c r="IA92" s="32"/>
      <c r="IB92" s="32"/>
      <c r="IC92" s="32"/>
      <c r="ID92" s="32"/>
      <c r="IE92" s="32"/>
      <c r="IF92" s="32"/>
      <c r="IG92" s="32"/>
      <c r="IH92" s="32"/>
      <c r="II92" s="32"/>
      <c r="IJ92" s="32"/>
      <c r="IK92" s="32"/>
      <c r="IL92" s="32"/>
      <c r="IM92" s="32"/>
      <c r="IN92" s="32"/>
      <c r="IO92" s="32"/>
      <c r="IP92" s="32"/>
      <c r="IQ92" s="32"/>
      <c r="IR92" s="32"/>
      <c r="IS92" s="32"/>
      <c r="IT92" s="32"/>
      <c r="IU92" s="32"/>
      <c r="IV92" s="32"/>
      <c r="IW92" s="32"/>
      <c r="IX92" s="33"/>
    </row>
    <row r="93" spans="1:258" ht="21.6" x14ac:dyDescent="0.3">
      <c r="A93" s="61" t="s">
        <v>79</v>
      </c>
      <c r="B93" s="23" t="s">
        <v>72</v>
      </c>
      <c r="C93" s="23" t="s">
        <v>58</v>
      </c>
      <c r="D93" s="23" t="s">
        <v>59</v>
      </c>
      <c r="E93" s="22" t="str">
        <f>"AG-Thigh Length,with Dotted silicone topband,Anti-Embolism Stocking (Pair)- M"&amp;CHAR(10)&amp;"LOT # "&amp;H93&amp;" "&amp;"EXP # "&amp;TEXT(I93,"mm-yyyy")</f>
        <v>AG-Thigh Length,with Dotted silicone topband,Anti-Embolism Stocking (Pair)- M
LOT # 0426-7664 EXP # 04-2031</v>
      </c>
      <c r="F93" s="23" t="s">
        <v>73</v>
      </c>
      <c r="G93" s="23" t="s">
        <v>18</v>
      </c>
      <c r="H93" s="24" t="s">
        <v>500</v>
      </c>
      <c r="I93" s="40">
        <v>47939</v>
      </c>
      <c r="J93" s="26">
        <f t="shared" si="17"/>
        <v>294</v>
      </c>
      <c r="K93" s="38">
        <v>384</v>
      </c>
      <c r="L93" s="26">
        <f t="shared" si="21"/>
        <v>90</v>
      </c>
      <c r="M93" s="28" t="s">
        <v>19</v>
      </c>
      <c r="N93" s="29"/>
      <c r="O93" s="29"/>
      <c r="P93" s="29"/>
      <c r="Q93" s="29"/>
      <c r="R93" s="29"/>
      <c r="S93" s="34">
        <f>30</f>
        <v>30</v>
      </c>
      <c r="T93" s="29"/>
      <c r="U93" s="29"/>
      <c r="V93" s="29"/>
      <c r="W93" s="29"/>
      <c r="X93" s="29"/>
      <c r="Y93" s="29"/>
      <c r="Z93" s="29"/>
      <c r="AA93" s="34">
        <f>40</f>
        <v>40</v>
      </c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30"/>
      <c r="AT93" s="31"/>
      <c r="AU93" s="35">
        <f>20</f>
        <v>20</v>
      </c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  <c r="HT93" s="32"/>
      <c r="HU93" s="32"/>
      <c r="HV93" s="32"/>
      <c r="HW93" s="32"/>
      <c r="HX93" s="32"/>
      <c r="HY93" s="32"/>
      <c r="HZ93" s="32"/>
      <c r="IA93" s="32"/>
      <c r="IB93" s="32"/>
      <c r="IC93" s="32"/>
      <c r="ID93" s="32"/>
      <c r="IE93" s="32"/>
      <c r="IF93" s="32"/>
      <c r="IG93" s="32"/>
      <c r="IH93" s="32"/>
      <c r="II93" s="32"/>
      <c r="IJ93" s="32"/>
      <c r="IK93" s="32"/>
      <c r="IL93" s="32"/>
      <c r="IM93" s="32"/>
      <c r="IN93" s="32"/>
      <c r="IO93" s="32"/>
      <c r="IP93" s="32"/>
      <c r="IQ93" s="32"/>
      <c r="IR93" s="32"/>
      <c r="IS93" s="32"/>
      <c r="IT93" s="32"/>
      <c r="IU93" s="32"/>
      <c r="IV93" s="32"/>
      <c r="IW93" s="32"/>
      <c r="IX93" s="33"/>
    </row>
    <row r="94" spans="1:258" ht="21.6" x14ac:dyDescent="0.3">
      <c r="A94" s="61" t="s">
        <v>79</v>
      </c>
      <c r="B94" s="23" t="s">
        <v>72</v>
      </c>
      <c r="C94" s="23" t="s">
        <v>58</v>
      </c>
      <c r="D94" s="23" t="s">
        <v>59</v>
      </c>
      <c r="E94" s="22" t="str">
        <f>"AG-Thigh Length,with Dotted silicone topband,Anti-Embolism Stocking (Pair)- M"&amp;CHAR(10)&amp;"LOT # "&amp;H94&amp;" "&amp;"EXP # "&amp;TEXT(I94,"mm-yyyy")</f>
        <v>AG-Thigh Length,with Dotted silicone topband,Anti-Embolism Stocking (Pair)- M
LOT # 0821-6905 EXP # 08-2026</v>
      </c>
      <c r="F94" s="23" t="s">
        <v>73</v>
      </c>
      <c r="G94" s="23" t="s">
        <v>30</v>
      </c>
      <c r="H94" s="24" t="s">
        <v>83</v>
      </c>
      <c r="I94" s="40">
        <v>46235</v>
      </c>
      <c r="J94" s="26">
        <f t="shared" si="17"/>
        <v>0</v>
      </c>
      <c r="K94" s="38">
        <v>0</v>
      </c>
      <c r="L94" s="26">
        <f t="shared" si="21"/>
        <v>0</v>
      </c>
      <c r="M94" s="26">
        <f>SUM(J90:J94)</f>
        <v>294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30"/>
      <c r="AT94" s="31"/>
      <c r="AU94" s="30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  <c r="HT94" s="32"/>
      <c r="HU94" s="32"/>
      <c r="HV94" s="32"/>
      <c r="HW94" s="32"/>
      <c r="HX94" s="32"/>
      <c r="HY94" s="32"/>
      <c r="HZ94" s="32"/>
      <c r="IA94" s="32"/>
      <c r="IB94" s="32"/>
      <c r="IC94" s="32"/>
      <c r="ID94" s="32"/>
      <c r="IE94" s="32"/>
      <c r="IF94" s="32"/>
      <c r="IG94" s="32"/>
      <c r="IH94" s="32"/>
      <c r="II94" s="32"/>
      <c r="IJ94" s="32"/>
      <c r="IK94" s="32"/>
      <c r="IL94" s="32"/>
      <c r="IM94" s="32"/>
      <c r="IN94" s="32"/>
      <c r="IO94" s="32"/>
      <c r="IP94" s="32"/>
      <c r="IQ94" s="32"/>
      <c r="IR94" s="32"/>
      <c r="IS94" s="32"/>
      <c r="IT94" s="32"/>
      <c r="IU94" s="32"/>
      <c r="IV94" s="32"/>
      <c r="IW94" s="32"/>
      <c r="IX94" s="33"/>
    </row>
    <row r="95" spans="1:258" ht="21.6" x14ac:dyDescent="0.3">
      <c r="A95" s="61" t="s">
        <v>84</v>
      </c>
      <c r="B95" s="23" t="s">
        <v>72</v>
      </c>
      <c r="C95" s="23" t="s">
        <v>58</v>
      </c>
      <c r="D95" s="23" t="s">
        <v>59</v>
      </c>
      <c r="E95" s="22" t="str">
        <f>"AG-Thigh Length,with Dotted silicone topband,Anti-Embolism Stocking (Pair)- L"&amp;CHAR(10)&amp;"LOT # "&amp;H95&amp;" "&amp;"EXP # "&amp;TEXT(I95,"mm-yyyy")</f>
        <v>AG-Thigh Length,with Dotted silicone topband,Anti-Embolism Stocking (Pair)- L
LOT # 0724-7514 EXP # 07-2029</v>
      </c>
      <c r="F95" s="23" t="s">
        <v>73</v>
      </c>
      <c r="G95" s="23" t="s">
        <v>30</v>
      </c>
      <c r="H95" s="24" t="s">
        <v>85</v>
      </c>
      <c r="I95" s="40">
        <v>47300</v>
      </c>
      <c r="J95" s="26">
        <f t="shared" si="17"/>
        <v>0</v>
      </c>
      <c r="K95" s="38">
        <v>0</v>
      </c>
      <c r="L95" s="26">
        <f t="shared" si="21"/>
        <v>0</v>
      </c>
      <c r="M95" s="28" t="s">
        <v>19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30"/>
      <c r="AT95" s="31"/>
      <c r="AU95" s="30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  <c r="HQ95" s="32"/>
      <c r="HR95" s="32"/>
      <c r="HS95" s="32"/>
      <c r="HT95" s="32"/>
      <c r="HU95" s="32"/>
      <c r="HV95" s="32"/>
      <c r="HW95" s="32"/>
      <c r="HX95" s="32"/>
      <c r="HY95" s="32"/>
      <c r="HZ95" s="32"/>
      <c r="IA95" s="32"/>
      <c r="IB95" s="32"/>
      <c r="IC95" s="32"/>
      <c r="ID95" s="32"/>
      <c r="IE95" s="32"/>
      <c r="IF95" s="32"/>
      <c r="IG95" s="32"/>
      <c r="IH95" s="32"/>
      <c r="II95" s="32"/>
      <c r="IJ95" s="32"/>
      <c r="IK95" s="32"/>
      <c r="IL95" s="32"/>
      <c r="IM95" s="32"/>
      <c r="IN95" s="32"/>
      <c r="IO95" s="32"/>
      <c r="IP95" s="32"/>
      <c r="IQ95" s="32"/>
      <c r="IR95" s="32"/>
      <c r="IS95" s="32"/>
      <c r="IT95" s="32"/>
      <c r="IU95" s="32"/>
      <c r="IV95" s="32"/>
      <c r="IW95" s="32"/>
      <c r="IX95" s="33"/>
    </row>
    <row r="96" spans="1:258" ht="21.6" x14ac:dyDescent="0.3">
      <c r="A96" s="61" t="s">
        <v>84</v>
      </c>
      <c r="B96" s="23" t="s">
        <v>72</v>
      </c>
      <c r="C96" s="23" t="s">
        <v>58</v>
      </c>
      <c r="D96" s="23" t="s">
        <v>59</v>
      </c>
      <c r="E96" s="22" t="str">
        <f>"AG-Thigh Length,with Dotted silicone topband,Anti-Embolism Stocking (Pair)- L"&amp;CHAR(10)&amp;"LOT # "&amp;H96&amp;" "&amp;"EXP # "&amp;TEXT(I96,"mm-yyyy")</f>
        <v>AG-Thigh Length,with Dotted silicone topband,Anti-Embolism Stocking (Pair)- L
LOT # 0125-7624 EXP # 01-2030</v>
      </c>
      <c r="F96" s="23" t="s">
        <v>73</v>
      </c>
      <c r="G96" s="23" t="s">
        <v>30</v>
      </c>
      <c r="H96" s="24" t="s">
        <v>86</v>
      </c>
      <c r="I96" s="40">
        <v>47484</v>
      </c>
      <c r="J96" s="26">
        <f t="shared" si="17"/>
        <v>0</v>
      </c>
      <c r="K96" s="38">
        <v>0</v>
      </c>
      <c r="L96" s="26">
        <f t="shared" si="21"/>
        <v>0</v>
      </c>
      <c r="M96" s="28" t="s">
        <v>19</v>
      </c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30"/>
      <c r="AT96" s="31"/>
      <c r="AU96" s="30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  <c r="HT96" s="32"/>
      <c r="HU96" s="32"/>
      <c r="HV96" s="32"/>
      <c r="HW96" s="32"/>
      <c r="HX96" s="32"/>
      <c r="HY96" s="32"/>
      <c r="HZ96" s="32"/>
      <c r="IA96" s="32"/>
      <c r="IB96" s="32"/>
      <c r="IC96" s="32"/>
      <c r="ID96" s="32"/>
      <c r="IE96" s="32"/>
      <c r="IF96" s="32"/>
      <c r="IG96" s="32"/>
      <c r="IH96" s="32"/>
      <c r="II96" s="32"/>
      <c r="IJ96" s="32"/>
      <c r="IK96" s="32"/>
      <c r="IL96" s="32"/>
      <c r="IM96" s="32"/>
      <c r="IN96" s="32"/>
      <c r="IO96" s="32"/>
      <c r="IP96" s="32"/>
      <c r="IQ96" s="32"/>
      <c r="IR96" s="32"/>
      <c r="IS96" s="32"/>
      <c r="IT96" s="32"/>
      <c r="IU96" s="32"/>
      <c r="IV96" s="32"/>
      <c r="IW96" s="32"/>
      <c r="IX96" s="33"/>
    </row>
    <row r="97" spans="1:258" ht="21.6" x14ac:dyDescent="0.3">
      <c r="A97" s="61" t="s">
        <v>84</v>
      </c>
      <c r="B97" s="23" t="s">
        <v>72</v>
      </c>
      <c r="C97" s="23" t="s">
        <v>58</v>
      </c>
      <c r="D97" s="23" t="s">
        <v>59</v>
      </c>
      <c r="E97" s="22" t="str">
        <f>"AG-Thigh Length,with Dotted silicone topband,Anti-Embolism Stocking (Pair)- L"&amp;CHAR(10)&amp;"LOT # "&amp;H97&amp;" "&amp;"EXP # "&amp;TEXT(I97,"mm-yyyy")</f>
        <v>AG-Thigh Length,with Dotted silicone topband,Anti-Embolism Stocking (Pair)- L
LOT # 0426-7624 EXP # 04-2031</v>
      </c>
      <c r="F97" s="23" t="s">
        <v>73</v>
      </c>
      <c r="G97" s="23" t="s">
        <v>20</v>
      </c>
      <c r="H97" s="24" t="s">
        <v>499</v>
      </c>
      <c r="I97" s="40">
        <v>47939</v>
      </c>
      <c r="J97" s="26">
        <f t="shared" si="17"/>
        <v>482</v>
      </c>
      <c r="K97" s="38">
        <v>500</v>
      </c>
      <c r="L97" s="26">
        <f t="shared" si="21"/>
        <v>18</v>
      </c>
      <c r="M97" s="28" t="s">
        <v>19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30"/>
      <c r="AT97" s="31"/>
      <c r="AU97" s="35">
        <f>18</f>
        <v>18</v>
      </c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  <c r="HQ97" s="32"/>
      <c r="HR97" s="32"/>
      <c r="HS97" s="32"/>
      <c r="HT97" s="32"/>
      <c r="HU97" s="32"/>
      <c r="HV97" s="32"/>
      <c r="HW97" s="32"/>
      <c r="HX97" s="32"/>
      <c r="HY97" s="32"/>
      <c r="HZ97" s="32"/>
      <c r="IA97" s="32"/>
      <c r="IB97" s="32"/>
      <c r="IC97" s="32"/>
      <c r="ID97" s="32"/>
      <c r="IE97" s="32"/>
      <c r="IF97" s="32"/>
      <c r="IG97" s="32"/>
      <c r="IH97" s="32"/>
      <c r="II97" s="32"/>
      <c r="IJ97" s="32"/>
      <c r="IK97" s="32"/>
      <c r="IL97" s="32"/>
      <c r="IM97" s="32"/>
      <c r="IN97" s="32"/>
      <c r="IO97" s="32"/>
      <c r="IP97" s="32"/>
      <c r="IQ97" s="32"/>
      <c r="IR97" s="32"/>
      <c r="IS97" s="32"/>
      <c r="IT97" s="32"/>
      <c r="IU97" s="32"/>
      <c r="IV97" s="32"/>
      <c r="IW97" s="32"/>
      <c r="IX97" s="33"/>
    </row>
    <row r="98" spans="1:258" ht="21.6" x14ac:dyDescent="0.3">
      <c r="A98" s="61" t="s">
        <v>84</v>
      </c>
      <c r="B98" s="23" t="s">
        <v>72</v>
      </c>
      <c r="C98" s="23" t="s">
        <v>58</v>
      </c>
      <c r="D98" s="23" t="s">
        <v>59</v>
      </c>
      <c r="E98" s="22" t="str">
        <f>"AG-Thigh Length,with Dotted silicone topband,Anti-Embolism Stocking (Pair)- L"&amp;CHAR(10)&amp;"LOT # "&amp;H98&amp;" "&amp;"EXP # "&amp;TEXT(I98,"mm-yyyy")</f>
        <v>AG-Thigh Length,with Dotted silicone topband,Anti-Embolism Stocking (Pair)- L
LOT # 0425-7624 EXP # 04-2030</v>
      </c>
      <c r="F98" s="23" t="s">
        <v>73</v>
      </c>
      <c r="G98" s="23" t="s">
        <v>30</v>
      </c>
      <c r="H98" s="24" t="s">
        <v>87</v>
      </c>
      <c r="I98" s="40">
        <v>47574</v>
      </c>
      <c r="J98" s="26">
        <f t="shared" si="17"/>
        <v>0</v>
      </c>
      <c r="K98" s="38">
        <v>52</v>
      </c>
      <c r="L98" s="26">
        <f t="shared" si="21"/>
        <v>52</v>
      </c>
      <c r="M98" s="26">
        <f>SUM(J95:J98)</f>
        <v>482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34">
        <f>50</f>
        <v>50</v>
      </c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30"/>
      <c r="AT98" s="31"/>
      <c r="AU98" s="35">
        <f>2</f>
        <v>2</v>
      </c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HE98" s="32"/>
      <c r="HF98" s="32"/>
      <c r="HG98" s="32"/>
      <c r="HH98" s="32"/>
      <c r="HI98" s="32"/>
      <c r="HJ98" s="32"/>
      <c r="HK98" s="32"/>
      <c r="HL98" s="32"/>
      <c r="HM98" s="32"/>
      <c r="HN98" s="32"/>
      <c r="HO98" s="32"/>
      <c r="HP98" s="32"/>
      <c r="HQ98" s="32"/>
      <c r="HR98" s="32"/>
      <c r="HS98" s="32"/>
      <c r="HT98" s="32"/>
      <c r="HU98" s="32"/>
      <c r="HV98" s="32"/>
      <c r="HW98" s="32"/>
      <c r="HX98" s="32"/>
      <c r="HY98" s="32"/>
      <c r="HZ98" s="32"/>
      <c r="IA98" s="32"/>
      <c r="IB98" s="32"/>
      <c r="IC98" s="32"/>
      <c r="ID98" s="32"/>
      <c r="IE98" s="32"/>
      <c r="IF98" s="32"/>
      <c r="IG98" s="32"/>
      <c r="IH98" s="32"/>
      <c r="II98" s="32"/>
      <c r="IJ98" s="32"/>
      <c r="IK98" s="32"/>
      <c r="IL98" s="32"/>
      <c r="IM98" s="32"/>
      <c r="IN98" s="32"/>
      <c r="IO98" s="32"/>
      <c r="IP98" s="32"/>
      <c r="IQ98" s="32"/>
      <c r="IR98" s="32"/>
      <c r="IS98" s="32"/>
      <c r="IT98" s="32"/>
      <c r="IU98" s="32"/>
      <c r="IV98" s="32"/>
      <c r="IW98" s="32"/>
      <c r="IX98" s="33"/>
    </row>
    <row r="99" spans="1:258" ht="21.6" x14ac:dyDescent="0.3">
      <c r="A99" s="61" t="s">
        <v>88</v>
      </c>
      <c r="B99" s="23" t="s">
        <v>72</v>
      </c>
      <c r="C99" s="23" t="s">
        <v>58</v>
      </c>
      <c r="D99" s="23" t="s">
        <v>59</v>
      </c>
      <c r="E99" s="22" t="str">
        <f>"AG-Thigh Length,with Dotted silicone topband,Anti-Embolism Stocking (Pair)- XL"&amp;CHAR(10)&amp;"LOT # "&amp;H99&amp;" "&amp;"EXP # "&amp;TEXT(I99,"mm-yyyy")</f>
        <v>AG-Thigh Length,with Dotted silicone topband,Anti-Embolism Stocking (Pair)- XL
LOT # 0125-7617 EXP # 01-2030</v>
      </c>
      <c r="F99" s="23" t="s">
        <v>73</v>
      </c>
      <c r="G99" s="23" t="s">
        <v>30</v>
      </c>
      <c r="H99" s="24" t="s">
        <v>89</v>
      </c>
      <c r="I99" s="40">
        <v>47484</v>
      </c>
      <c r="J99" s="26">
        <f>K99-L99</f>
        <v>0</v>
      </c>
      <c r="K99" s="38">
        <v>0</v>
      </c>
      <c r="L99" s="26">
        <f t="shared" si="21"/>
        <v>0</v>
      </c>
      <c r="M99" s="28" t="s">
        <v>19</v>
      </c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30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  <c r="HQ99" s="32"/>
      <c r="HR99" s="32"/>
      <c r="HS99" s="32"/>
      <c r="HT99" s="32"/>
      <c r="HU99" s="32"/>
      <c r="HV99" s="32"/>
      <c r="HW99" s="32"/>
      <c r="HX99" s="32"/>
      <c r="HY99" s="32"/>
      <c r="HZ99" s="32"/>
      <c r="IA99" s="32"/>
      <c r="IB99" s="32"/>
      <c r="IC99" s="32"/>
      <c r="ID99" s="32"/>
      <c r="IE99" s="32"/>
      <c r="IF99" s="32"/>
      <c r="IG99" s="32"/>
      <c r="IH99" s="32"/>
      <c r="II99" s="32"/>
      <c r="IJ99" s="32"/>
      <c r="IK99" s="32"/>
      <c r="IL99" s="32"/>
      <c r="IM99" s="32"/>
      <c r="IN99" s="32"/>
      <c r="IO99" s="32"/>
      <c r="IP99" s="32"/>
      <c r="IQ99" s="32"/>
      <c r="IR99" s="32"/>
      <c r="IS99" s="32"/>
      <c r="IT99" s="32"/>
      <c r="IU99" s="32"/>
      <c r="IV99" s="32"/>
      <c r="IW99" s="32"/>
      <c r="IX99" s="33"/>
    </row>
    <row r="100" spans="1:258" ht="21.6" x14ac:dyDescent="0.3">
      <c r="A100" s="61" t="s">
        <v>88</v>
      </c>
      <c r="B100" s="23" t="s">
        <v>72</v>
      </c>
      <c r="C100" s="23" t="s">
        <v>58</v>
      </c>
      <c r="D100" s="23" t="s">
        <v>59</v>
      </c>
      <c r="E100" s="22" t="str">
        <f>"AG-Thigh Length,with Dotted silicone topband,Anti-Embolism Stocking (Pair)- XL"&amp;CHAR(10)&amp;"LOT # "&amp;H100&amp;" "&amp;"EXP # "&amp;TEXT(I100,"mm-yyyy")</f>
        <v>AG-Thigh Length,with Dotted silicone topband,Anti-Embolism Stocking (Pair)- XL
LOT # 0426-7646 EXP # 04-2031</v>
      </c>
      <c r="F100" s="23" t="s">
        <v>73</v>
      </c>
      <c r="G100" s="23" t="s">
        <v>18</v>
      </c>
      <c r="H100" s="24" t="s">
        <v>501</v>
      </c>
      <c r="I100" s="40">
        <v>47939</v>
      </c>
      <c r="J100" s="26">
        <f>K100-L100</f>
        <v>871</v>
      </c>
      <c r="K100" s="38">
        <v>1491</v>
      </c>
      <c r="L100" s="26">
        <f t="shared" si="21"/>
        <v>620</v>
      </c>
      <c r="M100" s="28" t="s">
        <v>19</v>
      </c>
      <c r="N100" s="29"/>
      <c r="O100" s="29"/>
      <c r="P100" s="29"/>
      <c r="Q100" s="34">
        <f>100</f>
        <v>100</v>
      </c>
      <c r="R100" s="29"/>
      <c r="S100" s="34">
        <f>100</f>
        <v>100</v>
      </c>
      <c r="T100" s="29"/>
      <c r="U100" s="29"/>
      <c r="V100" s="29"/>
      <c r="W100" s="29"/>
      <c r="X100" s="34">
        <f>150</f>
        <v>150</v>
      </c>
      <c r="Y100" s="29"/>
      <c r="Z100" s="29"/>
      <c r="AA100" s="34">
        <f>100</f>
        <v>100</v>
      </c>
      <c r="AB100" s="29"/>
      <c r="AC100" s="29"/>
      <c r="AD100" s="29"/>
      <c r="AE100" s="29"/>
      <c r="AF100" s="29"/>
      <c r="AG100" s="29"/>
      <c r="AH100" s="34">
        <f>20</f>
        <v>20</v>
      </c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35">
        <f>50</f>
        <v>50</v>
      </c>
      <c r="AT100" s="31"/>
      <c r="AU100" s="32">
        <f>100</f>
        <v>100</v>
      </c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32"/>
      <c r="ID100" s="32"/>
      <c r="IE100" s="32"/>
      <c r="IF100" s="32"/>
      <c r="IG100" s="32"/>
      <c r="IH100" s="32"/>
      <c r="II100" s="32"/>
      <c r="IJ100" s="32"/>
      <c r="IK100" s="32"/>
      <c r="IL100" s="32"/>
      <c r="IM100" s="32"/>
      <c r="IN100" s="32"/>
      <c r="IO100" s="32"/>
      <c r="IP100" s="32"/>
      <c r="IQ100" s="32"/>
      <c r="IR100" s="32"/>
      <c r="IS100" s="32"/>
      <c r="IT100" s="32"/>
      <c r="IU100" s="32"/>
      <c r="IV100" s="32"/>
      <c r="IW100" s="32"/>
      <c r="IX100" s="33"/>
    </row>
    <row r="101" spans="1:258" ht="21.6" x14ac:dyDescent="0.3">
      <c r="A101" s="61" t="s">
        <v>88</v>
      </c>
      <c r="B101" s="23" t="s">
        <v>72</v>
      </c>
      <c r="C101" s="23" t="s">
        <v>58</v>
      </c>
      <c r="D101" s="23" t="s">
        <v>59</v>
      </c>
      <c r="E101" s="22" t="str">
        <f>"AG-Thigh Length,with Dotted silicone topband,Anti-Embolism Stocking (Pair)- XL"&amp;CHAR(10)&amp;"LOT # "&amp;H101&amp;" "&amp;"EXP # "&amp;TEXT(I101,"mm-yyyy")</f>
        <v>AG-Thigh Length,with Dotted silicone topband,Anti-Embolism Stocking (Pair)- XL
LOT # 0425-7617 EXP # 04-2030</v>
      </c>
      <c r="F101" s="23" t="s">
        <v>73</v>
      </c>
      <c r="G101" s="23" t="s">
        <v>30</v>
      </c>
      <c r="H101" s="24" t="s">
        <v>90</v>
      </c>
      <c r="I101" s="40">
        <v>47574</v>
      </c>
      <c r="J101" s="26">
        <f>K101-L101</f>
        <v>0</v>
      </c>
      <c r="K101" s="38">
        <v>0</v>
      </c>
      <c r="L101" s="26">
        <f t="shared" si="21"/>
        <v>0</v>
      </c>
      <c r="M101" s="26">
        <f>SUM(J99:J101)</f>
        <v>871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30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2"/>
      <c r="HU101" s="32"/>
      <c r="HV101" s="32"/>
      <c r="HW101" s="32"/>
      <c r="HX101" s="32"/>
      <c r="HY101" s="32"/>
      <c r="HZ101" s="32"/>
      <c r="IA101" s="32"/>
      <c r="IB101" s="32"/>
      <c r="IC101" s="32"/>
      <c r="ID101" s="32"/>
      <c r="IE101" s="32"/>
      <c r="IF101" s="32"/>
      <c r="IG101" s="32"/>
      <c r="IH101" s="32"/>
      <c r="II101" s="32"/>
      <c r="IJ101" s="32"/>
      <c r="IK101" s="32"/>
      <c r="IL101" s="32"/>
      <c r="IM101" s="32"/>
      <c r="IN101" s="32"/>
      <c r="IO101" s="32"/>
      <c r="IP101" s="32"/>
      <c r="IQ101" s="32"/>
      <c r="IR101" s="32"/>
      <c r="IS101" s="32"/>
      <c r="IT101" s="32"/>
      <c r="IU101" s="32"/>
      <c r="IV101" s="32"/>
      <c r="IW101" s="32"/>
      <c r="IX101" s="33"/>
    </row>
    <row r="102" spans="1:258" ht="21.6" x14ac:dyDescent="0.3">
      <c r="A102" s="61" t="s">
        <v>91</v>
      </c>
      <c r="B102" s="23" t="s">
        <v>72</v>
      </c>
      <c r="C102" s="23" t="s">
        <v>58</v>
      </c>
      <c r="D102" s="23" t="s">
        <v>59</v>
      </c>
      <c r="E102" s="22" t="str">
        <f>"AG-Thigh Length,with Dotted silicone topband,Anti-Embolism Stocking (Pair)- XXL"&amp;CHAR(10)&amp;"LOT # "&amp;H102&amp;" "&amp;"EXP # "&amp;TEXT(I102,"mm-yyyy")</f>
        <v>AG-Thigh Length,with Dotted silicone topband,Anti-Embolism Stocking (Pair)- XXL
LOT # 0125-7555 EXP # 01-2030</v>
      </c>
      <c r="F102" s="23" t="s">
        <v>73</v>
      </c>
      <c r="G102" s="23" t="s">
        <v>30</v>
      </c>
      <c r="H102" s="24" t="s">
        <v>92</v>
      </c>
      <c r="I102" s="40">
        <v>47484</v>
      </c>
      <c r="J102" s="26">
        <f t="shared" si="17"/>
        <v>0</v>
      </c>
      <c r="K102" s="38">
        <v>0</v>
      </c>
      <c r="L102" s="26">
        <f t="shared" si="21"/>
        <v>0</v>
      </c>
      <c r="M102" s="28" t="s">
        <v>19</v>
      </c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30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2"/>
      <c r="GY102" s="32"/>
      <c r="GZ102" s="32"/>
      <c r="HA102" s="32"/>
      <c r="HB102" s="32"/>
      <c r="HC102" s="32"/>
      <c r="HD102" s="32"/>
      <c r="HE102" s="32"/>
      <c r="HF102" s="32"/>
      <c r="HG102" s="32"/>
      <c r="HH102" s="32"/>
      <c r="HI102" s="32"/>
      <c r="HJ102" s="32"/>
      <c r="HK102" s="32"/>
      <c r="HL102" s="32"/>
      <c r="HM102" s="32"/>
      <c r="HN102" s="32"/>
      <c r="HO102" s="32"/>
      <c r="HP102" s="32"/>
      <c r="HQ102" s="32"/>
      <c r="HR102" s="32"/>
      <c r="HS102" s="32"/>
      <c r="HT102" s="32"/>
      <c r="HU102" s="32"/>
      <c r="HV102" s="32"/>
      <c r="HW102" s="32"/>
      <c r="HX102" s="32"/>
      <c r="HY102" s="32"/>
      <c r="HZ102" s="32"/>
      <c r="IA102" s="32"/>
      <c r="IB102" s="32"/>
      <c r="IC102" s="32"/>
      <c r="ID102" s="32"/>
      <c r="IE102" s="32"/>
      <c r="IF102" s="32"/>
      <c r="IG102" s="32"/>
      <c r="IH102" s="32"/>
      <c r="II102" s="32"/>
      <c r="IJ102" s="32"/>
      <c r="IK102" s="32"/>
      <c r="IL102" s="32"/>
      <c r="IM102" s="32"/>
      <c r="IN102" s="32"/>
      <c r="IO102" s="32"/>
      <c r="IP102" s="32"/>
      <c r="IQ102" s="32"/>
      <c r="IR102" s="32"/>
      <c r="IS102" s="32"/>
      <c r="IT102" s="32"/>
      <c r="IU102" s="32"/>
      <c r="IV102" s="32"/>
      <c r="IW102" s="32"/>
      <c r="IX102" s="33"/>
    </row>
    <row r="103" spans="1:258" ht="21.6" x14ac:dyDescent="0.3">
      <c r="A103" s="61" t="s">
        <v>91</v>
      </c>
      <c r="B103" s="23" t="s">
        <v>72</v>
      </c>
      <c r="C103" s="23" t="s">
        <v>58</v>
      </c>
      <c r="D103" s="23" t="s">
        <v>59</v>
      </c>
      <c r="E103" s="22" t="str">
        <f>"AG-Thigh Length,with Dotted silicone topband,Anti-Embolism Stocking (Pair)- XXL"&amp;CHAR(10)&amp;"LOT # "&amp;H103&amp;" "&amp;"EXP # "&amp;TEXT(I103,"mm-yyyy")</f>
        <v>AG-Thigh Length,with Dotted silicone topband,Anti-Embolism Stocking (Pair)- XXL
LOT # 0426-7647 EXP # 04-2031</v>
      </c>
      <c r="F103" s="23" t="s">
        <v>73</v>
      </c>
      <c r="G103" s="23" t="s">
        <v>18</v>
      </c>
      <c r="H103" s="24" t="s">
        <v>502</v>
      </c>
      <c r="I103" s="40">
        <v>47939</v>
      </c>
      <c r="J103" s="26">
        <f t="shared" si="17"/>
        <v>901</v>
      </c>
      <c r="K103" s="38">
        <v>1551</v>
      </c>
      <c r="L103" s="26">
        <f t="shared" si="21"/>
        <v>650</v>
      </c>
      <c r="M103" s="28" t="s">
        <v>19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34">
        <f>150</f>
        <v>150</v>
      </c>
      <c r="Y103" s="29"/>
      <c r="Z103" s="29"/>
      <c r="AA103" s="34">
        <f>30+70+300</f>
        <v>400</v>
      </c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30"/>
      <c r="AT103" s="31"/>
      <c r="AU103" s="32">
        <f>100</f>
        <v>100</v>
      </c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  <c r="HQ103" s="32"/>
      <c r="HR103" s="32"/>
      <c r="HS103" s="32"/>
      <c r="HT103" s="32"/>
      <c r="HU103" s="32"/>
      <c r="HV103" s="32"/>
      <c r="HW103" s="32"/>
      <c r="HX103" s="32"/>
      <c r="HY103" s="32"/>
      <c r="HZ103" s="32"/>
      <c r="IA103" s="32"/>
      <c r="IB103" s="32"/>
      <c r="IC103" s="32"/>
      <c r="ID103" s="32"/>
      <c r="IE103" s="32"/>
      <c r="IF103" s="32"/>
      <c r="IG103" s="32"/>
      <c r="IH103" s="32"/>
      <c r="II103" s="32"/>
      <c r="IJ103" s="32"/>
      <c r="IK103" s="32"/>
      <c r="IL103" s="32"/>
      <c r="IM103" s="32"/>
      <c r="IN103" s="32"/>
      <c r="IO103" s="32"/>
      <c r="IP103" s="32"/>
      <c r="IQ103" s="32"/>
      <c r="IR103" s="32"/>
      <c r="IS103" s="32"/>
      <c r="IT103" s="32"/>
      <c r="IU103" s="32"/>
      <c r="IV103" s="32"/>
      <c r="IW103" s="32"/>
      <c r="IX103" s="33"/>
    </row>
    <row r="104" spans="1:258" ht="21.6" x14ac:dyDescent="0.3">
      <c r="A104" s="61" t="s">
        <v>91</v>
      </c>
      <c r="B104" s="23" t="s">
        <v>72</v>
      </c>
      <c r="C104" s="23" t="s">
        <v>58</v>
      </c>
      <c r="D104" s="23" t="s">
        <v>59</v>
      </c>
      <c r="E104" s="22" t="str">
        <f>"AG-Thigh Length,with Dotted silicone topband,Anti-Embolism Stocking (Pair)- XXL"&amp;CHAR(10)&amp;"LOT # "&amp;H104&amp;" "&amp;"EXP # "&amp;TEXT(I104,"mm-yyyy")</f>
        <v>AG-Thigh Length,with Dotted silicone topband,Anti-Embolism Stocking (Pair)- XXL
LOT # 0425-7555 EXP # 04-2030</v>
      </c>
      <c r="F104" s="23" t="s">
        <v>73</v>
      </c>
      <c r="G104" s="23" t="s">
        <v>30</v>
      </c>
      <c r="H104" s="24" t="s">
        <v>93</v>
      </c>
      <c r="I104" s="40">
        <v>47574</v>
      </c>
      <c r="J104" s="26">
        <f t="shared" si="17"/>
        <v>0</v>
      </c>
      <c r="K104" s="38">
        <v>0</v>
      </c>
      <c r="L104" s="26">
        <f t="shared" si="21"/>
        <v>0</v>
      </c>
      <c r="M104" s="26">
        <f>SUM(J102:J104)</f>
        <v>901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30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  <c r="GY104" s="32"/>
      <c r="GZ104" s="32"/>
      <c r="HA104" s="32"/>
      <c r="HB104" s="32"/>
      <c r="HC104" s="32"/>
      <c r="HD104" s="32"/>
      <c r="HE104" s="32"/>
      <c r="HF104" s="32"/>
      <c r="HG104" s="32"/>
      <c r="HH104" s="32"/>
      <c r="HI104" s="32"/>
      <c r="HJ104" s="32"/>
      <c r="HK104" s="32"/>
      <c r="HL104" s="32"/>
      <c r="HM104" s="32"/>
      <c r="HN104" s="32"/>
      <c r="HO104" s="32"/>
      <c r="HP104" s="32"/>
      <c r="HQ104" s="32"/>
      <c r="HR104" s="32"/>
      <c r="HS104" s="32"/>
      <c r="HT104" s="32"/>
      <c r="HU104" s="32"/>
      <c r="HV104" s="32"/>
      <c r="HW104" s="32"/>
      <c r="HX104" s="32"/>
      <c r="HY104" s="32"/>
      <c r="HZ104" s="32"/>
      <c r="IA104" s="32"/>
      <c r="IB104" s="32"/>
      <c r="IC104" s="32"/>
      <c r="ID104" s="32"/>
      <c r="IE104" s="32"/>
      <c r="IF104" s="32"/>
      <c r="IG104" s="32"/>
      <c r="IH104" s="32"/>
      <c r="II104" s="32"/>
      <c r="IJ104" s="32"/>
      <c r="IK104" s="32"/>
      <c r="IL104" s="32"/>
      <c r="IM104" s="32"/>
      <c r="IN104" s="32"/>
      <c r="IO104" s="32"/>
      <c r="IP104" s="32"/>
      <c r="IQ104" s="32"/>
      <c r="IR104" s="32"/>
      <c r="IS104" s="32"/>
      <c r="IT104" s="32"/>
      <c r="IU104" s="32"/>
      <c r="IV104" s="32"/>
      <c r="IW104" s="32"/>
      <c r="IX104" s="33"/>
    </row>
    <row r="105" spans="1:258" ht="21.6" x14ac:dyDescent="0.3">
      <c r="A105" s="61" t="s">
        <v>94</v>
      </c>
      <c r="B105" s="23" t="s">
        <v>72</v>
      </c>
      <c r="C105" s="23" t="s">
        <v>64</v>
      </c>
      <c r="D105" s="23" t="s">
        <v>65</v>
      </c>
      <c r="E105" s="22" t="str">
        <f>"AD - Knee Length, Anti-Embolism Stocking (Pair) - XS"&amp;CHAR(10)&amp;"LOT # "&amp;H105&amp;" "&amp;"EXP # "&amp;TEXT(I105,"mm-yyyy")</f>
        <v>AD - Knee Length, Anti-Embolism Stocking (Pair) - XS
LOT # 0521-6899 EXP # 05-2026</v>
      </c>
      <c r="F105" s="23" t="s">
        <v>73</v>
      </c>
      <c r="G105" s="23" t="s">
        <v>18</v>
      </c>
      <c r="H105" s="24" t="s">
        <v>95</v>
      </c>
      <c r="I105" s="40">
        <v>46143</v>
      </c>
      <c r="J105" s="26">
        <f t="shared" si="17"/>
        <v>183</v>
      </c>
      <c r="K105" s="38">
        <v>183</v>
      </c>
      <c r="L105" s="26">
        <f t="shared" si="21"/>
        <v>0</v>
      </c>
      <c r="M105" s="26">
        <f>SUM(J105)</f>
        <v>183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30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  <c r="HI105" s="32"/>
      <c r="HJ105" s="32"/>
      <c r="HK105" s="32"/>
      <c r="HL105" s="32"/>
      <c r="HM105" s="32"/>
      <c r="HN105" s="32"/>
      <c r="HO105" s="32"/>
      <c r="HP105" s="32"/>
      <c r="HQ105" s="32"/>
      <c r="HR105" s="32"/>
      <c r="HS105" s="32"/>
      <c r="HT105" s="32"/>
      <c r="HU105" s="32"/>
      <c r="HV105" s="32"/>
      <c r="HW105" s="32"/>
      <c r="HX105" s="32"/>
      <c r="HY105" s="32"/>
      <c r="HZ105" s="32"/>
      <c r="IA105" s="32"/>
      <c r="IB105" s="32"/>
      <c r="IC105" s="32"/>
      <c r="ID105" s="32"/>
      <c r="IE105" s="32"/>
      <c r="IF105" s="32"/>
      <c r="IG105" s="32"/>
      <c r="IH105" s="32"/>
      <c r="II105" s="32"/>
      <c r="IJ105" s="32"/>
      <c r="IK105" s="32"/>
      <c r="IL105" s="32"/>
      <c r="IM105" s="32"/>
      <c r="IN105" s="32"/>
      <c r="IO105" s="32"/>
      <c r="IP105" s="32"/>
      <c r="IQ105" s="32"/>
      <c r="IR105" s="32"/>
      <c r="IS105" s="32"/>
      <c r="IT105" s="32"/>
      <c r="IU105" s="32"/>
      <c r="IV105" s="32"/>
      <c r="IW105" s="32"/>
      <c r="IX105" s="33"/>
    </row>
    <row r="106" spans="1:258" ht="21.6" x14ac:dyDescent="0.3">
      <c r="A106" s="61" t="s">
        <v>96</v>
      </c>
      <c r="B106" s="23" t="s">
        <v>72</v>
      </c>
      <c r="C106" s="23" t="s">
        <v>64</v>
      </c>
      <c r="D106" s="23" t="s">
        <v>65</v>
      </c>
      <c r="E106" s="22" t="str">
        <f>"AD - Knee Length, Anti-Embolism Stocking (Pair) - S"&amp;CHAR(10)&amp;"LOT # "&amp;H106&amp;" "&amp;"EXP # "&amp;TEXT(I106,"mm-yyyy")</f>
        <v>AD - Knee Length, Anti-Embolism Stocking (Pair) - S
LOT # 0521-6863 EXP # 05-2026</v>
      </c>
      <c r="F106" s="23" t="s">
        <v>73</v>
      </c>
      <c r="G106" s="23" t="s">
        <v>18</v>
      </c>
      <c r="H106" s="24" t="s">
        <v>97</v>
      </c>
      <c r="I106" s="40">
        <v>46143</v>
      </c>
      <c r="J106" s="26">
        <f t="shared" si="17"/>
        <v>134</v>
      </c>
      <c r="K106" s="38">
        <v>134</v>
      </c>
      <c r="L106" s="26">
        <f t="shared" si="21"/>
        <v>0</v>
      </c>
      <c r="M106" s="26">
        <f>SUM(J106)</f>
        <v>134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30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32"/>
      <c r="GR106" s="32"/>
      <c r="GS106" s="32"/>
      <c r="GT106" s="32"/>
      <c r="GU106" s="32"/>
      <c r="GV106" s="32"/>
      <c r="GW106" s="32"/>
      <c r="GX106" s="32"/>
      <c r="GY106" s="32"/>
      <c r="GZ106" s="32"/>
      <c r="HA106" s="32"/>
      <c r="HB106" s="32"/>
      <c r="HC106" s="32"/>
      <c r="HD106" s="32"/>
      <c r="HE106" s="32"/>
      <c r="HF106" s="32"/>
      <c r="HG106" s="32"/>
      <c r="HH106" s="32"/>
      <c r="HI106" s="32"/>
      <c r="HJ106" s="32"/>
      <c r="HK106" s="32"/>
      <c r="HL106" s="32"/>
      <c r="HM106" s="32"/>
      <c r="HN106" s="32"/>
      <c r="HO106" s="32"/>
      <c r="HP106" s="32"/>
      <c r="HQ106" s="32"/>
      <c r="HR106" s="32"/>
      <c r="HS106" s="32"/>
      <c r="HT106" s="32"/>
      <c r="HU106" s="32"/>
      <c r="HV106" s="32"/>
      <c r="HW106" s="32"/>
      <c r="HX106" s="32"/>
      <c r="HY106" s="32"/>
      <c r="HZ106" s="32"/>
      <c r="IA106" s="32"/>
      <c r="IB106" s="32"/>
      <c r="IC106" s="32"/>
      <c r="ID106" s="32"/>
      <c r="IE106" s="32"/>
      <c r="IF106" s="32"/>
      <c r="IG106" s="32"/>
      <c r="IH106" s="32"/>
      <c r="II106" s="32"/>
      <c r="IJ106" s="32"/>
      <c r="IK106" s="32"/>
      <c r="IL106" s="32"/>
      <c r="IM106" s="32"/>
      <c r="IN106" s="32"/>
      <c r="IO106" s="32"/>
      <c r="IP106" s="32"/>
      <c r="IQ106" s="32"/>
      <c r="IR106" s="32"/>
      <c r="IS106" s="32"/>
      <c r="IT106" s="32"/>
      <c r="IU106" s="32"/>
      <c r="IV106" s="32"/>
      <c r="IW106" s="32"/>
      <c r="IX106" s="33"/>
    </row>
    <row r="107" spans="1:258" ht="21.6" x14ac:dyDescent="0.3">
      <c r="A107" s="61" t="s">
        <v>98</v>
      </c>
      <c r="B107" s="23" t="s">
        <v>72</v>
      </c>
      <c r="C107" s="23" t="s">
        <v>64</v>
      </c>
      <c r="D107" s="23" t="s">
        <v>65</v>
      </c>
      <c r="E107" s="22" t="str">
        <f>"AD - Knee Length, Anti-Embolism Stocking (Pair) - M"&amp;CHAR(10)&amp;"LOT # "&amp;H107&amp;" "&amp;"EXP # "&amp;TEXT(I107,"mm-yyyy")</f>
        <v>AD - Knee Length, Anti-Embolism Stocking (Pair) - M
LOT # 1023-7350 EXP # 10-2028</v>
      </c>
      <c r="F107" s="23" t="s">
        <v>73</v>
      </c>
      <c r="G107" s="23" t="s">
        <v>30</v>
      </c>
      <c r="H107" s="24" t="s">
        <v>99</v>
      </c>
      <c r="I107" s="40">
        <v>47027</v>
      </c>
      <c r="J107" s="26">
        <f t="shared" si="17"/>
        <v>0</v>
      </c>
      <c r="K107" s="38">
        <v>0</v>
      </c>
      <c r="L107" s="26">
        <f t="shared" si="21"/>
        <v>0</v>
      </c>
      <c r="M107" s="28" t="s">
        <v>19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30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  <c r="GT107" s="32"/>
      <c r="GU107" s="32"/>
      <c r="GV107" s="32"/>
      <c r="GW107" s="32"/>
      <c r="GX107" s="32"/>
      <c r="GY107" s="32"/>
      <c r="GZ107" s="32"/>
      <c r="HA107" s="32"/>
      <c r="HB107" s="32"/>
      <c r="HC107" s="32"/>
      <c r="HD107" s="32"/>
      <c r="HE107" s="32"/>
      <c r="HF107" s="32"/>
      <c r="HG107" s="32"/>
      <c r="HH107" s="32"/>
      <c r="HI107" s="32"/>
      <c r="HJ107" s="32"/>
      <c r="HK107" s="32"/>
      <c r="HL107" s="32"/>
      <c r="HM107" s="32"/>
      <c r="HN107" s="32"/>
      <c r="HO107" s="32"/>
      <c r="HP107" s="32"/>
      <c r="HQ107" s="32"/>
      <c r="HR107" s="32"/>
      <c r="HS107" s="32"/>
      <c r="HT107" s="32"/>
      <c r="HU107" s="32"/>
      <c r="HV107" s="32"/>
      <c r="HW107" s="32"/>
      <c r="HX107" s="32"/>
      <c r="HY107" s="32"/>
      <c r="HZ107" s="32"/>
      <c r="IA107" s="32"/>
      <c r="IB107" s="32"/>
      <c r="IC107" s="32"/>
      <c r="ID107" s="32"/>
      <c r="IE107" s="32"/>
      <c r="IF107" s="32"/>
      <c r="IG107" s="32"/>
      <c r="IH107" s="32"/>
      <c r="II107" s="32"/>
      <c r="IJ107" s="32"/>
      <c r="IK107" s="32"/>
      <c r="IL107" s="32"/>
      <c r="IM107" s="32"/>
      <c r="IN107" s="32"/>
      <c r="IO107" s="32"/>
      <c r="IP107" s="32"/>
      <c r="IQ107" s="32"/>
      <c r="IR107" s="32"/>
      <c r="IS107" s="32"/>
      <c r="IT107" s="32"/>
      <c r="IU107" s="32"/>
      <c r="IV107" s="32"/>
      <c r="IW107" s="32"/>
      <c r="IX107" s="33"/>
    </row>
    <row r="108" spans="1:258" ht="21.6" x14ac:dyDescent="0.3">
      <c r="A108" s="61" t="s">
        <v>98</v>
      </c>
      <c r="B108" s="23" t="s">
        <v>72</v>
      </c>
      <c r="C108" s="23" t="s">
        <v>64</v>
      </c>
      <c r="D108" s="23" t="s">
        <v>65</v>
      </c>
      <c r="E108" s="22" t="str">
        <f>"AD - Knee Length, Anti-Embolism Stocking (Pair) - M"&amp;CHAR(10)&amp;"LOT # "&amp;H108&amp;" "&amp;"EXP # "&amp;TEXT(I108,"mm-yyyy")</f>
        <v>AD - Knee Length, Anti-Embolism Stocking (Pair) - M
LOT # 1223-7350 EXP # 12-2028</v>
      </c>
      <c r="F108" s="23" t="s">
        <v>73</v>
      </c>
      <c r="G108" s="23" t="s">
        <v>18</v>
      </c>
      <c r="H108" s="24" t="s">
        <v>100</v>
      </c>
      <c r="I108" s="40">
        <v>47088</v>
      </c>
      <c r="J108" s="26">
        <f t="shared" si="17"/>
        <v>158</v>
      </c>
      <c r="K108" s="38">
        <v>158</v>
      </c>
      <c r="L108" s="26">
        <f t="shared" si="21"/>
        <v>0</v>
      </c>
      <c r="M108" s="26">
        <f>SUM(J107:J108)</f>
        <v>158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30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  <c r="HQ108" s="32"/>
      <c r="HR108" s="32"/>
      <c r="HS108" s="32"/>
      <c r="HT108" s="32"/>
      <c r="HU108" s="32"/>
      <c r="HV108" s="32"/>
      <c r="HW108" s="32"/>
      <c r="HX108" s="32"/>
      <c r="HY108" s="32"/>
      <c r="HZ108" s="32"/>
      <c r="IA108" s="32"/>
      <c r="IB108" s="32"/>
      <c r="IC108" s="32"/>
      <c r="ID108" s="32"/>
      <c r="IE108" s="32"/>
      <c r="IF108" s="32"/>
      <c r="IG108" s="32"/>
      <c r="IH108" s="32"/>
      <c r="II108" s="32"/>
      <c r="IJ108" s="32"/>
      <c r="IK108" s="32"/>
      <c r="IL108" s="32"/>
      <c r="IM108" s="32"/>
      <c r="IN108" s="32"/>
      <c r="IO108" s="32"/>
      <c r="IP108" s="32"/>
      <c r="IQ108" s="32"/>
      <c r="IR108" s="32"/>
      <c r="IS108" s="32"/>
      <c r="IT108" s="32"/>
      <c r="IU108" s="32"/>
      <c r="IV108" s="32"/>
      <c r="IW108" s="32"/>
      <c r="IX108" s="33"/>
    </row>
    <row r="109" spans="1:258" ht="21.6" x14ac:dyDescent="0.3">
      <c r="A109" s="61" t="s">
        <v>101</v>
      </c>
      <c r="B109" s="23" t="s">
        <v>72</v>
      </c>
      <c r="C109" s="23" t="s">
        <v>64</v>
      </c>
      <c r="D109" s="23" t="s">
        <v>65</v>
      </c>
      <c r="E109" s="22" t="str">
        <f>"AD - Knee Length, Anti-Embolism Stocking (Pair) - L"&amp;CHAR(10)&amp;"LOT # "&amp;H109&amp;" "&amp;"EXP # "&amp;TEXT(I109,"mm-yyyy")</f>
        <v>AD - Knee Length, Anti-Embolism Stocking (Pair) - L
LOT # 1223-7203 EXP # 12-2028</v>
      </c>
      <c r="F109" s="23" t="s">
        <v>73</v>
      </c>
      <c r="G109" s="23" t="s">
        <v>18</v>
      </c>
      <c r="H109" s="24" t="s">
        <v>102</v>
      </c>
      <c r="I109" s="40">
        <v>47088</v>
      </c>
      <c r="J109" s="26">
        <f t="shared" si="17"/>
        <v>2</v>
      </c>
      <c r="K109" s="38">
        <v>2</v>
      </c>
      <c r="L109" s="26">
        <f t="shared" si="21"/>
        <v>0</v>
      </c>
      <c r="M109" s="26">
        <f>SUM(J109)</f>
        <v>2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30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32"/>
      <c r="GR109" s="32"/>
      <c r="GS109" s="32"/>
      <c r="GT109" s="32"/>
      <c r="GU109" s="32"/>
      <c r="GV109" s="32"/>
      <c r="GW109" s="32"/>
      <c r="GX109" s="32"/>
      <c r="GY109" s="32"/>
      <c r="GZ109" s="32"/>
      <c r="HA109" s="32"/>
      <c r="HB109" s="32"/>
      <c r="HC109" s="32"/>
      <c r="HD109" s="32"/>
      <c r="HE109" s="32"/>
      <c r="HF109" s="32"/>
      <c r="HG109" s="32"/>
      <c r="HH109" s="32"/>
      <c r="HI109" s="32"/>
      <c r="HJ109" s="32"/>
      <c r="HK109" s="32"/>
      <c r="HL109" s="32"/>
      <c r="HM109" s="32"/>
      <c r="HN109" s="32"/>
      <c r="HO109" s="32"/>
      <c r="HP109" s="32"/>
      <c r="HQ109" s="32"/>
      <c r="HR109" s="32"/>
      <c r="HS109" s="32"/>
      <c r="HT109" s="32"/>
      <c r="HU109" s="32"/>
      <c r="HV109" s="32"/>
      <c r="HW109" s="32"/>
      <c r="HX109" s="32"/>
      <c r="HY109" s="32"/>
      <c r="HZ109" s="32"/>
      <c r="IA109" s="32"/>
      <c r="IB109" s="32"/>
      <c r="IC109" s="32"/>
      <c r="ID109" s="32"/>
      <c r="IE109" s="32"/>
      <c r="IF109" s="32"/>
      <c r="IG109" s="32"/>
      <c r="IH109" s="32"/>
      <c r="II109" s="32"/>
      <c r="IJ109" s="32"/>
      <c r="IK109" s="32"/>
      <c r="IL109" s="32"/>
      <c r="IM109" s="32"/>
      <c r="IN109" s="32"/>
      <c r="IO109" s="32"/>
      <c r="IP109" s="32"/>
      <c r="IQ109" s="32"/>
      <c r="IR109" s="32"/>
      <c r="IS109" s="32"/>
      <c r="IT109" s="32"/>
      <c r="IU109" s="32"/>
      <c r="IV109" s="32"/>
      <c r="IW109" s="32"/>
      <c r="IX109" s="33"/>
    </row>
    <row r="110" spans="1:258" ht="21.6" x14ac:dyDescent="0.3">
      <c r="A110" s="61" t="s">
        <v>103</v>
      </c>
      <c r="B110" s="23" t="s">
        <v>72</v>
      </c>
      <c r="C110" s="23" t="s">
        <v>64</v>
      </c>
      <c r="D110" s="23" t="s">
        <v>65</v>
      </c>
      <c r="E110" s="22" t="str">
        <f>"AD - Knee Length, Anti-Embolism Stocking (Pair) - XL"&amp;CHAR(10)&amp;"LOT # "&amp;H110&amp;" "&amp;"EXP # "&amp;TEXT(I110,"mm-yyyy")</f>
        <v>AD - Knee Length, Anti-Embolism Stocking (Pair) - XL
LOT # 1223-7356 EXP # 12-2028</v>
      </c>
      <c r="F110" s="23" t="s">
        <v>73</v>
      </c>
      <c r="G110" s="23" t="s">
        <v>18</v>
      </c>
      <c r="H110" s="24" t="s">
        <v>104</v>
      </c>
      <c r="I110" s="40">
        <v>47088</v>
      </c>
      <c r="J110" s="26">
        <f t="shared" si="17"/>
        <v>0</v>
      </c>
      <c r="K110" s="38">
        <v>0</v>
      </c>
      <c r="L110" s="26">
        <f t="shared" si="21"/>
        <v>0</v>
      </c>
      <c r="M110" s="26">
        <f>SUM(J110)</f>
        <v>0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30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  <c r="GY110" s="32"/>
      <c r="GZ110" s="32"/>
      <c r="HA110" s="32"/>
      <c r="HB110" s="32"/>
      <c r="HC110" s="32"/>
      <c r="HD110" s="32"/>
      <c r="HE110" s="32"/>
      <c r="HF110" s="32"/>
      <c r="HG110" s="32"/>
      <c r="HH110" s="32"/>
      <c r="HI110" s="32"/>
      <c r="HJ110" s="32"/>
      <c r="HK110" s="32"/>
      <c r="HL110" s="32"/>
      <c r="HM110" s="32"/>
      <c r="HN110" s="32"/>
      <c r="HO110" s="32"/>
      <c r="HP110" s="32"/>
      <c r="HQ110" s="32"/>
      <c r="HR110" s="32"/>
      <c r="HS110" s="32"/>
      <c r="HT110" s="32"/>
      <c r="HU110" s="32"/>
      <c r="HV110" s="32"/>
      <c r="HW110" s="32"/>
      <c r="HX110" s="32"/>
      <c r="HY110" s="32"/>
      <c r="HZ110" s="32"/>
      <c r="IA110" s="32"/>
      <c r="IB110" s="32"/>
      <c r="IC110" s="32"/>
      <c r="ID110" s="32"/>
      <c r="IE110" s="32"/>
      <c r="IF110" s="32"/>
      <c r="IG110" s="32"/>
      <c r="IH110" s="32"/>
      <c r="II110" s="32"/>
      <c r="IJ110" s="32"/>
      <c r="IK110" s="32"/>
      <c r="IL110" s="32"/>
      <c r="IM110" s="32"/>
      <c r="IN110" s="32"/>
      <c r="IO110" s="32"/>
      <c r="IP110" s="32"/>
      <c r="IQ110" s="32"/>
      <c r="IR110" s="32"/>
      <c r="IS110" s="32"/>
      <c r="IT110" s="32"/>
      <c r="IU110" s="32"/>
      <c r="IV110" s="32"/>
      <c r="IW110" s="32"/>
      <c r="IX110" s="33"/>
    </row>
    <row r="111" spans="1:258" ht="21.6" x14ac:dyDescent="0.3">
      <c r="A111" s="61" t="s">
        <v>105</v>
      </c>
      <c r="B111" s="23" t="s">
        <v>72</v>
      </c>
      <c r="C111" s="23" t="s">
        <v>64</v>
      </c>
      <c r="D111" s="23" t="s">
        <v>65</v>
      </c>
      <c r="E111" s="22" t="str">
        <f>"AD - Knee Length, Anti-Embolism Stocking (Pair) - XXL"&amp;CHAR(10)&amp;"LOT # "&amp;H111&amp;" "&amp;"EXP # "&amp;TEXT(I111,"mm-yyyy")</f>
        <v>AD - Knee Length, Anti-Embolism Stocking (Pair) - XXL
LOT # 1223-7357 EXP # 12-2028</v>
      </c>
      <c r="F111" s="23" t="s">
        <v>73</v>
      </c>
      <c r="G111" s="23" t="s">
        <v>30</v>
      </c>
      <c r="H111" s="24" t="s">
        <v>106</v>
      </c>
      <c r="I111" s="40">
        <v>47088</v>
      </c>
      <c r="J111" s="26">
        <f t="shared" si="17"/>
        <v>0</v>
      </c>
      <c r="K111" s="38">
        <v>0</v>
      </c>
      <c r="L111" s="26">
        <f t="shared" si="21"/>
        <v>0</v>
      </c>
      <c r="M111" s="28" t="s">
        <v>19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30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32"/>
      <c r="GR111" s="32"/>
      <c r="GS111" s="32"/>
      <c r="GT111" s="32"/>
      <c r="GU111" s="32"/>
      <c r="GV111" s="32"/>
      <c r="GW111" s="32"/>
      <c r="GX111" s="32"/>
      <c r="GY111" s="32"/>
      <c r="GZ111" s="32"/>
      <c r="HA111" s="32"/>
      <c r="HB111" s="32"/>
      <c r="HC111" s="32"/>
      <c r="HD111" s="32"/>
      <c r="HE111" s="32"/>
      <c r="HF111" s="32"/>
      <c r="HG111" s="32"/>
      <c r="HH111" s="32"/>
      <c r="HI111" s="32"/>
      <c r="HJ111" s="32"/>
      <c r="HK111" s="32"/>
      <c r="HL111" s="32"/>
      <c r="HM111" s="32"/>
      <c r="HN111" s="32"/>
      <c r="HO111" s="32"/>
      <c r="HP111" s="32"/>
      <c r="HQ111" s="32"/>
      <c r="HR111" s="32"/>
      <c r="HS111" s="32"/>
      <c r="HT111" s="32"/>
      <c r="HU111" s="32"/>
      <c r="HV111" s="32"/>
      <c r="HW111" s="32"/>
      <c r="HX111" s="32"/>
      <c r="HY111" s="32"/>
      <c r="HZ111" s="32"/>
      <c r="IA111" s="32"/>
      <c r="IB111" s="32"/>
      <c r="IC111" s="32"/>
      <c r="ID111" s="32"/>
      <c r="IE111" s="32"/>
      <c r="IF111" s="32"/>
      <c r="IG111" s="32"/>
      <c r="IH111" s="32"/>
      <c r="II111" s="32"/>
      <c r="IJ111" s="32"/>
      <c r="IK111" s="32"/>
      <c r="IL111" s="32"/>
      <c r="IM111" s="32"/>
      <c r="IN111" s="32"/>
      <c r="IO111" s="32"/>
      <c r="IP111" s="32"/>
      <c r="IQ111" s="32"/>
      <c r="IR111" s="32"/>
      <c r="IS111" s="32"/>
      <c r="IT111" s="32"/>
      <c r="IU111" s="32"/>
      <c r="IV111" s="32"/>
      <c r="IW111" s="32"/>
      <c r="IX111" s="33"/>
    </row>
    <row r="112" spans="1:258" ht="21.6" x14ac:dyDescent="0.3">
      <c r="A112" s="61" t="s">
        <v>105</v>
      </c>
      <c r="B112" s="23" t="s">
        <v>72</v>
      </c>
      <c r="C112" s="23" t="s">
        <v>64</v>
      </c>
      <c r="D112" s="23" t="s">
        <v>65</v>
      </c>
      <c r="E112" s="22" t="str">
        <f>"AD - Knee Length, Anti-Embolism Stocking (Pair) - XXL"&amp;CHAR(10)&amp;"LOT # "&amp;H112&amp;" "&amp;"EXP # "&amp;TEXT(I112,"mm-yyyy")</f>
        <v>AD - Knee Length, Anti-Embolism Stocking (Pair) - XXL
LOT # 1023-7357 EXP # 10-2028</v>
      </c>
      <c r="F112" s="23" t="s">
        <v>73</v>
      </c>
      <c r="G112" s="23" t="s">
        <v>30</v>
      </c>
      <c r="H112" s="24" t="s">
        <v>107</v>
      </c>
      <c r="I112" s="40">
        <v>47027</v>
      </c>
      <c r="J112" s="26">
        <f t="shared" si="17"/>
        <v>0</v>
      </c>
      <c r="K112" s="38">
        <v>0</v>
      </c>
      <c r="L112" s="26">
        <f t="shared" si="21"/>
        <v>0</v>
      </c>
      <c r="M112" s="26">
        <f>SUM(J111:J112)</f>
        <v>0</v>
      </c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30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  <c r="GY112" s="32"/>
      <c r="GZ112" s="32"/>
      <c r="HA112" s="32"/>
      <c r="HB112" s="32"/>
      <c r="HC112" s="32"/>
      <c r="HD112" s="32"/>
      <c r="HE112" s="32"/>
      <c r="HF112" s="32"/>
      <c r="HG112" s="32"/>
      <c r="HH112" s="32"/>
      <c r="HI112" s="32"/>
      <c r="HJ112" s="32"/>
      <c r="HK112" s="32"/>
      <c r="HL112" s="32"/>
      <c r="HM112" s="32"/>
      <c r="HN112" s="32"/>
      <c r="HO112" s="32"/>
      <c r="HP112" s="32"/>
      <c r="HQ112" s="32"/>
      <c r="HR112" s="32"/>
      <c r="HS112" s="32"/>
      <c r="HT112" s="32"/>
      <c r="HU112" s="32"/>
      <c r="HV112" s="32"/>
      <c r="HW112" s="32"/>
      <c r="HX112" s="32"/>
      <c r="HY112" s="32"/>
      <c r="HZ112" s="32"/>
      <c r="IA112" s="32"/>
      <c r="IB112" s="32"/>
      <c r="IC112" s="32"/>
      <c r="ID112" s="32"/>
      <c r="IE112" s="32"/>
      <c r="IF112" s="32"/>
      <c r="IG112" s="32"/>
      <c r="IH112" s="32"/>
      <c r="II112" s="32"/>
      <c r="IJ112" s="32"/>
      <c r="IK112" s="32"/>
      <c r="IL112" s="32"/>
      <c r="IM112" s="32"/>
      <c r="IN112" s="32"/>
      <c r="IO112" s="32"/>
      <c r="IP112" s="32"/>
      <c r="IQ112" s="32"/>
      <c r="IR112" s="32"/>
      <c r="IS112" s="32"/>
      <c r="IT112" s="32"/>
      <c r="IU112" s="32"/>
      <c r="IV112" s="32"/>
      <c r="IW112" s="32"/>
      <c r="IX112" s="33"/>
    </row>
    <row r="113" spans="1:258" ht="21.6" x14ac:dyDescent="0.3">
      <c r="A113" s="61" t="s">
        <v>108</v>
      </c>
      <c r="B113" s="23" t="s">
        <v>109</v>
      </c>
      <c r="C113" s="23" t="s">
        <v>110</v>
      </c>
      <c r="D113" s="23" t="s">
        <v>110</v>
      </c>
      <c r="E113" s="22" t="str">
        <f>"Surgical Skin Marker Single Side (1CTN = 1,000 PCS, 1 CTN = 20 PACKS, 1 PACK = 50 PCS)"&amp;CHAR(10)&amp;"LOT # "&amp;H113&amp;" "&amp;"EXP # "&amp;TEXT(I113,"dd-mm-yyyy")</f>
        <v>Surgical Skin Marker Single Side (1CTN = 1,000 PCS, 1 CTN = 20 PACKS, 1 PACK = 50 PCS)
LOT # 25052501 EXP # 24-05-2028</v>
      </c>
      <c r="F113" s="23" t="s">
        <v>111</v>
      </c>
      <c r="G113" s="23" t="s">
        <v>30</v>
      </c>
      <c r="H113" s="24">
        <v>25052501</v>
      </c>
      <c r="I113" s="25">
        <v>46897</v>
      </c>
      <c r="J113" s="26">
        <f t="shared" si="17"/>
        <v>0</v>
      </c>
      <c r="K113" s="38">
        <v>0</v>
      </c>
      <c r="L113" s="26">
        <f t="shared" si="21"/>
        <v>0</v>
      </c>
      <c r="M113" s="28" t="s">
        <v>19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30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  <c r="HI113" s="32"/>
      <c r="HJ113" s="32"/>
      <c r="HK113" s="32"/>
      <c r="HL113" s="32"/>
      <c r="HM113" s="32"/>
      <c r="HN113" s="32"/>
      <c r="HO113" s="32"/>
      <c r="HP113" s="32"/>
      <c r="HQ113" s="32"/>
      <c r="HR113" s="32"/>
      <c r="HS113" s="32"/>
      <c r="HT113" s="32"/>
      <c r="HU113" s="32"/>
      <c r="HV113" s="32"/>
      <c r="HW113" s="32"/>
      <c r="HX113" s="32"/>
      <c r="HY113" s="32"/>
      <c r="HZ113" s="32"/>
      <c r="IA113" s="32"/>
      <c r="IB113" s="32"/>
      <c r="IC113" s="32"/>
      <c r="ID113" s="32"/>
      <c r="IE113" s="32"/>
      <c r="IF113" s="32"/>
      <c r="IG113" s="32"/>
      <c r="IH113" s="32"/>
      <c r="II113" s="32"/>
      <c r="IJ113" s="32"/>
      <c r="IK113" s="32"/>
      <c r="IL113" s="32"/>
      <c r="IM113" s="32"/>
      <c r="IN113" s="32"/>
      <c r="IO113" s="32"/>
      <c r="IP113" s="32"/>
      <c r="IQ113" s="32"/>
      <c r="IR113" s="32"/>
      <c r="IS113" s="32"/>
      <c r="IT113" s="32"/>
      <c r="IU113" s="32"/>
      <c r="IV113" s="32"/>
      <c r="IW113" s="32"/>
      <c r="IX113" s="33"/>
    </row>
    <row r="114" spans="1:258" ht="21.6" x14ac:dyDescent="0.3">
      <c r="A114" s="61" t="s">
        <v>108</v>
      </c>
      <c r="B114" s="23" t="s">
        <v>109</v>
      </c>
      <c r="C114" s="23" t="s">
        <v>110</v>
      </c>
      <c r="D114" s="23" t="s">
        <v>110</v>
      </c>
      <c r="E114" s="22" t="str">
        <f>"Surgical Skin Marker Single Side (1CTN = 1,000 PCS, 1 CTN = 20 PACKS, 1 PACK = 50 PCS)"&amp;CHAR(10)&amp;"LOT # "&amp;H114&amp;" "&amp;"EXP # "&amp;TEXT(I114,"dd-mm-yyyy")</f>
        <v>Surgical Skin Marker Single Side (1CTN = 1,000 PCS, 1 CTN = 20 PACKS, 1 PACK = 50 PCS)
LOT # 26031101 EXP # 10-03-2029</v>
      </c>
      <c r="F114" s="23" t="s">
        <v>111</v>
      </c>
      <c r="G114" s="23" t="s">
        <v>18</v>
      </c>
      <c r="H114" s="24">
        <v>26031101</v>
      </c>
      <c r="I114" s="25">
        <v>47187</v>
      </c>
      <c r="J114" s="26">
        <f t="shared" si="17"/>
        <v>9997</v>
      </c>
      <c r="K114" s="38">
        <v>13000</v>
      </c>
      <c r="L114" s="26">
        <f t="shared" si="21"/>
        <v>3003</v>
      </c>
      <c r="M114" s="28" t="s">
        <v>19</v>
      </c>
      <c r="N114" s="29"/>
      <c r="O114" s="29"/>
      <c r="P114" s="29"/>
      <c r="Q114" s="29"/>
      <c r="R114" s="29"/>
      <c r="S114" s="29"/>
      <c r="T114" s="29"/>
      <c r="U114" s="29"/>
      <c r="V114" s="34">
        <f>500+500+500+150+500+200</f>
        <v>2350</v>
      </c>
      <c r="W114" s="29"/>
      <c r="X114" s="29"/>
      <c r="Y114" s="34">
        <f>3</f>
        <v>3</v>
      </c>
      <c r="Z114" s="29"/>
      <c r="AA114" s="34">
        <f>50+500</f>
        <v>550</v>
      </c>
      <c r="AB114" s="29"/>
      <c r="AC114" s="29"/>
      <c r="AD114" s="29"/>
      <c r="AE114" s="29"/>
      <c r="AF114" s="29"/>
      <c r="AG114" s="29"/>
      <c r="AH114" s="29"/>
      <c r="AI114" s="29"/>
      <c r="AJ114" s="29"/>
      <c r="AK114" s="34">
        <f>100</f>
        <v>100</v>
      </c>
      <c r="AL114" s="29"/>
      <c r="AM114" s="29"/>
      <c r="AN114" s="29"/>
      <c r="AO114" s="29"/>
      <c r="AP114" s="29"/>
      <c r="AQ114" s="29"/>
      <c r="AR114" s="29"/>
      <c r="AS114" s="30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32"/>
      <c r="GR114" s="32"/>
      <c r="GS114" s="32"/>
      <c r="GT114" s="32"/>
      <c r="GU114" s="32"/>
      <c r="GV114" s="32"/>
      <c r="GW114" s="32"/>
      <c r="GX114" s="32"/>
      <c r="GY114" s="32"/>
      <c r="GZ114" s="32"/>
      <c r="HA114" s="32"/>
      <c r="HB114" s="32"/>
      <c r="HC114" s="32"/>
      <c r="HD114" s="32"/>
      <c r="HE114" s="32"/>
      <c r="HF114" s="32"/>
      <c r="HG114" s="32"/>
      <c r="HH114" s="32"/>
      <c r="HI114" s="32"/>
      <c r="HJ114" s="32"/>
      <c r="HK114" s="32"/>
      <c r="HL114" s="32"/>
      <c r="HM114" s="32"/>
      <c r="HN114" s="32"/>
      <c r="HO114" s="32"/>
      <c r="HP114" s="32"/>
      <c r="HQ114" s="32"/>
      <c r="HR114" s="32"/>
      <c r="HS114" s="32"/>
      <c r="HT114" s="32"/>
      <c r="HU114" s="32"/>
      <c r="HV114" s="32"/>
      <c r="HW114" s="32"/>
      <c r="HX114" s="32"/>
      <c r="HY114" s="32"/>
      <c r="HZ114" s="32"/>
      <c r="IA114" s="32"/>
      <c r="IB114" s="32"/>
      <c r="IC114" s="32"/>
      <c r="ID114" s="32"/>
      <c r="IE114" s="32"/>
      <c r="IF114" s="32"/>
      <c r="IG114" s="32"/>
      <c r="IH114" s="32"/>
      <c r="II114" s="32"/>
      <c r="IJ114" s="32"/>
      <c r="IK114" s="32"/>
      <c r="IL114" s="32"/>
      <c r="IM114" s="32"/>
      <c r="IN114" s="32"/>
      <c r="IO114" s="32"/>
      <c r="IP114" s="32"/>
      <c r="IQ114" s="32"/>
      <c r="IR114" s="32"/>
      <c r="IS114" s="32"/>
      <c r="IT114" s="32"/>
      <c r="IU114" s="32"/>
      <c r="IV114" s="32"/>
      <c r="IW114" s="32"/>
      <c r="IX114" s="33"/>
    </row>
    <row r="115" spans="1:258" ht="21.6" x14ac:dyDescent="0.3">
      <c r="A115" s="61" t="s">
        <v>108</v>
      </c>
      <c r="B115" s="23" t="s">
        <v>109</v>
      </c>
      <c r="C115" s="23" t="s">
        <v>110</v>
      </c>
      <c r="D115" s="23" t="s">
        <v>110</v>
      </c>
      <c r="E115" s="22" t="str">
        <f t="shared" ref="E115:E116" si="25">"Surgical Skin Marker Single Side (1CTN = 1,000 PCS, 1 CTN = 20 PACKS, 1 PACK = 50 PCS)"&amp;CHAR(10)&amp;"LOT # "&amp;H115&amp;" "&amp;"EXP # "&amp;TEXT(I115,"dd-mm-yyyy")</f>
        <v>Surgical Skin Marker Single Side (1CTN = 1,000 PCS, 1 CTN = 20 PACKS, 1 PACK = 50 PCS)
LOT # 25092601 EXP # 25-09-2028</v>
      </c>
      <c r="F115" s="23" t="s">
        <v>111</v>
      </c>
      <c r="G115" s="23" t="s">
        <v>30</v>
      </c>
      <c r="H115" s="24">
        <v>25092601</v>
      </c>
      <c r="I115" s="25">
        <v>47021</v>
      </c>
      <c r="J115" s="26">
        <f t="shared" si="17"/>
        <v>0</v>
      </c>
      <c r="K115" s="38">
        <v>0</v>
      </c>
      <c r="L115" s="26">
        <f t="shared" si="21"/>
        <v>0</v>
      </c>
      <c r="M115" s="28" t="s">
        <v>19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30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  <c r="FC115" s="32"/>
      <c r="FD115" s="32"/>
      <c r="FE115" s="32"/>
      <c r="FF115" s="32"/>
      <c r="FG115" s="32"/>
      <c r="FH115" s="32"/>
      <c r="FI115" s="32"/>
      <c r="FJ115" s="32"/>
      <c r="FK115" s="32"/>
      <c r="FL115" s="32"/>
      <c r="FM115" s="32"/>
      <c r="FN115" s="32"/>
      <c r="FO115" s="32"/>
      <c r="FP115" s="32"/>
      <c r="FQ115" s="32"/>
      <c r="FR115" s="32"/>
      <c r="FS115" s="32"/>
      <c r="FT115" s="32"/>
      <c r="FU115" s="32"/>
      <c r="FV115" s="32"/>
      <c r="FW115" s="32"/>
      <c r="FX115" s="32"/>
      <c r="FY115" s="32"/>
      <c r="FZ115" s="32"/>
      <c r="GA115" s="32"/>
      <c r="GB115" s="32"/>
      <c r="GC115" s="32"/>
      <c r="GD115" s="32"/>
      <c r="GE115" s="32"/>
      <c r="GF115" s="32"/>
      <c r="GG115" s="32"/>
      <c r="GH115" s="32"/>
      <c r="GI115" s="32"/>
      <c r="GJ115" s="32"/>
      <c r="GK115" s="32"/>
      <c r="GL115" s="32"/>
      <c r="GM115" s="32"/>
      <c r="GN115" s="32"/>
      <c r="GO115" s="32"/>
      <c r="GP115" s="32"/>
      <c r="GQ115" s="32"/>
      <c r="GR115" s="32"/>
      <c r="GS115" s="32"/>
      <c r="GT115" s="32"/>
      <c r="GU115" s="32"/>
      <c r="GV115" s="32"/>
      <c r="GW115" s="32"/>
      <c r="GX115" s="32"/>
      <c r="GY115" s="32"/>
      <c r="GZ115" s="32"/>
      <c r="HA115" s="32"/>
      <c r="HB115" s="32"/>
      <c r="HC115" s="32"/>
      <c r="HD115" s="32"/>
      <c r="HE115" s="32"/>
      <c r="HF115" s="32"/>
      <c r="HG115" s="32"/>
      <c r="HH115" s="32"/>
      <c r="HI115" s="32"/>
      <c r="HJ115" s="32"/>
      <c r="HK115" s="32"/>
      <c r="HL115" s="32"/>
      <c r="HM115" s="32"/>
      <c r="HN115" s="32"/>
      <c r="HO115" s="32"/>
      <c r="HP115" s="32"/>
      <c r="HQ115" s="32"/>
      <c r="HR115" s="32"/>
      <c r="HS115" s="32"/>
      <c r="HT115" s="32"/>
      <c r="HU115" s="32"/>
      <c r="HV115" s="32"/>
      <c r="HW115" s="32"/>
      <c r="HX115" s="32"/>
      <c r="HY115" s="32"/>
      <c r="HZ115" s="32"/>
      <c r="IA115" s="32"/>
      <c r="IB115" s="32"/>
      <c r="IC115" s="32"/>
      <c r="ID115" s="32"/>
      <c r="IE115" s="32"/>
      <c r="IF115" s="32"/>
      <c r="IG115" s="32"/>
      <c r="IH115" s="32"/>
      <c r="II115" s="32"/>
      <c r="IJ115" s="32"/>
      <c r="IK115" s="32"/>
      <c r="IL115" s="32"/>
      <c r="IM115" s="32"/>
      <c r="IN115" s="32"/>
      <c r="IO115" s="32"/>
      <c r="IP115" s="32"/>
      <c r="IQ115" s="32"/>
      <c r="IR115" s="32"/>
      <c r="IS115" s="32"/>
      <c r="IT115" s="32"/>
      <c r="IU115" s="32"/>
      <c r="IV115" s="32"/>
      <c r="IW115" s="32"/>
      <c r="IX115" s="33"/>
    </row>
    <row r="116" spans="1:258" ht="21.6" x14ac:dyDescent="0.3">
      <c r="A116" s="61" t="s">
        <v>108</v>
      </c>
      <c r="B116" s="23" t="s">
        <v>109</v>
      </c>
      <c r="C116" s="23" t="s">
        <v>110</v>
      </c>
      <c r="D116" s="23" t="s">
        <v>110</v>
      </c>
      <c r="E116" s="22" t="str">
        <f t="shared" si="25"/>
        <v>Surgical Skin Marker Single Side (1CTN = 1,000 PCS, 1 CTN = 20 PACKS, 1 PACK = 50 PCS)
LOT # 24040701 EXP # 06-04-2027</v>
      </c>
      <c r="F116" s="23" t="s">
        <v>111</v>
      </c>
      <c r="G116" s="23" t="s">
        <v>30</v>
      </c>
      <c r="H116" s="24">
        <v>24040701</v>
      </c>
      <c r="I116" s="25">
        <v>46483</v>
      </c>
      <c r="J116" s="26">
        <f t="shared" si="17"/>
        <v>0</v>
      </c>
      <c r="K116" s="41">
        <v>0</v>
      </c>
      <c r="L116" s="26">
        <f t="shared" si="21"/>
        <v>0</v>
      </c>
      <c r="M116" s="26">
        <f>SUM(J113:J116)</f>
        <v>9997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30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  <c r="FC116" s="32"/>
      <c r="FD116" s="32"/>
      <c r="FE116" s="32"/>
      <c r="FF116" s="32"/>
      <c r="FG116" s="32"/>
      <c r="FH116" s="32"/>
      <c r="FI116" s="32"/>
      <c r="FJ116" s="32"/>
      <c r="FK116" s="32"/>
      <c r="FL116" s="32"/>
      <c r="FM116" s="32"/>
      <c r="FN116" s="32"/>
      <c r="FO116" s="32"/>
      <c r="FP116" s="32"/>
      <c r="FQ116" s="32"/>
      <c r="FR116" s="32"/>
      <c r="FS116" s="32"/>
      <c r="FT116" s="32"/>
      <c r="FU116" s="32"/>
      <c r="FV116" s="32"/>
      <c r="FW116" s="32"/>
      <c r="FX116" s="32"/>
      <c r="FY116" s="32"/>
      <c r="FZ116" s="32"/>
      <c r="GA116" s="32"/>
      <c r="GB116" s="32"/>
      <c r="GC116" s="32"/>
      <c r="GD116" s="32"/>
      <c r="GE116" s="32"/>
      <c r="GF116" s="32"/>
      <c r="GG116" s="32"/>
      <c r="GH116" s="32"/>
      <c r="GI116" s="32"/>
      <c r="GJ116" s="32"/>
      <c r="GK116" s="32"/>
      <c r="GL116" s="32"/>
      <c r="GM116" s="32"/>
      <c r="GN116" s="32"/>
      <c r="GO116" s="32"/>
      <c r="GP116" s="32"/>
      <c r="GQ116" s="32"/>
      <c r="GR116" s="32"/>
      <c r="GS116" s="32"/>
      <c r="GT116" s="32"/>
      <c r="GU116" s="32"/>
      <c r="GV116" s="32"/>
      <c r="GW116" s="32"/>
      <c r="GX116" s="32"/>
      <c r="GY116" s="32"/>
      <c r="GZ116" s="32"/>
      <c r="HA116" s="32"/>
      <c r="HB116" s="32"/>
      <c r="HC116" s="32"/>
      <c r="HD116" s="32"/>
      <c r="HE116" s="32"/>
      <c r="HF116" s="32"/>
      <c r="HG116" s="32"/>
      <c r="HH116" s="32"/>
      <c r="HI116" s="32"/>
      <c r="HJ116" s="32"/>
      <c r="HK116" s="32"/>
      <c r="HL116" s="32"/>
      <c r="HM116" s="32"/>
      <c r="HN116" s="32"/>
      <c r="HO116" s="32"/>
      <c r="HP116" s="32"/>
      <c r="HQ116" s="32"/>
      <c r="HR116" s="32"/>
      <c r="HS116" s="32"/>
      <c r="HT116" s="32"/>
      <c r="HU116" s="32"/>
      <c r="HV116" s="32"/>
      <c r="HW116" s="32"/>
      <c r="HX116" s="32"/>
      <c r="HY116" s="32"/>
      <c r="HZ116" s="32"/>
      <c r="IA116" s="32"/>
      <c r="IB116" s="32"/>
      <c r="IC116" s="32"/>
      <c r="ID116" s="32"/>
      <c r="IE116" s="32"/>
      <c r="IF116" s="32"/>
      <c r="IG116" s="32"/>
      <c r="IH116" s="32"/>
      <c r="II116" s="32"/>
      <c r="IJ116" s="32"/>
      <c r="IK116" s="32"/>
      <c r="IL116" s="32"/>
      <c r="IM116" s="32"/>
      <c r="IN116" s="32"/>
      <c r="IO116" s="32"/>
      <c r="IP116" s="32"/>
      <c r="IQ116" s="32"/>
      <c r="IR116" s="32"/>
      <c r="IS116" s="32"/>
      <c r="IT116" s="32"/>
      <c r="IU116" s="32"/>
      <c r="IV116" s="32"/>
      <c r="IW116" s="32"/>
      <c r="IX116" s="33"/>
    </row>
    <row r="117" spans="1:258" ht="21.6" x14ac:dyDescent="0.3">
      <c r="A117" s="61" t="s">
        <v>112</v>
      </c>
      <c r="B117" s="23" t="s">
        <v>109</v>
      </c>
      <c r="C117" s="23" t="s">
        <v>113</v>
      </c>
      <c r="D117" s="23" t="s">
        <v>113</v>
      </c>
      <c r="E117" s="22" t="str">
        <f>"Surgical Skin Marker Double Side (1CTN=1000 PCS, 1CTN=20 PACKS, 1 PACK=50 PCS)"&amp;CHAR(10)&amp;"LOT # "&amp;H117&amp;" "&amp;"EXP # "&amp;TEXT(I117,"dd-mm-yyyy")</f>
        <v>Surgical Skin Marker Double Side (1CTN=1000 PCS, 1CTN=20 PACKS, 1 PACK=50 PCS)
LOT # 25052501 EXP # 24-05-2028</v>
      </c>
      <c r="F117" s="23" t="s">
        <v>111</v>
      </c>
      <c r="G117" s="23" t="s">
        <v>30</v>
      </c>
      <c r="H117" s="24">
        <v>25052501</v>
      </c>
      <c r="I117" s="25">
        <v>46897</v>
      </c>
      <c r="J117" s="26">
        <f t="shared" si="17"/>
        <v>0</v>
      </c>
      <c r="K117" s="41">
        <v>0</v>
      </c>
      <c r="L117" s="26">
        <f t="shared" si="21"/>
        <v>0</v>
      </c>
      <c r="M117" s="28" t="s">
        <v>19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30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  <c r="FY117" s="32"/>
      <c r="FZ117" s="32"/>
      <c r="GA117" s="32"/>
      <c r="GB117" s="32"/>
      <c r="GC117" s="32"/>
      <c r="GD117" s="32"/>
      <c r="GE117" s="32"/>
      <c r="GF117" s="32"/>
      <c r="GG117" s="32"/>
      <c r="GH117" s="32"/>
      <c r="GI117" s="32"/>
      <c r="GJ117" s="32"/>
      <c r="GK117" s="32"/>
      <c r="GL117" s="32"/>
      <c r="GM117" s="32"/>
      <c r="GN117" s="32"/>
      <c r="GO117" s="32"/>
      <c r="GP117" s="32"/>
      <c r="GQ117" s="32"/>
      <c r="GR117" s="32"/>
      <c r="GS117" s="32"/>
      <c r="GT117" s="32"/>
      <c r="GU117" s="32"/>
      <c r="GV117" s="32"/>
      <c r="GW117" s="32"/>
      <c r="GX117" s="32"/>
      <c r="GY117" s="32"/>
      <c r="GZ117" s="32"/>
      <c r="HA117" s="32"/>
      <c r="HB117" s="32"/>
      <c r="HC117" s="32"/>
      <c r="HD117" s="32"/>
      <c r="HE117" s="32"/>
      <c r="HF117" s="32"/>
      <c r="HG117" s="32"/>
      <c r="HH117" s="32"/>
      <c r="HI117" s="32"/>
      <c r="HJ117" s="32"/>
      <c r="HK117" s="32"/>
      <c r="HL117" s="32"/>
      <c r="HM117" s="32"/>
      <c r="HN117" s="32"/>
      <c r="HO117" s="32"/>
      <c r="HP117" s="32"/>
      <c r="HQ117" s="32"/>
      <c r="HR117" s="32"/>
      <c r="HS117" s="32"/>
      <c r="HT117" s="32"/>
      <c r="HU117" s="32"/>
      <c r="HV117" s="32"/>
      <c r="HW117" s="32"/>
      <c r="HX117" s="32"/>
      <c r="HY117" s="32"/>
      <c r="HZ117" s="32"/>
      <c r="IA117" s="32"/>
      <c r="IB117" s="32"/>
      <c r="IC117" s="32"/>
      <c r="ID117" s="32"/>
      <c r="IE117" s="32"/>
      <c r="IF117" s="32"/>
      <c r="IG117" s="32"/>
      <c r="IH117" s="32"/>
      <c r="II117" s="32"/>
      <c r="IJ117" s="32"/>
      <c r="IK117" s="32"/>
      <c r="IL117" s="32"/>
      <c r="IM117" s="32"/>
      <c r="IN117" s="32"/>
      <c r="IO117" s="32"/>
      <c r="IP117" s="32"/>
      <c r="IQ117" s="32"/>
      <c r="IR117" s="32"/>
      <c r="IS117" s="32"/>
      <c r="IT117" s="32"/>
      <c r="IU117" s="32"/>
      <c r="IV117" s="32"/>
      <c r="IW117" s="32"/>
      <c r="IX117" s="33"/>
    </row>
    <row r="118" spans="1:258" ht="21.6" x14ac:dyDescent="0.3">
      <c r="A118" s="61" t="s">
        <v>112</v>
      </c>
      <c r="B118" s="23" t="s">
        <v>109</v>
      </c>
      <c r="C118" s="23" t="s">
        <v>113</v>
      </c>
      <c r="D118" s="23" t="s">
        <v>113</v>
      </c>
      <c r="E118" s="22" t="str">
        <f>"Surgical Skin Marker Double Side (1CTN=1000 PCS, 1CTN=20 PACKS, 1 PACK=50 PCS)"&amp;CHAR(10)&amp;"LOT # "&amp;H118&amp;" "&amp;"EXP # "&amp;TEXT(I118,"dd-mm-yyyy")</f>
        <v>Surgical Skin Marker Double Side (1CTN=1000 PCS, 1CTN=20 PACKS, 1 PACK=50 PCS)
LOT # 26031101 EXP # 10-03-2029</v>
      </c>
      <c r="F118" s="23" t="s">
        <v>111</v>
      </c>
      <c r="G118" s="23" t="s">
        <v>20</v>
      </c>
      <c r="H118" s="24">
        <v>26031101</v>
      </c>
      <c r="I118" s="25">
        <v>47187</v>
      </c>
      <c r="J118" s="26">
        <f t="shared" si="17"/>
        <v>35000</v>
      </c>
      <c r="K118" s="41">
        <v>35000</v>
      </c>
      <c r="L118" s="26">
        <f t="shared" si="21"/>
        <v>0</v>
      </c>
      <c r="M118" s="28" t="s">
        <v>19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30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32"/>
      <c r="FO118" s="32"/>
      <c r="FP118" s="32"/>
      <c r="FQ118" s="32"/>
      <c r="FR118" s="32"/>
      <c r="FS118" s="32"/>
      <c r="FT118" s="32"/>
      <c r="FU118" s="32"/>
      <c r="FV118" s="32"/>
      <c r="FW118" s="32"/>
      <c r="FX118" s="32"/>
      <c r="FY118" s="32"/>
      <c r="FZ118" s="32"/>
      <c r="GA118" s="32"/>
      <c r="GB118" s="32"/>
      <c r="GC118" s="32"/>
      <c r="GD118" s="32"/>
      <c r="GE118" s="32"/>
      <c r="GF118" s="32"/>
      <c r="GG118" s="32"/>
      <c r="GH118" s="32"/>
      <c r="GI118" s="32"/>
      <c r="GJ118" s="32"/>
      <c r="GK118" s="32"/>
      <c r="GL118" s="32"/>
      <c r="GM118" s="32"/>
      <c r="GN118" s="32"/>
      <c r="GO118" s="32"/>
      <c r="GP118" s="32"/>
      <c r="GQ118" s="32"/>
      <c r="GR118" s="32"/>
      <c r="GS118" s="32"/>
      <c r="GT118" s="32"/>
      <c r="GU118" s="32"/>
      <c r="GV118" s="32"/>
      <c r="GW118" s="32"/>
      <c r="GX118" s="32"/>
      <c r="GY118" s="32"/>
      <c r="GZ118" s="32"/>
      <c r="HA118" s="32"/>
      <c r="HB118" s="32"/>
      <c r="HC118" s="32"/>
      <c r="HD118" s="32"/>
      <c r="HE118" s="32"/>
      <c r="HF118" s="32"/>
      <c r="HG118" s="32"/>
      <c r="HH118" s="32"/>
      <c r="HI118" s="32"/>
      <c r="HJ118" s="32"/>
      <c r="HK118" s="32"/>
      <c r="HL118" s="32"/>
      <c r="HM118" s="32"/>
      <c r="HN118" s="32"/>
      <c r="HO118" s="32"/>
      <c r="HP118" s="32"/>
      <c r="HQ118" s="32"/>
      <c r="HR118" s="32"/>
      <c r="HS118" s="32"/>
      <c r="HT118" s="32"/>
      <c r="HU118" s="32"/>
      <c r="HV118" s="32"/>
      <c r="HW118" s="32"/>
      <c r="HX118" s="32"/>
      <c r="HY118" s="32"/>
      <c r="HZ118" s="32"/>
      <c r="IA118" s="32"/>
      <c r="IB118" s="32"/>
      <c r="IC118" s="32"/>
      <c r="ID118" s="32"/>
      <c r="IE118" s="32"/>
      <c r="IF118" s="32"/>
      <c r="IG118" s="32"/>
      <c r="IH118" s="32"/>
      <c r="II118" s="32"/>
      <c r="IJ118" s="32"/>
      <c r="IK118" s="32"/>
      <c r="IL118" s="32"/>
      <c r="IM118" s="32"/>
      <c r="IN118" s="32"/>
      <c r="IO118" s="32"/>
      <c r="IP118" s="32"/>
      <c r="IQ118" s="32"/>
      <c r="IR118" s="32"/>
      <c r="IS118" s="32"/>
      <c r="IT118" s="32"/>
      <c r="IU118" s="32"/>
      <c r="IV118" s="32"/>
      <c r="IW118" s="32"/>
      <c r="IX118" s="33"/>
    </row>
    <row r="119" spans="1:258" ht="21.6" x14ac:dyDescent="0.3">
      <c r="A119" s="61" t="s">
        <v>112</v>
      </c>
      <c r="B119" s="23" t="s">
        <v>109</v>
      </c>
      <c r="C119" s="23" t="s">
        <v>113</v>
      </c>
      <c r="D119" s="23" t="s">
        <v>113</v>
      </c>
      <c r="E119" s="22" t="str">
        <f>"Surgical Skin Marker Double Side (1CTN=1000 PCS, 1CTN=20 PACKS, 1 PACK=50 PCS)"&amp;CHAR(10)&amp;"LOT # "&amp;H119&amp;" "&amp;"EXP # "&amp;TEXT(I119,"dd-mm-yyyy")</f>
        <v>Surgical Skin Marker Double Side (1CTN=1000 PCS, 1CTN=20 PACKS, 1 PACK=50 PCS)
LOT # 25092601 EXP # 25-09-2028</v>
      </c>
      <c r="F119" s="23" t="s">
        <v>111</v>
      </c>
      <c r="G119" s="23" t="s">
        <v>18</v>
      </c>
      <c r="H119" s="24">
        <v>25092601</v>
      </c>
      <c r="I119" s="25">
        <v>47021</v>
      </c>
      <c r="J119" s="26">
        <f t="shared" si="17"/>
        <v>15075</v>
      </c>
      <c r="K119" s="41">
        <v>24778</v>
      </c>
      <c r="L119" s="26">
        <f t="shared" si="21"/>
        <v>9703</v>
      </c>
      <c r="M119" s="28" t="s">
        <v>19</v>
      </c>
      <c r="N119" s="29"/>
      <c r="O119" s="29"/>
      <c r="P119" s="29"/>
      <c r="Q119" s="29"/>
      <c r="R119" s="34">
        <f>400</f>
        <v>400</v>
      </c>
      <c r="S119" s="34">
        <f>100+100</f>
        <v>200</v>
      </c>
      <c r="T119" s="34">
        <f>100</f>
        <v>100</v>
      </c>
      <c r="U119" s="29"/>
      <c r="V119" s="34">
        <f>2000</f>
        <v>2000</v>
      </c>
      <c r="W119" s="29"/>
      <c r="X119" s="29"/>
      <c r="Y119" s="34">
        <f>3</f>
        <v>3</v>
      </c>
      <c r="Z119" s="29"/>
      <c r="AA119" s="34">
        <f>1000+5000+500</f>
        <v>6500</v>
      </c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30"/>
      <c r="AT119" s="31"/>
      <c r="AU119" s="32">
        <f>500</f>
        <v>500</v>
      </c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32"/>
      <c r="GD119" s="32"/>
      <c r="GE119" s="32"/>
      <c r="GF119" s="32"/>
      <c r="GG119" s="32"/>
      <c r="GH119" s="32"/>
      <c r="GI119" s="32"/>
      <c r="GJ119" s="32"/>
      <c r="GK119" s="32"/>
      <c r="GL119" s="32"/>
      <c r="GM119" s="32"/>
      <c r="GN119" s="32"/>
      <c r="GO119" s="32"/>
      <c r="GP119" s="32"/>
      <c r="GQ119" s="32"/>
      <c r="GR119" s="32"/>
      <c r="GS119" s="32"/>
      <c r="GT119" s="32"/>
      <c r="GU119" s="32"/>
      <c r="GV119" s="32"/>
      <c r="GW119" s="32"/>
      <c r="GX119" s="32"/>
      <c r="GY119" s="32"/>
      <c r="GZ119" s="32"/>
      <c r="HA119" s="32"/>
      <c r="HB119" s="32"/>
      <c r="HC119" s="32"/>
      <c r="HD119" s="32"/>
      <c r="HE119" s="32"/>
      <c r="HF119" s="32"/>
      <c r="HG119" s="32"/>
      <c r="HH119" s="32"/>
      <c r="HI119" s="32"/>
      <c r="HJ119" s="32"/>
      <c r="HK119" s="32"/>
      <c r="HL119" s="32"/>
      <c r="HM119" s="32"/>
      <c r="HN119" s="32"/>
      <c r="HO119" s="32"/>
      <c r="HP119" s="32"/>
      <c r="HQ119" s="32"/>
      <c r="HR119" s="32"/>
      <c r="HS119" s="32"/>
      <c r="HT119" s="32"/>
      <c r="HU119" s="32"/>
      <c r="HV119" s="32"/>
      <c r="HW119" s="32"/>
      <c r="HX119" s="32"/>
      <c r="HY119" s="32"/>
      <c r="HZ119" s="32"/>
      <c r="IA119" s="32"/>
      <c r="IB119" s="32"/>
      <c r="IC119" s="32"/>
      <c r="ID119" s="32"/>
      <c r="IE119" s="32"/>
      <c r="IF119" s="32"/>
      <c r="IG119" s="32"/>
      <c r="IH119" s="32"/>
      <c r="II119" s="32"/>
      <c r="IJ119" s="32"/>
      <c r="IK119" s="32"/>
      <c r="IL119" s="32"/>
      <c r="IM119" s="32"/>
      <c r="IN119" s="32"/>
      <c r="IO119" s="32"/>
      <c r="IP119" s="32"/>
      <c r="IQ119" s="32"/>
      <c r="IR119" s="32"/>
      <c r="IS119" s="32"/>
      <c r="IT119" s="32"/>
      <c r="IU119" s="32"/>
      <c r="IV119" s="32"/>
      <c r="IW119" s="32"/>
      <c r="IX119" s="33"/>
    </row>
    <row r="120" spans="1:258" ht="21.6" x14ac:dyDescent="0.3">
      <c r="A120" s="61" t="s">
        <v>112</v>
      </c>
      <c r="B120" s="23" t="s">
        <v>109</v>
      </c>
      <c r="C120" s="23" t="s">
        <v>113</v>
      </c>
      <c r="D120" s="23" t="s">
        <v>113</v>
      </c>
      <c r="E120" s="22" t="str">
        <f>"Surgical Skin Marker Double Side (1CTN=1000 PCS, 1CTN=20 PACKS, 1 PACK=50 PCS)"&amp;CHAR(10)&amp;"LOT # "&amp;H120&amp;" "&amp;"EXP # "&amp;TEXT(I120,"dd-mm-yyyy")</f>
        <v>Surgical Skin Marker Double Side (1CTN=1000 PCS, 1CTN=20 PACKS, 1 PACK=50 PCS)
LOT # 24092101 EXP # 20-09-2027</v>
      </c>
      <c r="F120" s="23" t="s">
        <v>111</v>
      </c>
      <c r="G120" s="23" t="s">
        <v>30</v>
      </c>
      <c r="H120" s="24">
        <v>24092101</v>
      </c>
      <c r="I120" s="25">
        <v>46650</v>
      </c>
      <c r="J120" s="26">
        <f t="shared" si="17"/>
        <v>0</v>
      </c>
      <c r="K120" s="41">
        <v>0</v>
      </c>
      <c r="L120" s="26">
        <f t="shared" si="21"/>
        <v>0</v>
      </c>
      <c r="M120" s="26">
        <f>SUM(J117:J120)</f>
        <v>50075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30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32"/>
      <c r="GD120" s="32"/>
      <c r="GE120" s="32"/>
      <c r="GF120" s="32"/>
      <c r="GG120" s="32"/>
      <c r="GH120" s="32"/>
      <c r="GI120" s="32"/>
      <c r="GJ120" s="32"/>
      <c r="GK120" s="32"/>
      <c r="GL120" s="32"/>
      <c r="GM120" s="32"/>
      <c r="GN120" s="32"/>
      <c r="GO120" s="32"/>
      <c r="GP120" s="32"/>
      <c r="GQ120" s="32"/>
      <c r="GR120" s="32"/>
      <c r="GS120" s="32"/>
      <c r="GT120" s="32"/>
      <c r="GU120" s="32"/>
      <c r="GV120" s="32"/>
      <c r="GW120" s="32"/>
      <c r="GX120" s="32"/>
      <c r="GY120" s="32"/>
      <c r="GZ120" s="32"/>
      <c r="HA120" s="32"/>
      <c r="HB120" s="32"/>
      <c r="HC120" s="32"/>
      <c r="HD120" s="32"/>
      <c r="HE120" s="32"/>
      <c r="HF120" s="32"/>
      <c r="HG120" s="32"/>
      <c r="HH120" s="32"/>
      <c r="HI120" s="32"/>
      <c r="HJ120" s="32"/>
      <c r="HK120" s="32"/>
      <c r="HL120" s="32"/>
      <c r="HM120" s="32"/>
      <c r="HN120" s="32"/>
      <c r="HO120" s="32"/>
      <c r="HP120" s="32"/>
      <c r="HQ120" s="32"/>
      <c r="HR120" s="32"/>
      <c r="HS120" s="32"/>
      <c r="HT120" s="32"/>
      <c r="HU120" s="32"/>
      <c r="HV120" s="32"/>
      <c r="HW120" s="32"/>
      <c r="HX120" s="32"/>
      <c r="HY120" s="32"/>
      <c r="HZ120" s="32"/>
      <c r="IA120" s="32"/>
      <c r="IB120" s="32"/>
      <c r="IC120" s="32"/>
      <c r="ID120" s="32"/>
      <c r="IE120" s="32"/>
      <c r="IF120" s="32"/>
      <c r="IG120" s="32"/>
      <c r="IH120" s="32"/>
      <c r="II120" s="32"/>
      <c r="IJ120" s="32"/>
      <c r="IK120" s="32"/>
      <c r="IL120" s="32"/>
      <c r="IM120" s="32"/>
      <c r="IN120" s="32"/>
      <c r="IO120" s="32"/>
      <c r="IP120" s="32"/>
      <c r="IQ120" s="32"/>
      <c r="IR120" s="32"/>
      <c r="IS120" s="32"/>
      <c r="IT120" s="32"/>
      <c r="IU120" s="32"/>
      <c r="IV120" s="32"/>
      <c r="IW120" s="32"/>
      <c r="IX120" s="33"/>
    </row>
    <row r="121" spans="1:258" ht="21.6" x14ac:dyDescent="0.3">
      <c r="A121" s="62" t="s">
        <v>114</v>
      </c>
      <c r="B121" s="23" t="s">
        <v>115</v>
      </c>
      <c r="C121" s="23" t="s">
        <v>115</v>
      </c>
      <c r="D121" s="23" t="s">
        <v>115</v>
      </c>
      <c r="E121" s="22" t="str">
        <f>"Poviseptin Scrub Brush - 15ml - Nail Stick"&amp;CHAR(10)&amp;"LOT # "&amp;H121&amp;" "&amp;"EXP # "&amp;TEXT(I121,"dd-mm-yyyy")</f>
        <v>Poviseptin Scrub Brush - 15ml - Nail Stick
LOT # CHECK IN BOX EXP # CHECK IN BOX</v>
      </c>
      <c r="F121" s="23" t="s">
        <v>117</v>
      </c>
      <c r="G121" s="23" t="s">
        <v>30</v>
      </c>
      <c r="H121" s="24" t="s">
        <v>349</v>
      </c>
      <c r="I121" s="24" t="s">
        <v>349</v>
      </c>
      <c r="J121" s="26">
        <f t="shared" si="17"/>
        <v>6</v>
      </c>
      <c r="K121" s="38">
        <v>6</v>
      </c>
      <c r="L121" s="26">
        <f t="shared" si="21"/>
        <v>0</v>
      </c>
      <c r="M121" s="26">
        <f>SUM(J121)</f>
        <v>6</v>
      </c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30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  <c r="FC121" s="32"/>
      <c r="FD121" s="32"/>
      <c r="FE121" s="32"/>
      <c r="FF121" s="32"/>
      <c r="FG121" s="32"/>
      <c r="FH121" s="32"/>
      <c r="FI121" s="32"/>
      <c r="FJ121" s="32"/>
      <c r="FK121" s="32"/>
      <c r="FL121" s="32"/>
      <c r="FM121" s="32"/>
      <c r="FN121" s="32"/>
      <c r="FO121" s="32"/>
      <c r="FP121" s="32"/>
      <c r="FQ121" s="32"/>
      <c r="FR121" s="32"/>
      <c r="FS121" s="32"/>
      <c r="FT121" s="32"/>
      <c r="FU121" s="32"/>
      <c r="FV121" s="32"/>
      <c r="FW121" s="32"/>
      <c r="FX121" s="32"/>
      <c r="FY121" s="32"/>
      <c r="FZ121" s="32"/>
      <c r="GA121" s="32"/>
      <c r="GB121" s="32"/>
      <c r="GC121" s="32"/>
      <c r="GD121" s="32"/>
      <c r="GE121" s="32"/>
      <c r="GF121" s="32"/>
      <c r="GG121" s="32"/>
      <c r="GH121" s="32"/>
      <c r="GI121" s="32"/>
      <c r="GJ121" s="32"/>
      <c r="GK121" s="32"/>
      <c r="GL121" s="32"/>
      <c r="GM121" s="32"/>
      <c r="GN121" s="32"/>
      <c r="GO121" s="32"/>
      <c r="GP121" s="32"/>
      <c r="GQ121" s="32"/>
      <c r="GR121" s="32"/>
      <c r="GS121" s="32"/>
      <c r="GT121" s="32"/>
      <c r="GU121" s="32"/>
      <c r="GV121" s="32"/>
      <c r="GW121" s="32"/>
      <c r="GX121" s="32"/>
      <c r="GY121" s="32"/>
      <c r="GZ121" s="32"/>
      <c r="HA121" s="32"/>
      <c r="HB121" s="32"/>
      <c r="HC121" s="32"/>
      <c r="HD121" s="32"/>
      <c r="HE121" s="32"/>
      <c r="HF121" s="32"/>
      <c r="HG121" s="32"/>
      <c r="HH121" s="32"/>
      <c r="HI121" s="32"/>
      <c r="HJ121" s="32"/>
      <c r="HK121" s="32"/>
      <c r="HL121" s="32"/>
      <c r="HM121" s="32"/>
      <c r="HN121" s="32"/>
      <c r="HO121" s="32"/>
      <c r="HP121" s="32"/>
      <c r="HQ121" s="32"/>
      <c r="HR121" s="32"/>
      <c r="HS121" s="32"/>
      <c r="HT121" s="32"/>
      <c r="HU121" s="32"/>
      <c r="HV121" s="32"/>
      <c r="HW121" s="32"/>
      <c r="HX121" s="32"/>
      <c r="HY121" s="32"/>
      <c r="HZ121" s="32"/>
      <c r="IA121" s="32"/>
      <c r="IB121" s="32"/>
      <c r="IC121" s="32"/>
      <c r="ID121" s="32"/>
      <c r="IE121" s="32"/>
      <c r="IF121" s="32"/>
      <c r="IG121" s="32"/>
      <c r="IH121" s="32"/>
      <c r="II121" s="32"/>
      <c r="IJ121" s="32"/>
      <c r="IK121" s="32"/>
      <c r="IL121" s="32"/>
      <c r="IM121" s="32"/>
      <c r="IN121" s="32"/>
      <c r="IO121" s="32"/>
      <c r="IP121" s="32"/>
      <c r="IQ121" s="32"/>
      <c r="IR121" s="32"/>
      <c r="IS121" s="32"/>
      <c r="IT121" s="32"/>
      <c r="IU121" s="32"/>
      <c r="IV121" s="32"/>
      <c r="IW121" s="32"/>
      <c r="IX121" s="33"/>
    </row>
    <row r="122" spans="1:258" ht="21.6" x14ac:dyDescent="0.3">
      <c r="A122" s="62" t="s">
        <v>118</v>
      </c>
      <c r="B122" s="23" t="s">
        <v>115</v>
      </c>
      <c r="C122" s="23" t="s">
        <v>115</v>
      </c>
      <c r="D122" s="23" t="s">
        <v>115</v>
      </c>
      <c r="E122" s="22" t="str">
        <f>"Chlorhexidal Scrub Brush - 15ml - Nail Stick"&amp;CHAR(10)&amp;"LOT # "&amp;H122&amp;" "&amp;"EXP # "&amp;TEXT(I122,"dd-mm-yyyy")</f>
        <v>Chlorhexidal Scrub Brush - 15ml - Nail Stick
LOT # CHECK IN BOX EXP # CHECK IN BOX</v>
      </c>
      <c r="F122" s="23" t="s">
        <v>117</v>
      </c>
      <c r="G122" s="23" t="s">
        <v>30</v>
      </c>
      <c r="H122" s="24" t="s">
        <v>349</v>
      </c>
      <c r="I122" s="24" t="s">
        <v>349</v>
      </c>
      <c r="J122" s="26">
        <f t="shared" si="17"/>
        <v>0</v>
      </c>
      <c r="K122" s="38">
        <v>0</v>
      </c>
      <c r="L122" s="26">
        <f t="shared" si="21"/>
        <v>0</v>
      </c>
      <c r="M122" s="26">
        <f>SUM(J122)</f>
        <v>0</v>
      </c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30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32"/>
      <c r="GS122" s="32"/>
      <c r="GT122" s="32"/>
      <c r="GU122" s="32"/>
      <c r="GV122" s="32"/>
      <c r="GW122" s="32"/>
      <c r="GX122" s="32"/>
      <c r="GY122" s="32"/>
      <c r="GZ122" s="32"/>
      <c r="HA122" s="32"/>
      <c r="HB122" s="32"/>
      <c r="HC122" s="32"/>
      <c r="HD122" s="32"/>
      <c r="HE122" s="32"/>
      <c r="HF122" s="32"/>
      <c r="HG122" s="32"/>
      <c r="HH122" s="32"/>
      <c r="HI122" s="32"/>
      <c r="HJ122" s="32"/>
      <c r="HK122" s="32"/>
      <c r="HL122" s="32"/>
      <c r="HM122" s="32"/>
      <c r="HN122" s="32"/>
      <c r="HO122" s="32"/>
      <c r="HP122" s="32"/>
      <c r="HQ122" s="32"/>
      <c r="HR122" s="32"/>
      <c r="HS122" s="32"/>
      <c r="HT122" s="32"/>
      <c r="HU122" s="32"/>
      <c r="HV122" s="32"/>
      <c r="HW122" s="32"/>
      <c r="HX122" s="32"/>
      <c r="HY122" s="32"/>
      <c r="HZ122" s="32"/>
      <c r="IA122" s="32"/>
      <c r="IB122" s="32"/>
      <c r="IC122" s="32"/>
      <c r="ID122" s="32"/>
      <c r="IE122" s="32"/>
      <c r="IF122" s="32"/>
      <c r="IG122" s="32"/>
      <c r="IH122" s="32"/>
      <c r="II122" s="32"/>
      <c r="IJ122" s="32"/>
      <c r="IK122" s="32"/>
      <c r="IL122" s="32"/>
      <c r="IM122" s="32"/>
      <c r="IN122" s="32"/>
      <c r="IO122" s="32"/>
      <c r="IP122" s="32"/>
      <c r="IQ122" s="32"/>
      <c r="IR122" s="32"/>
      <c r="IS122" s="32"/>
      <c r="IT122" s="32"/>
      <c r="IU122" s="32"/>
      <c r="IV122" s="32"/>
      <c r="IW122" s="32"/>
      <c r="IX122" s="33"/>
    </row>
    <row r="123" spans="1:258" ht="21.6" x14ac:dyDescent="0.3">
      <c r="A123" s="62" t="s">
        <v>253</v>
      </c>
      <c r="B123" s="23" t="s">
        <v>254</v>
      </c>
      <c r="C123" s="23" t="s">
        <v>254</v>
      </c>
      <c r="D123" s="23" t="s">
        <v>254</v>
      </c>
      <c r="E123" s="22" t="str">
        <f>"Ultrasound Gel 250 ML (Empty bottles)"&amp;CHAR(10)&amp;"LOT # "&amp;H123&amp;" "&amp;"EXP # "&amp;TEXT(I123,"dd-mm-yyyy")</f>
        <v>Ultrasound Gel 250 ML (Empty bottles)
LOT # NO LOT # EXP # NO EXPIRY</v>
      </c>
      <c r="F123" s="23" t="s">
        <v>123</v>
      </c>
      <c r="G123" s="23" t="s">
        <v>18</v>
      </c>
      <c r="H123" s="24" t="s">
        <v>203</v>
      </c>
      <c r="I123" s="24" t="s">
        <v>202</v>
      </c>
      <c r="J123" s="26">
        <f t="shared" si="17"/>
        <v>1711</v>
      </c>
      <c r="K123" s="38">
        <v>1711</v>
      </c>
      <c r="L123" s="26">
        <f t="shared" si="21"/>
        <v>0</v>
      </c>
      <c r="M123" s="26">
        <f>SUM(J123)</f>
        <v>1711</v>
      </c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30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  <c r="FC123" s="32"/>
      <c r="FD123" s="32"/>
      <c r="FE123" s="32"/>
      <c r="FF123" s="32"/>
      <c r="FG123" s="32"/>
      <c r="FH123" s="32"/>
      <c r="FI123" s="32"/>
      <c r="FJ123" s="32"/>
      <c r="FK123" s="32"/>
      <c r="FL123" s="32"/>
      <c r="FM123" s="32"/>
      <c r="FN123" s="32"/>
      <c r="FO123" s="32"/>
      <c r="FP123" s="32"/>
      <c r="FQ123" s="32"/>
      <c r="FR123" s="32"/>
      <c r="FS123" s="32"/>
      <c r="FT123" s="32"/>
      <c r="FU123" s="32"/>
      <c r="FV123" s="32"/>
      <c r="FW123" s="32"/>
      <c r="FX123" s="32"/>
      <c r="FY123" s="32"/>
      <c r="FZ123" s="32"/>
      <c r="GA123" s="32"/>
      <c r="GB123" s="32"/>
      <c r="GC123" s="32"/>
      <c r="GD123" s="32"/>
      <c r="GE123" s="32"/>
      <c r="GF123" s="32"/>
      <c r="GG123" s="32"/>
      <c r="GH123" s="32"/>
      <c r="GI123" s="32"/>
      <c r="GJ123" s="32"/>
      <c r="GK123" s="32"/>
      <c r="GL123" s="32"/>
      <c r="GM123" s="32"/>
      <c r="GN123" s="32"/>
      <c r="GO123" s="32"/>
      <c r="GP123" s="32"/>
      <c r="GQ123" s="32"/>
      <c r="GR123" s="32"/>
      <c r="GS123" s="32"/>
      <c r="GT123" s="32"/>
      <c r="GU123" s="32"/>
      <c r="GV123" s="32"/>
      <c r="GW123" s="32"/>
      <c r="GX123" s="32"/>
      <c r="GY123" s="32"/>
      <c r="GZ123" s="32"/>
      <c r="HA123" s="32"/>
      <c r="HB123" s="32"/>
      <c r="HC123" s="32"/>
      <c r="HD123" s="32"/>
      <c r="HE123" s="32"/>
      <c r="HF123" s="32"/>
      <c r="HG123" s="32"/>
      <c r="HH123" s="32"/>
      <c r="HI123" s="32"/>
      <c r="HJ123" s="32"/>
      <c r="HK123" s="32"/>
      <c r="HL123" s="32"/>
      <c r="HM123" s="32"/>
      <c r="HN123" s="32"/>
      <c r="HO123" s="32"/>
      <c r="HP123" s="32"/>
      <c r="HQ123" s="32"/>
      <c r="HR123" s="32"/>
      <c r="HS123" s="32"/>
      <c r="HT123" s="32"/>
      <c r="HU123" s="32"/>
      <c r="HV123" s="32"/>
      <c r="HW123" s="32"/>
      <c r="HX123" s="32"/>
      <c r="HY123" s="32"/>
      <c r="HZ123" s="32"/>
      <c r="IA123" s="32"/>
      <c r="IB123" s="32"/>
      <c r="IC123" s="32"/>
      <c r="ID123" s="32"/>
      <c r="IE123" s="32"/>
      <c r="IF123" s="32"/>
      <c r="IG123" s="32"/>
      <c r="IH123" s="32"/>
      <c r="II123" s="32"/>
      <c r="IJ123" s="32"/>
      <c r="IK123" s="32"/>
      <c r="IL123" s="32"/>
      <c r="IM123" s="32"/>
      <c r="IN123" s="32"/>
      <c r="IO123" s="32"/>
      <c r="IP123" s="32"/>
      <c r="IQ123" s="32"/>
      <c r="IR123" s="32"/>
      <c r="IS123" s="32"/>
      <c r="IT123" s="32"/>
      <c r="IU123" s="32"/>
      <c r="IV123" s="32"/>
      <c r="IW123" s="32"/>
      <c r="IX123" s="33"/>
    </row>
    <row r="124" spans="1:258" ht="21.6" x14ac:dyDescent="0.3">
      <c r="A124" s="61" t="s">
        <v>119</v>
      </c>
      <c r="B124" s="23" t="s">
        <v>120</v>
      </c>
      <c r="C124" s="23" t="s">
        <v>121</v>
      </c>
      <c r="D124" s="23" t="s">
        <v>121</v>
      </c>
      <c r="E124" s="22" t="str">
        <f>"Ultrasound Gel 250 ML (Clear)"&amp;CHAR(10)&amp;"LOT # "&amp;H124&amp;" "&amp;"EXP # "&amp;TEXT(I124,"dd-mm-yyyy")</f>
        <v>Ultrasound Gel 250 ML (Clear)
LOT # 2024021802 EXP # 25-02-2027</v>
      </c>
      <c r="F124" s="23" t="s">
        <v>123</v>
      </c>
      <c r="G124" s="23" t="s">
        <v>30</v>
      </c>
      <c r="H124" s="24">
        <v>2024021802</v>
      </c>
      <c r="I124" s="25">
        <v>46443</v>
      </c>
      <c r="J124" s="26">
        <f t="shared" si="17"/>
        <v>0</v>
      </c>
      <c r="K124" s="41">
        <v>0</v>
      </c>
      <c r="L124" s="26">
        <f t="shared" si="21"/>
        <v>0</v>
      </c>
      <c r="M124" s="28" t="s">
        <v>19</v>
      </c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30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  <c r="FC124" s="32"/>
      <c r="FD124" s="32"/>
      <c r="FE124" s="32"/>
      <c r="FF124" s="32"/>
      <c r="FG124" s="32"/>
      <c r="FH124" s="32"/>
      <c r="FI124" s="32"/>
      <c r="FJ124" s="32"/>
      <c r="FK124" s="32"/>
      <c r="FL124" s="32"/>
      <c r="FM124" s="32"/>
      <c r="FN124" s="32"/>
      <c r="FO124" s="32"/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32"/>
      <c r="GD124" s="32"/>
      <c r="GE124" s="32"/>
      <c r="GF124" s="32"/>
      <c r="GG124" s="32"/>
      <c r="GH124" s="32"/>
      <c r="GI124" s="32"/>
      <c r="GJ124" s="32"/>
      <c r="GK124" s="32"/>
      <c r="GL124" s="32"/>
      <c r="GM124" s="32"/>
      <c r="GN124" s="32"/>
      <c r="GO124" s="32"/>
      <c r="GP124" s="32"/>
      <c r="GQ124" s="32"/>
      <c r="GR124" s="32"/>
      <c r="GS124" s="32"/>
      <c r="GT124" s="32"/>
      <c r="GU124" s="32"/>
      <c r="GV124" s="32"/>
      <c r="GW124" s="32"/>
      <c r="GX124" s="32"/>
      <c r="GY124" s="32"/>
      <c r="GZ124" s="32"/>
      <c r="HA124" s="32"/>
      <c r="HB124" s="32"/>
      <c r="HC124" s="32"/>
      <c r="HD124" s="32"/>
      <c r="HE124" s="32"/>
      <c r="HF124" s="32"/>
      <c r="HG124" s="32"/>
      <c r="HH124" s="32"/>
      <c r="HI124" s="32"/>
      <c r="HJ124" s="32"/>
      <c r="HK124" s="32"/>
      <c r="HL124" s="32"/>
      <c r="HM124" s="32"/>
      <c r="HN124" s="32"/>
      <c r="HO124" s="32"/>
      <c r="HP124" s="32"/>
      <c r="HQ124" s="32"/>
      <c r="HR124" s="32"/>
      <c r="HS124" s="32"/>
      <c r="HT124" s="32"/>
      <c r="HU124" s="32"/>
      <c r="HV124" s="32"/>
      <c r="HW124" s="32"/>
      <c r="HX124" s="32"/>
      <c r="HY124" s="32"/>
      <c r="HZ124" s="32"/>
      <c r="IA124" s="32"/>
      <c r="IB124" s="32"/>
      <c r="IC124" s="32"/>
      <c r="ID124" s="32"/>
      <c r="IE124" s="32"/>
      <c r="IF124" s="32"/>
      <c r="IG124" s="32"/>
      <c r="IH124" s="32"/>
      <c r="II124" s="32"/>
      <c r="IJ124" s="32"/>
      <c r="IK124" s="32"/>
      <c r="IL124" s="32"/>
      <c r="IM124" s="32"/>
      <c r="IN124" s="32"/>
      <c r="IO124" s="32"/>
      <c r="IP124" s="32"/>
      <c r="IQ124" s="32"/>
      <c r="IR124" s="32"/>
      <c r="IS124" s="32"/>
      <c r="IT124" s="32"/>
      <c r="IU124" s="32"/>
      <c r="IV124" s="32"/>
      <c r="IW124" s="32"/>
      <c r="IX124" s="33"/>
    </row>
    <row r="125" spans="1:258" ht="21.6" x14ac:dyDescent="0.3">
      <c r="A125" s="61" t="s">
        <v>119</v>
      </c>
      <c r="B125" s="23"/>
      <c r="C125" s="23"/>
      <c r="D125" s="23"/>
      <c r="E125" s="22" t="str">
        <f>"Ultrasound Gel 250 ML (Clear)"&amp;CHAR(10)&amp;"LOT # "&amp;H125&amp;" "&amp;"EXP # "&amp;TEXT(I125,"dd-mm-yyyy")</f>
        <v>Ultrasound Gel 250 ML (Clear)
LOT # 2025082005 EXP # 05-08-2028</v>
      </c>
      <c r="F125" s="23" t="s">
        <v>123</v>
      </c>
      <c r="G125" s="23" t="s">
        <v>30</v>
      </c>
      <c r="H125" s="24">
        <v>2025082005</v>
      </c>
      <c r="I125" s="25">
        <v>46970</v>
      </c>
      <c r="J125" s="39">
        <f>K125-L125</f>
        <v>0</v>
      </c>
      <c r="K125" s="41">
        <v>942</v>
      </c>
      <c r="L125" s="26">
        <f t="shared" si="21"/>
        <v>942</v>
      </c>
      <c r="M125" s="28" t="s">
        <v>19</v>
      </c>
      <c r="N125" s="29"/>
      <c r="O125" s="34">
        <f>200</f>
        <v>200</v>
      </c>
      <c r="P125" s="29"/>
      <c r="Q125" s="34">
        <f>200</f>
        <v>200</v>
      </c>
      <c r="R125" s="29"/>
      <c r="S125" s="34">
        <f>50</f>
        <v>50</v>
      </c>
      <c r="T125" s="34">
        <f>200+50</f>
        <v>250</v>
      </c>
      <c r="U125" s="29"/>
      <c r="V125" s="29"/>
      <c r="W125" s="29"/>
      <c r="X125" s="29"/>
      <c r="Y125" s="29"/>
      <c r="Z125" s="29"/>
      <c r="AA125" s="34">
        <f>100</f>
        <v>100</v>
      </c>
      <c r="AB125" s="29"/>
      <c r="AC125" s="29"/>
      <c r="AD125" s="29"/>
      <c r="AE125" s="34">
        <f>100</f>
        <v>100</v>
      </c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35">
        <f>42</f>
        <v>42</v>
      </c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  <c r="EW125" s="32"/>
      <c r="EX125" s="32"/>
      <c r="EY125" s="32"/>
      <c r="EZ125" s="32"/>
      <c r="FA125" s="32"/>
      <c r="FB125" s="32"/>
      <c r="FC125" s="32"/>
      <c r="FD125" s="32"/>
      <c r="FE125" s="32"/>
      <c r="FF125" s="32"/>
      <c r="FG125" s="32"/>
      <c r="FH125" s="32"/>
      <c r="FI125" s="32"/>
      <c r="FJ125" s="32"/>
      <c r="FK125" s="32"/>
      <c r="FL125" s="32"/>
      <c r="FM125" s="32"/>
      <c r="FN125" s="32"/>
      <c r="FO125" s="32"/>
      <c r="FP125" s="32"/>
      <c r="FQ125" s="32"/>
      <c r="FR125" s="32"/>
      <c r="FS125" s="32"/>
      <c r="FT125" s="32"/>
      <c r="FU125" s="32"/>
      <c r="FV125" s="32"/>
      <c r="FW125" s="32"/>
      <c r="FX125" s="32"/>
      <c r="FY125" s="32"/>
      <c r="FZ125" s="32"/>
      <c r="GA125" s="32"/>
      <c r="GB125" s="32"/>
      <c r="GC125" s="32"/>
      <c r="GD125" s="32"/>
      <c r="GE125" s="32"/>
      <c r="GF125" s="32"/>
      <c r="GG125" s="32"/>
      <c r="GH125" s="32"/>
      <c r="GI125" s="32"/>
      <c r="GJ125" s="32"/>
      <c r="GK125" s="32"/>
      <c r="GL125" s="32"/>
      <c r="GM125" s="32"/>
      <c r="GN125" s="32"/>
      <c r="GO125" s="32"/>
      <c r="GP125" s="32"/>
      <c r="GQ125" s="32"/>
      <c r="GR125" s="32"/>
      <c r="GS125" s="32"/>
      <c r="GT125" s="32"/>
      <c r="GU125" s="32"/>
      <c r="GV125" s="32"/>
      <c r="GW125" s="32"/>
      <c r="GX125" s="32"/>
      <c r="GY125" s="32"/>
      <c r="GZ125" s="32"/>
      <c r="HA125" s="32"/>
      <c r="HB125" s="32"/>
      <c r="HC125" s="32"/>
      <c r="HD125" s="32"/>
      <c r="HE125" s="32"/>
      <c r="HF125" s="32"/>
      <c r="HG125" s="32"/>
      <c r="HH125" s="32"/>
      <c r="HI125" s="32"/>
      <c r="HJ125" s="32"/>
      <c r="HK125" s="32"/>
      <c r="HL125" s="32"/>
      <c r="HM125" s="32"/>
      <c r="HN125" s="32"/>
      <c r="HO125" s="32"/>
      <c r="HP125" s="32"/>
      <c r="HQ125" s="32"/>
      <c r="HR125" s="32"/>
      <c r="HS125" s="32"/>
      <c r="HT125" s="32"/>
      <c r="HU125" s="32"/>
      <c r="HV125" s="32"/>
      <c r="HW125" s="32"/>
      <c r="HX125" s="32"/>
      <c r="HY125" s="32"/>
      <c r="HZ125" s="32"/>
      <c r="IA125" s="32"/>
      <c r="IB125" s="32"/>
      <c r="IC125" s="32"/>
      <c r="ID125" s="32"/>
      <c r="IE125" s="32"/>
      <c r="IF125" s="32"/>
      <c r="IG125" s="32"/>
      <c r="IH125" s="32"/>
      <c r="II125" s="32"/>
      <c r="IJ125" s="32"/>
      <c r="IK125" s="32"/>
      <c r="IL125" s="32"/>
      <c r="IM125" s="32"/>
      <c r="IN125" s="32"/>
      <c r="IO125" s="32"/>
      <c r="IP125" s="32"/>
      <c r="IQ125" s="32"/>
      <c r="IR125" s="32"/>
      <c r="IS125" s="32"/>
      <c r="IT125" s="32"/>
      <c r="IU125" s="32"/>
      <c r="IV125" s="32"/>
      <c r="IW125" s="32"/>
      <c r="IX125" s="33"/>
    </row>
    <row r="126" spans="1:258" ht="21.6" x14ac:dyDescent="0.3">
      <c r="A126" s="61" t="s">
        <v>119</v>
      </c>
      <c r="B126" s="23" t="s">
        <v>120</v>
      </c>
      <c r="C126" s="23" t="s">
        <v>121</v>
      </c>
      <c r="D126" s="23" t="s">
        <v>121</v>
      </c>
      <c r="E126" s="22" t="str">
        <f>"Ultrasound Gel 250 ML (Clear)"&amp;CHAR(10)&amp;"LOT # "&amp;H126&amp;" "&amp;"EXP # "&amp;TEXT(I126,"dd-mm-yyyy")</f>
        <v>Ultrasound Gel 250 ML (Clear)
LOT # 2024101503 EXP # 20-10-2027</v>
      </c>
      <c r="F126" s="23" t="s">
        <v>123</v>
      </c>
      <c r="G126" s="23" t="s">
        <v>18</v>
      </c>
      <c r="H126" s="24">
        <v>2024101503</v>
      </c>
      <c r="I126" s="25">
        <v>46680</v>
      </c>
      <c r="J126" s="26">
        <f t="shared" si="17"/>
        <v>232</v>
      </c>
      <c r="K126" s="41">
        <v>390</v>
      </c>
      <c r="L126" s="26">
        <f t="shared" si="21"/>
        <v>158</v>
      </c>
      <c r="M126" s="26">
        <f>SUM(J124:J126)</f>
        <v>232</v>
      </c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34">
        <f>50</f>
        <v>50</v>
      </c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35">
        <f>58+50</f>
        <v>108</v>
      </c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32"/>
      <c r="GD126" s="32"/>
      <c r="GE126" s="32"/>
      <c r="GF126" s="32"/>
      <c r="GG126" s="32"/>
      <c r="GH126" s="32"/>
      <c r="GI126" s="32"/>
      <c r="GJ126" s="32"/>
      <c r="GK126" s="32"/>
      <c r="GL126" s="32"/>
      <c r="GM126" s="32"/>
      <c r="GN126" s="32"/>
      <c r="GO126" s="32"/>
      <c r="GP126" s="32"/>
      <c r="GQ126" s="32"/>
      <c r="GR126" s="32"/>
      <c r="GS126" s="32"/>
      <c r="GT126" s="32"/>
      <c r="GU126" s="32"/>
      <c r="GV126" s="32"/>
      <c r="GW126" s="32"/>
      <c r="GX126" s="32"/>
      <c r="GY126" s="32"/>
      <c r="GZ126" s="32"/>
      <c r="HA126" s="32"/>
      <c r="HB126" s="32"/>
      <c r="HC126" s="32"/>
      <c r="HD126" s="32"/>
      <c r="HE126" s="32"/>
      <c r="HF126" s="32"/>
      <c r="HG126" s="32"/>
      <c r="HH126" s="32"/>
      <c r="HI126" s="32"/>
      <c r="HJ126" s="32"/>
      <c r="HK126" s="32"/>
      <c r="HL126" s="32"/>
      <c r="HM126" s="32"/>
      <c r="HN126" s="32"/>
      <c r="HO126" s="32"/>
      <c r="HP126" s="32"/>
      <c r="HQ126" s="32"/>
      <c r="HR126" s="32"/>
      <c r="HS126" s="32"/>
      <c r="HT126" s="32"/>
      <c r="HU126" s="32"/>
      <c r="HV126" s="32"/>
      <c r="HW126" s="32"/>
      <c r="HX126" s="32"/>
      <c r="HY126" s="32"/>
      <c r="HZ126" s="32"/>
      <c r="IA126" s="32"/>
      <c r="IB126" s="32"/>
      <c r="IC126" s="32"/>
      <c r="ID126" s="32"/>
      <c r="IE126" s="32"/>
      <c r="IF126" s="32"/>
      <c r="IG126" s="32"/>
      <c r="IH126" s="32"/>
      <c r="II126" s="32"/>
      <c r="IJ126" s="32"/>
      <c r="IK126" s="32"/>
      <c r="IL126" s="32"/>
      <c r="IM126" s="32"/>
      <c r="IN126" s="32"/>
      <c r="IO126" s="32"/>
      <c r="IP126" s="32"/>
      <c r="IQ126" s="32"/>
      <c r="IR126" s="32"/>
      <c r="IS126" s="32"/>
      <c r="IT126" s="32"/>
      <c r="IU126" s="32"/>
      <c r="IV126" s="32"/>
      <c r="IW126" s="32"/>
      <c r="IX126" s="33"/>
    </row>
    <row r="127" spans="1:258" ht="21.6" x14ac:dyDescent="0.3">
      <c r="A127" s="61" t="s">
        <v>124</v>
      </c>
      <c r="B127" s="23" t="s">
        <v>120</v>
      </c>
      <c r="C127" s="23" t="s">
        <v>125</v>
      </c>
      <c r="D127" s="23" t="s">
        <v>125</v>
      </c>
      <c r="E127" s="22" t="str">
        <f>"Ultrasound Gel 250 ML (Blue)"&amp;CHAR(10)&amp;"LOT # "&amp;H127&amp;" "&amp;"EXP # "&amp;TEXT(I127,"dd-mm-yyyy")</f>
        <v>Ultrasound Gel 250 ML (Blue)
LOT # 2024101503 EXP # 20-10-2027</v>
      </c>
      <c r="F127" s="23" t="s">
        <v>123</v>
      </c>
      <c r="G127" s="23" t="s">
        <v>30</v>
      </c>
      <c r="H127" s="24">
        <v>2024101503</v>
      </c>
      <c r="I127" s="25">
        <v>46680</v>
      </c>
      <c r="J127" s="39">
        <f>K127-L127</f>
        <v>0</v>
      </c>
      <c r="K127" s="41">
        <v>0</v>
      </c>
      <c r="L127" s="26">
        <f t="shared" si="21"/>
        <v>0</v>
      </c>
      <c r="M127" s="28" t="s">
        <v>19</v>
      </c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30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32"/>
      <c r="GI127" s="32"/>
      <c r="GJ127" s="32"/>
      <c r="GK127" s="32"/>
      <c r="GL127" s="32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  <c r="GY127" s="32"/>
      <c r="GZ127" s="32"/>
      <c r="HA127" s="32"/>
      <c r="HB127" s="32"/>
      <c r="HC127" s="32"/>
      <c r="HD127" s="32"/>
      <c r="HE127" s="32"/>
      <c r="HF127" s="32"/>
      <c r="HG127" s="32"/>
      <c r="HH127" s="32"/>
      <c r="HI127" s="32"/>
      <c r="HJ127" s="32"/>
      <c r="HK127" s="32"/>
      <c r="HL127" s="32"/>
      <c r="HM127" s="32"/>
      <c r="HN127" s="32"/>
      <c r="HO127" s="32"/>
      <c r="HP127" s="32"/>
      <c r="HQ127" s="32"/>
      <c r="HR127" s="32"/>
      <c r="HS127" s="32"/>
      <c r="HT127" s="32"/>
      <c r="HU127" s="32"/>
      <c r="HV127" s="32"/>
      <c r="HW127" s="32"/>
      <c r="HX127" s="32"/>
      <c r="HY127" s="32"/>
      <c r="HZ127" s="32"/>
      <c r="IA127" s="32"/>
      <c r="IB127" s="32"/>
      <c r="IC127" s="32"/>
      <c r="ID127" s="32"/>
      <c r="IE127" s="32"/>
      <c r="IF127" s="32"/>
      <c r="IG127" s="32"/>
      <c r="IH127" s="32"/>
      <c r="II127" s="32"/>
      <c r="IJ127" s="32"/>
      <c r="IK127" s="32"/>
      <c r="IL127" s="32"/>
      <c r="IM127" s="32"/>
      <c r="IN127" s="32"/>
      <c r="IO127" s="32"/>
      <c r="IP127" s="32"/>
      <c r="IQ127" s="32"/>
      <c r="IR127" s="32"/>
      <c r="IS127" s="32"/>
      <c r="IT127" s="32"/>
      <c r="IU127" s="32"/>
      <c r="IV127" s="32"/>
      <c r="IW127" s="32"/>
      <c r="IX127" s="33"/>
    </row>
    <row r="128" spans="1:258" ht="21.6" x14ac:dyDescent="0.3">
      <c r="A128" s="61" t="s">
        <v>124</v>
      </c>
      <c r="B128" s="23" t="s">
        <v>120</v>
      </c>
      <c r="C128" s="23" t="s">
        <v>125</v>
      </c>
      <c r="D128" s="23" t="s">
        <v>125</v>
      </c>
      <c r="E128" s="22" t="str">
        <f t="shared" ref="E128:E130" si="26">"Ultrasound Gel 250 ML (Blue)"&amp;CHAR(10)&amp;"LOT # "&amp;H128&amp;" "&amp;"EXP # "&amp;TEXT(I128,"dd-mm-yyyy")</f>
        <v>Ultrasound Gel 250 ML (Blue)
LOT # 2025080604 EXP # 05-08-2028</v>
      </c>
      <c r="F128" s="23" t="s">
        <v>123</v>
      </c>
      <c r="G128" s="23" t="s">
        <v>18</v>
      </c>
      <c r="H128" s="24">
        <v>2025080604</v>
      </c>
      <c r="I128" s="25">
        <v>46970</v>
      </c>
      <c r="J128" s="39">
        <f>K128-L128</f>
        <v>34</v>
      </c>
      <c r="K128" s="41">
        <v>184</v>
      </c>
      <c r="L128" s="26">
        <f t="shared" si="21"/>
        <v>150</v>
      </c>
      <c r="M128" s="28" t="s">
        <v>19</v>
      </c>
      <c r="N128" s="29"/>
      <c r="O128" s="29"/>
      <c r="P128" s="29"/>
      <c r="Q128" s="29"/>
      <c r="R128" s="29"/>
      <c r="S128" s="29"/>
      <c r="T128" s="34">
        <f>100</f>
        <v>100</v>
      </c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34">
        <f>50</f>
        <v>50</v>
      </c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30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  <c r="GY128" s="32"/>
      <c r="GZ128" s="32"/>
      <c r="HA128" s="32"/>
      <c r="HB128" s="32"/>
      <c r="HC128" s="32"/>
      <c r="HD128" s="32"/>
      <c r="HE128" s="32"/>
      <c r="HF128" s="32"/>
      <c r="HG128" s="32"/>
      <c r="HH128" s="32"/>
      <c r="HI128" s="32"/>
      <c r="HJ128" s="32"/>
      <c r="HK128" s="32"/>
      <c r="HL128" s="32"/>
      <c r="HM128" s="32"/>
      <c r="HN128" s="32"/>
      <c r="HO128" s="32"/>
      <c r="HP128" s="32"/>
      <c r="HQ128" s="32"/>
      <c r="HR128" s="32"/>
      <c r="HS128" s="32"/>
      <c r="HT128" s="32"/>
      <c r="HU128" s="32"/>
      <c r="HV128" s="32"/>
      <c r="HW128" s="32"/>
      <c r="HX128" s="32"/>
      <c r="HY128" s="32"/>
      <c r="HZ128" s="32"/>
      <c r="IA128" s="32"/>
      <c r="IB128" s="32"/>
      <c r="IC128" s="32"/>
      <c r="ID128" s="32"/>
      <c r="IE128" s="32"/>
      <c r="IF128" s="32"/>
      <c r="IG128" s="32"/>
      <c r="IH128" s="32"/>
      <c r="II128" s="32"/>
      <c r="IJ128" s="32"/>
      <c r="IK128" s="32"/>
      <c r="IL128" s="32"/>
      <c r="IM128" s="32"/>
      <c r="IN128" s="32"/>
      <c r="IO128" s="32"/>
      <c r="IP128" s="32"/>
      <c r="IQ128" s="32"/>
      <c r="IR128" s="32"/>
      <c r="IS128" s="32"/>
      <c r="IT128" s="32"/>
      <c r="IU128" s="32"/>
      <c r="IV128" s="32"/>
      <c r="IW128" s="32"/>
      <c r="IX128" s="33"/>
    </row>
    <row r="129" spans="1:258" ht="21.6" x14ac:dyDescent="0.3">
      <c r="A129" s="61" t="s">
        <v>124</v>
      </c>
      <c r="B129" s="23"/>
      <c r="C129" s="23"/>
      <c r="D129" s="23"/>
      <c r="E129" s="22" t="str">
        <f t="shared" si="26"/>
        <v>Ultrasound Gel 250 ML (Blue)
LOT # 2025040605 EXP # 05-04-2028</v>
      </c>
      <c r="F129" s="23" t="s">
        <v>123</v>
      </c>
      <c r="G129" s="23" t="s">
        <v>30</v>
      </c>
      <c r="H129" s="24">
        <v>2025040605</v>
      </c>
      <c r="I129" s="25">
        <v>46848</v>
      </c>
      <c r="J129" s="39">
        <f>K129-L129</f>
        <v>0</v>
      </c>
      <c r="K129" s="41">
        <v>0</v>
      </c>
      <c r="L129" s="26">
        <f t="shared" si="21"/>
        <v>0</v>
      </c>
      <c r="M129" s="28" t="s">
        <v>19</v>
      </c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30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2"/>
      <c r="HH129" s="32"/>
      <c r="HI129" s="32"/>
      <c r="HJ129" s="32"/>
      <c r="HK129" s="32"/>
      <c r="HL129" s="32"/>
      <c r="HM129" s="32"/>
      <c r="HN129" s="32"/>
      <c r="HO129" s="32"/>
      <c r="HP129" s="32"/>
      <c r="HQ129" s="32"/>
      <c r="HR129" s="32"/>
      <c r="HS129" s="32"/>
      <c r="HT129" s="32"/>
      <c r="HU129" s="32"/>
      <c r="HV129" s="32"/>
      <c r="HW129" s="32"/>
      <c r="HX129" s="32"/>
      <c r="HY129" s="32"/>
      <c r="HZ129" s="32"/>
      <c r="IA129" s="32"/>
      <c r="IB129" s="32"/>
      <c r="IC129" s="32"/>
      <c r="ID129" s="32"/>
      <c r="IE129" s="32"/>
      <c r="IF129" s="32"/>
      <c r="IG129" s="32"/>
      <c r="IH129" s="32"/>
      <c r="II129" s="32"/>
      <c r="IJ129" s="32"/>
      <c r="IK129" s="32"/>
      <c r="IL129" s="32"/>
      <c r="IM129" s="32"/>
      <c r="IN129" s="32"/>
      <c r="IO129" s="32"/>
      <c r="IP129" s="32"/>
      <c r="IQ129" s="32"/>
      <c r="IR129" s="32"/>
      <c r="IS129" s="32"/>
      <c r="IT129" s="32"/>
      <c r="IU129" s="32"/>
      <c r="IV129" s="32"/>
      <c r="IW129" s="32"/>
      <c r="IX129" s="33"/>
    </row>
    <row r="130" spans="1:258" ht="21.6" x14ac:dyDescent="0.3">
      <c r="A130" s="61" t="s">
        <v>124</v>
      </c>
      <c r="B130" s="23" t="s">
        <v>120</v>
      </c>
      <c r="C130" s="23" t="s">
        <v>125</v>
      </c>
      <c r="D130" s="23" t="s">
        <v>125</v>
      </c>
      <c r="E130" s="22" t="str">
        <f t="shared" si="26"/>
        <v>Ultrasound Gel 250 ML (Blue)
LOT # 2024031402 EXP # 20-03-2027</v>
      </c>
      <c r="F130" s="23" t="s">
        <v>123</v>
      </c>
      <c r="G130" s="23" t="s">
        <v>30</v>
      </c>
      <c r="H130" s="24">
        <v>2024031402</v>
      </c>
      <c r="I130" s="25">
        <v>46466</v>
      </c>
      <c r="J130" s="26">
        <f t="shared" si="17"/>
        <v>0</v>
      </c>
      <c r="K130" s="41">
        <v>0</v>
      </c>
      <c r="L130" s="26">
        <f t="shared" si="21"/>
        <v>0</v>
      </c>
      <c r="M130" s="26">
        <f>SUM(J127:J130)</f>
        <v>34</v>
      </c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30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  <c r="FY130" s="32"/>
      <c r="FZ130" s="32"/>
      <c r="GA130" s="32"/>
      <c r="GB130" s="32"/>
      <c r="GC130" s="32"/>
      <c r="GD130" s="32"/>
      <c r="GE130" s="32"/>
      <c r="GF130" s="32"/>
      <c r="GG130" s="32"/>
      <c r="GH130" s="32"/>
      <c r="GI130" s="32"/>
      <c r="GJ130" s="32"/>
      <c r="GK130" s="32"/>
      <c r="GL130" s="32"/>
      <c r="GM130" s="32"/>
      <c r="GN130" s="32"/>
      <c r="GO130" s="32"/>
      <c r="GP130" s="32"/>
      <c r="GQ130" s="32"/>
      <c r="GR130" s="32"/>
      <c r="GS130" s="32"/>
      <c r="GT130" s="32"/>
      <c r="GU130" s="32"/>
      <c r="GV130" s="32"/>
      <c r="GW130" s="32"/>
      <c r="GX130" s="32"/>
      <c r="GY130" s="32"/>
      <c r="GZ130" s="32"/>
      <c r="HA130" s="32"/>
      <c r="HB130" s="32"/>
      <c r="HC130" s="32"/>
      <c r="HD130" s="32"/>
      <c r="HE130" s="32"/>
      <c r="HF130" s="32"/>
      <c r="HG130" s="32"/>
      <c r="HH130" s="32"/>
      <c r="HI130" s="32"/>
      <c r="HJ130" s="32"/>
      <c r="HK130" s="32"/>
      <c r="HL130" s="32"/>
      <c r="HM130" s="32"/>
      <c r="HN130" s="32"/>
      <c r="HO130" s="32"/>
      <c r="HP130" s="32"/>
      <c r="HQ130" s="32"/>
      <c r="HR130" s="32"/>
      <c r="HS130" s="32"/>
      <c r="HT130" s="32"/>
      <c r="HU130" s="32"/>
      <c r="HV130" s="32"/>
      <c r="HW130" s="32"/>
      <c r="HX130" s="32"/>
      <c r="HY130" s="32"/>
      <c r="HZ130" s="32"/>
      <c r="IA130" s="32"/>
      <c r="IB130" s="32"/>
      <c r="IC130" s="32"/>
      <c r="ID130" s="32"/>
      <c r="IE130" s="32"/>
      <c r="IF130" s="32"/>
      <c r="IG130" s="32"/>
      <c r="IH130" s="32"/>
      <c r="II130" s="32"/>
      <c r="IJ130" s="32"/>
      <c r="IK130" s="32"/>
      <c r="IL130" s="32"/>
      <c r="IM130" s="32"/>
      <c r="IN130" s="32"/>
      <c r="IO130" s="32"/>
      <c r="IP130" s="32"/>
      <c r="IQ130" s="32"/>
      <c r="IR130" s="32"/>
      <c r="IS130" s="32"/>
      <c r="IT130" s="32"/>
      <c r="IU130" s="32"/>
      <c r="IV130" s="32"/>
      <c r="IW130" s="32"/>
      <c r="IX130" s="33"/>
    </row>
    <row r="131" spans="1:258" ht="21.6" x14ac:dyDescent="0.3">
      <c r="A131" s="61" t="s">
        <v>127</v>
      </c>
      <c r="B131" s="23" t="s">
        <v>120</v>
      </c>
      <c r="C131" s="23" t="s">
        <v>128</v>
      </c>
      <c r="D131" s="23" t="s">
        <v>128</v>
      </c>
      <c r="E131" s="22" t="str">
        <f>"Ultrasound Gel 5 L (Clear)"&amp;CHAR(10)&amp;"LOT # "&amp;H131&amp;" "&amp;"EXP # "&amp;TEXT(I131,"dd-mm-yyyy")</f>
        <v>Ultrasound Gel 5 L (Clear)
LOT # 210104001 EXP # 03-01-2024</v>
      </c>
      <c r="F131" s="23" t="s">
        <v>123</v>
      </c>
      <c r="G131" s="23" t="s">
        <v>30</v>
      </c>
      <c r="H131" s="24">
        <v>210104001</v>
      </c>
      <c r="I131" s="25">
        <v>45294</v>
      </c>
      <c r="J131" s="26">
        <f t="shared" si="17"/>
        <v>0</v>
      </c>
      <c r="K131" s="41">
        <v>0</v>
      </c>
      <c r="L131" s="26">
        <f t="shared" si="21"/>
        <v>0</v>
      </c>
      <c r="M131" s="26">
        <f>SUM(J131)</f>
        <v>0</v>
      </c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30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2"/>
      <c r="GI131" s="32"/>
      <c r="GJ131" s="32"/>
      <c r="GK131" s="32"/>
      <c r="GL131" s="32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2"/>
      <c r="GY131" s="32"/>
      <c r="GZ131" s="32"/>
      <c r="HA131" s="32"/>
      <c r="HB131" s="32"/>
      <c r="HC131" s="32"/>
      <c r="HD131" s="32"/>
      <c r="HE131" s="32"/>
      <c r="HF131" s="32"/>
      <c r="HG131" s="32"/>
      <c r="HH131" s="32"/>
      <c r="HI131" s="32"/>
      <c r="HJ131" s="32"/>
      <c r="HK131" s="32"/>
      <c r="HL131" s="32"/>
      <c r="HM131" s="32"/>
      <c r="HN131" s="32"/>
      <c r="HO131" s="32"/>
      <c r="HP131" s="32"/>
      <c r="HQ131" s="32"/>
      <c r="HR131" s="32"/>
      <c r="HS131" s="32"/>
      <c r="HT131" s="32"/>
      <c r="HU131" s="32"/>
      <c r="HV131" s="32"/>
      <c r="HW131" s="32"/>
      <c r="HX131" s="32"/>
      <c r="HY131" s="32"/>
      <c r="HZ131" s="32"/>
      <c r="IA131" s="32"/>
      <c r="IB131" s="32"/>
      <c r="IC131" s="32"/>
      <c r="ID131" s="32"/>
      <c r="IE131" s="32"/>
      <c r="IF131" s="32"/>
      <c r="IG131" s="32"/>
      <c r="IH131" s="32"/>
      <c r="II131" s="32"/>
      <c r="IJ131" s="32"/>
      <c r="IK131" s="32"/>
      <c r="IL131" s="32"/>
      <c r="IM131" s="32"/>
      <c r="IN131" s="32"/>
      <c r="IO131" s="32"/>
      <c r="IP131" s="32"/>
      <c r="IQ131" s="32"/>
      <c r="IR131" s="32"/>
      <c r="IS131" s="32"/>
      <c r="IT131" s="32"/>
      <c r="IU131" s="32"/>
      <c r="IV131" s="32"/>
      <c r="IW131" s="32"/>
      <c r="IX131" s="33"/>
    </row>
    <row r="132" spans="1:258" ht="21.6" x14ac:dyDescent="0.3">
      <c r="A132" s="61" t="s">
        <v>129</v>
      </c>
      <c r="B132" s="23" t="s">
        <v>120</v>
      </c>
      <c r="C132" s="23" t="s">
        <v>130</v>
      </c>
      <c r="D132" s="23" t="s">
        <v>130</v>
      </c>
      <c r="E132" s="22" t="str">
        <f>"Ultrasound Gel 5 L (Blue)"&amp;CHAR(10)&amp;"LOT # "&amp;H132&amp;" "&amp;"EXP # "&amp;TEXT(I132,"dd-mm-yyyy")</f>
        <v>Ultrasound Gel 5 L (Blue)
LOT # 210104001 EXP # 03-01-2024</v>
      </c>
      <c r="F132" s="23" t="s">
        <v>123</v>
      </c>
      <c r="G132" s="23" t="s">
        <v>30</v>
      </c>
      <c r="H132" s="24">
        <v>210104001</v>
      </c>
      <c r="I132" s="25">
        <v>45294</v>
      </c>
      <c r="J132" s="39">
        <f>K132-L132</f>
        <v>0</v>
      </c>
      <c r="K132" s="41">
        <v>0</v>
      </c>
      <c r="L132" s="26">
        <f t="shared" si="21"/>
        <v>0</v>
      </c>
      <c r="M132" s="26">
        <f>SUM(J132)</f>
        <v>0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30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  <c r="FY132" s="32"/>
      <c r="FZ132" s="32"/>
      <c r="GA132" s="32"/>
      <c r="GB132" s="32"/>
      <c r="GC132" s="32"/>
      <c r="GD132" s="32"/>
      <c r="GE132" s="32"/>
      <c r="GF132" s="32"/>
      <c r="GG132" s="32"/>
      <c r="GH132" s="32"/>
      <c r="GI132" s="32"/>
      <c r="GJ132" s="32"/>
      <c r="GK132" s="32"/>
      <c r="GL132" s="32"/>
      <c r="GM132" s="32"/>
      <c r="GN132" s="32"/>
      <c r="GO132" s="32"/>
      <c r="GP132" s="32"/>
      <c r="GQ132" s="32"/>
      <c r="GR132" s="32"/>
      <c r="GS132" s="32"/>
      <c r="GT132" s="32"/>
      <c r="GU132" s="32"/>
      <c r="GV132" s="32"/>
      <c r="GW132" s="32"/>
      <c r="GX132" s="32"/>
      <c r="GY132" s="32"/>
      <c r="GZ132" s="32"/>
      <c r="HA132" s="32"/>
      <c r="HB132" s="32"/>
      <c r="HC132" s="32"/>
      <c r="HD132" s="32"/>
      <c r="HE132" s="32"/>
      <c r="HF132" s="32"/>
      <c r="HG132" s="32"/>
      <c r="HH132" s="32"/>
      <c r="HI132" s="32"/>
      <c r="HJ132" s="32"/>
      <c r="HK132" s="32"/>
      <c r="HL132" s="32"/>
      <c r="HM132" s="32"/>
      <c r="HN132" s="32"/>
      <c r="HO132" s="32"/>
      <c r="HP132" s="32"/>
      <c r="HQ132" s="32"/>
      <c r="HR132" s="32"/>
      <c r="HS132" s="32"/>
      <c r="HT132" s="32"/>
      <c r="HU132" s="32"/>
      <c r="HV132" s="32"/>
      <c r="HW132" s="32"/>
      <c r="HX132" s="32"/>
      <c r="HY132" s="32"/>
      <c r="HZ132" s="32"/>
      <c r="IA132" s="32"/>
      <c r="IB132" s="32"/>
      <c r="IC132" s="32"/>
      <c r="ID132" s="32"/>
      <c r="IE132" s="32"/>
      <c r="IF132" s="32"/>
      <c r="IG132" s="32"/>
      <c r="IH132" s="32"/>
      <c r="II132" s="32"/>
      <c r="IJ132" s="32"/>
      <c r="IK132" s="32"/>
      <c r="IL132" s="32"/>
      <c r="IM132" s="32"/>
      <c r="IN132" s="32"/>
      <c r="IO132" s="32"/>
      <c r="IP132" s="32"/>
      <c r="IQ132" s="32"/>
      <c r="IR132" s="32"/>
      <c r="IS132" s="32"/>
      <c r="IT132" s="32"/>
      <c r="IU132" s="32"/>
      <c r="IV132" s="32"/>
      <c r="IW132" s="32"/>
      <c r="IX132" s="33"/>
    </row>
    <row r="133" spans="1:258" ht="21.6" x14ac:dyDescent="0.3">
      <c r="A133" s="61" t="s">
        <v>131</v>
      </c>
      <c r="B133" s="23" t="s">
        <v>132</v>
      </c>
      <c r="C133" s="23" t="s">
        <v>133</v>
      </c>
      <c r="D133" s="23" t="s">
        <v>133</v>
      </c>
      <c r="E133" s="22" t="str">
        <f>"Gauze Swab Non -Sterile - 5x5-12Ply -13 Threads (100 Pcs/Pack, 100 Packs/Ctn)"&amp;CHAR(10)&amp;"LOT # "&amp;H133&amp;" "&amp;"EXP # "&amp;TEXT(I133,"mm-yyyy")</f>
        <v>Gauze Swab Non -Sterile - 5x5-12Ply -13 Threads (100 Pcs/Pack, 100 Packs/Ctn)
LOT # HD202412 EXP # 11-2029</v>
      </c>
      <c r="F133" s="23" t="s">
        <v>135</v>
      </c>
      <c r="G133" s="23" t="s">
        <v>18</v>
      </c>
      <c r="H133" s="24" t="s">
        <v>140</v>
      </c>
      <c r="I133" s="40">
        <v>47423</v>
      </c>
      <c r="J133" s="26">
        <f t="shared" si="17"/>
        <v>2682</v>
      </c>
      <c r="K133" s="41">
        <v>2682</v>
      </c>
      <c r="L133" s="26">
        <f t="shared" si="21"/>
        <v>0</v>
      </c>
      <c r="M133" s="28" t="s">
        <v>19</v>
      </c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30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32"/>
      <c r="FC133" s="32"/>
      <c r="FD133" s="32"/>
      <c r="FE133" s="32"/>
      <c r="FF133" s="32"/>
      <c r="FG133" s="32"/>
      <c r="FH133" s="32"/>
      <c r="FI133" s="32"/>
      <c r="FJ133" s="32"/>
      <c r="FK133" s="32"/>
      <c r="FL133" s="32"/>
      <c r="FM133" s="32"/>
      <c r="FN133" s="32"/>
      <c r="FO133" s="32"/>
      <c r="FP133" s="32"/>
      <c r="FQ133" s="32"/>
      <c r="FR133" s="32"/>
      <c r="FS133" s="32"/>
      <c r="FT133" s="32"/>
      <c r="FU133" s="32"/>
      <c r="FV133" s="32"/>
      <c r="FW133" s="32"/>
      <c r="FX133" s="32"/>
      <c r="FY133" s="32"/>
      <c r="FZ133" s="32"/>
      <c r="GA133" s="32"/>
      <c r="GB133" s="32"/>
      <c r="GC133" s="32"/>
      <c r="GD133" s="32"/>
      <c r="GE133" s="32"/>
      <c r="GF133" s="32"/>
      <c r="GG133" s="32"/>
      <c r="GH133" s="32"/>
      <c r="GI133" s="32"/>
      <c r="GJ133" s="32"/>
      <c r="GK133" s="32"/>
      <c r="GL133" s="32"/>
      <c r="GM133" s="32"/>
      <c r="GN133" s="32"/>
      <c r="GO133" s="32"/>
      <c r="GP133" s="32"/>
      <c r="GQ133" s="32"/>
      <c r="GR133" s="32"/>
      <c r="GS133" s="32"/>
      <c r="GT133" s="32"/>
      <c r="GU133" s="32"/>
      <c r="GV133" s="32"/>
      <c r="GW133" s="32"/>
      <c r="GX133" s="32"/>
      <c r="GY133" s="32"/>
      <c r="GZ133" s="32"/>
      <c r="HA133" s="32"/>
      <c r="HB133" s="32"/>
      <c r="HC133" s="32"/>
      <c r="HD133" s="32"/>
      <c r="HE133" s="32"/>
      <c r="HF133" s="32"/>
      <c r="HG133" s="32"/>
      <c r="HH133" s="32"/>
      <c r="HI133" s="32"/>
      <c r="HJ133" s="32"/>
      <c r="HK133" s="32"/>
      <c r="HL133" s="32"/>
      <c r="HM133" s="32"/>
      <c r="HN133" s="32"/>
      <c r="HO133" s="32"/>
      <c r="HP133" s="32"/>
      <c r="HQ133" s="32"/>
      <c r="HR133" s="32"/>
      <c r="HS133" s="32"/>
      <c r="HT133" s="32"/>
      <c r="HU133" s="32"/>
      <c r="HV133" s="32"/>
      <c r="HW133" s="32"/>
      <c r="HX133" s="32"/>
      <c r="HY133" s="32"/>
      <c r="HZ133" s="32"/>
      <c r="IA133" s="32"/>
      <c r="IB133" s="32"/>
      <c r="IC133" s="32"/>
      <c r="ID133" s="32"/>
      <c r="IE133" s="32"/>
      <c r="IF133" s="32"/>
      <c r="IG133" s="32"/>
      <c r="IH133" s="32"/>
      <c r="II133" s="32"/>
      <c r="IJ133" s="32"/>
      <c r="IK133" s="32"/>
      <c r="IL133" s="32"/>
      <c r="IM133" s="32"/>
      <c r="IN133" s="32"/>
      <c r="IO133" s="32"/>
      <c r="IP133" s="32"/>
      <c r="IQ133" s="32"/>
      <c r="IR133" s="32"/>
      <c r="IS133" s="32"/>
      <c r="IT133" s="32"/>
      <c r="IU133" s="32"/>
      <c r="IV133" s="32"/>
      <c r="IW133" s="32"/>
      <c r="IX133" s="33"/>
    </row>
    <row r="134" spans="1:258" ht="21.6" x14ac:dyDescent="0.3">
      <c r="A134" s="61" t="s">
        <v>131</v>
      </c>
      <c r="B134" s="23" t="s">
        <v>132</v>
      </c>
      <c r="C134" s="23" t="s">
        <v>133</v>
      </c>
      <c r="D134" s="23" t="s">
        <v>133</v>
      </c>
      <c r="E134" s="22" t="str">
        <f>"Gauze Swab Non -Sterile - 5x5-12Ply -13 Threads (100 Pcs/Pack, 100 Packs/Ctn)"&amp;CHAR(10)&amp;"LOT # "&amp;H134&amp;" "&amp;"EXP # "&amp;TEXT(I134,"mm-yyyy")</f>
        <v>Gauze Swab Non -Sterile - 5x5-12Ply -13 Threads (100 Pcs/Pack, 100 Packs/Ctn)
LOT # HD202404 EXP # 03-2029</v>
      </c>
      <c r="F134" s="23" t="s">
        <v>135</v>
      </c>
      <c r="G134" s="23" t="s">
        <v>30</v>
      </c>
      <c r="H134" s="24" t="s">
        <v>136</v>
      </c>
      <c r="I134" s="40">
        <v>47178</v>
      </c>
      <c r="J134" s="26">
        <f t="shared" si="17"/>
        <v>0</v>
      </c>
      <c r="K134" s="41">
        <v>0</v>
      </c>
      <c r="L134" s="26">
        <f t="shared" si="21"/>
        <v>0</v>
      </c>
      <c r="M134" s="26">
        <f>SUM(J133:J134)</f>
        <v>2682</v>
      </c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30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  <c r="EW134" s="32"/>
      <c r="EX134" s="32"/>
      <c r="EY134" s="32"/>
      <c r="EZ134" s="32"/>
      <c r="FA134" s="32"/>
      <c r="FB134" s="32"/>
      <c r="FC134" s="32"/>
      <c r="FD134" s="32"/>
      <c r="FE134" s="32"/>
      <c r="FF134" s="32"/>
      <c r="FG134" s="32"/>
      <c r="FH134" s="32"/>
      <c r="FI134" s="32"/>
      <c r="FJ134" s="32"/>
      <c r="FK134" s="32"/>
      <c r="FL134" s="32"/>
      <c r="FM134" s="32"/>
      <c r="FN134" s="32"/>
      <c r="FO134" s="32"/>
      <c r="FP134" s="32"/>
      <c r="FQ134" s="32"/>
      <c r="FR134" s="32"/>
      <c r="FS134" s="32"/>
      <c r="FT134" s="32"/>
      <c r="FU134" s="32"/>
      <c r="FV134" s="32"/>
      <c r="FW134" s="32"/>
      <c r="FX134" s="32"/>
      <c r="FY134" s="32"/>
      <c r="FZ134" s="32"/>
      <c r="GA134" s="32"/>
      <c r="GB134" s="32"/>
      <c r="GC134" s="32"/>
      <c r="GD134" s="32"/>
      <c r="GE134" s="32"/>
      <c r="GF134" s="32"/>
      <c r="GG134" s="32"/>
      <c r="GH134" s="32"/>
      <c r="GI134" s="32"/>
      <c r="GJ134" s="32"/>
      <c r="GK134" s="32"/>
      <c r="GL134" s="32"/>
      <c r="GM134" s="32"/>
      <c r="GN134" s="32"/>
      <c r="GO134" s="32"/>
      <c r="GP134" s="32"/>
      <c r="GQ134" s="32"/>
      <c r="GR134" s="32"/>
      <c r="GS134" s="32"/>
      <c r="GT134" s="32"/>
      <c r="GU134" s="32"/>
      <c r="GV134" s="32"/>
      <c r="GW134" s="32"/>
      <c r="GX134" s="32"/>
      <c r="GY134" s="32"/>
      <c r="GZ134" s="32"/>
      <c r="HA134" s="32"/>
      <c r="HB134" s="32"/>
      <c r="HC134" s="32"/>
      <c r="HD134" s="32"/>
      <c r="HE134" s="32"/>
      <c r="HF134" s="32"/>
      <c r="HG134" s="32"/>
      <c r="HH134" s="32"/>
      <c r="HI134" s="32"/>
      <c r="HJ134" s="32"/>
      <c r="HK134" s="32"/>
      <c r="HL134" s="32"/>
      <c r="HM134" s="32"/>
      <c r="HN134" s="32"/>
      <c r="HO134" s="32"/>
      <c r="HP134" s="32"/>
      <c r="HQ134" s="32"/>
      <c r="HR134" s="32"/>
      <c r="HS134" s="32"/>
      <c r="HT134" s="32"/>
      <c r="HU134" s="32"/>
      <c r="HV134" s="32"/>
      <c r="HW134" s="32"/>
      <c r="HX134" s="32"/>
      <c r="HY134" s="32"/>
      <c r="HZ134" s="32"/>
      <c r="IA134" s="32"/>
      <c r="IB134" s="32"/>
      <c r="IC134" s="32"/>
      <c r="ID134" s="32"/>
      <c r="IE134" s="32"/>
      <c r="IF134" s="32"/>
      <c r="IG134" s="32"/>
      <c r="IH134" s="32"/>
      <c r="II134" s="32"/>
      <c r="IJ134" s="32"/>
      <c r="IK134" s="32"/>
      <c r="IL134" s="32"/>
      <c r="IM134" s="32"/>
      <c r="IN134" s="32"/>
      <c r="IO134" s="32"/>
      <c r="IP134" s="32"/>
      <c r="IQ134" s="32"/>
      <c r="IR134" s="32"/>
      <c r="IS134" s="32"/>
      <c r="IT134" s="32"/>
      <c r="IU134" s="32"/>
      <c r="IV134" s="32"/>
      <c r="IW134" s="32"/>
      <c r="IX134" s="33"/>
    </row>
    <row r="135" spans="1:258" ht="21.6" x14ac:dyDescent="0.3">
      <c r="A135" s="61" t="s">
        <v>137</v>
      </c>
      <c r="B135" s="23" t="s">
        <v>132</v>
      </c>
      <c r="C135" s="23" t="s">
        <v>133</v>
      </c>
      <c r="D135" s="23" t="s">
        <v>133</v>
      </c>
      <c r="E135" s="22" t="str">
        <f>"Gauze Swab Non -Sterile - 7.5x7.5-12Ply -13 Threads (100 Pcs/Pack, 80 Packs/Ctn)"&amp;CHAR(10)&amp;"LOT # "&amp;H135&amp;" "&amp;"EXP # "&amp;TEXT(I135,"mm-yyyy")</f>
        <v>Gauze Swab Non -Sterile - 7.5x7.5-12Ply -13 Threads (100 Pcs/Pack, 80 Packs/Ctn)
LOT # HD202404 EXP # 03-2029</v>
      </c>
      <c r="F135" s="23" t="s">
        <v>135</v>
      </c>
      <c r="G135" s="23" t="s">
        <v>18</v>
      </c>
      <c r="H135" s="24" t="s">
        <v>136</v>
      </c>
      <c r="I135" s="40">
        <v>47178</v>
      </c>
      <c r="J135" s="26">
        <f t="shared" si="17"/>
        <v>2027</v>
      </c>
      <c r="K135" s="41">
        <v>2077</v>
      </c>
      <c r="L135" s="26">
        <f t="shared" si="21"/>
        <v>50</v>
      </c>
      <c r="M135" s="26">
        <f>SUM(J135)</f>
        <v>2027</v>
      </c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30"/>
      <c r="AT135" s="31"/>
      <c r="AU135" s="32">
        <f>50</f>
        <v>50</v>
      </c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2"/>
      <c r="FC135" s="32"/>
      <c r="FD135" s="32"/>
      <c r="FE135" s="32"/>
      <c r="FF135" s="32"/>
      <c r="FG135" s="32"/>
      <c r="FH135" s="32"/>
      <c r="FI135" s="32"/>
      <c r="FJ135" s="32"/>
      <c r="FK135" s="32"/>
      <c r="FL135" s="32"/>
      <c r="FM135" s="32"/>
      <c r="FN135" s="32"/>
      <c r="FO135" s="32"/>
      <c r="FP135" s="32"/>
      <c r="FQ135" s="32"/>
      <c r="FR135" s="32"/>
      <c r="FS135" s="32"/>
      <c r="FT135" s="32"/>
      <c r="FU135" s="32"/>
      <c r="FV135" s="32"/>
      <c r="FW135" s="32"/>
      <c r="FX135" s="32"/>
      <c r="FY135" s="32"/>
      <c r="FZ135" s="32"/>
      <c r="GA135" s="32"/>
      <c r="GB135" s="32"/>
      <c r="GC135" s="32"/>
      <c r="GD135" s="32"/>
      <c r="GE135" s="32"/>
      <c r="GF135" s="32"/>
      <c r="GG135" s="32"/>
      <c r="GH135" s="32"/>
      <c r="GI135" s="32"/>
      <c r="GJ135" s="32"/>
      <c r="GK135" s="32"/>
      <c r="GL135" s="32"/>
      <c r="GM135" s="32"/>
      <c r="GN135" s="32"/>
      <c r="GO135" s="32"/>
      <c r="GP135" s="32"/>
      <c r="GQ135" s="32"/>
      <c r="GR135" s="32"/>
      <c r="GS135" s="32"/>
      <c r="GT135" s="32"/>
      <c r="GU135" s="32"/>
      <c r="GV135" s="32"/>
      <c r="GW135" s="32"/>
      <c r="GX135" s="32"/>
      <c r="GY135" s="32"/>
      <c r="GZ135" s="32"/>
      <c r="HA135" s="32"/>
      <c r="HB135" s="32"/>
      <c r="HC135" s="32"/>
      <c r="HD135" s="32"/>
      <c r="HE135" s="32"/>
      <c r="HF135" s="32"/>
      <c r="HG135" s="32"/>
      <c r="HH135" s="32"/>
      <c r="HI135" s="32"/>
      <c r="HJ135" s="32"/>
      <c r="HK135" s="32"/>
      <c r="HL135" s="32"/>
      <c r="HM135" s="32"/>
      <c r="HN135" s="32"/>
      <c r="HO135" s="32"/>
      <c r="HP135" s="32"/>
      <c r="HQ135" s="32"/>
      <c r="HR135" s="32"/>
      <c r="HS135" s="32"/>
      <c r="HT135" s="32"/>
      <c r="HU135" s="32"/>
      <c r="HV135" s="32"/>
      <c r="HW135" s="32"/>
      <c r="HX135" s="32"/>
      <c r="HY135" s="32"/>
      <c r="HZ135" s="32"/>
      <c r="IA135" s="32"/>
      <c r="IB135" s="32"/>
      <c r="IC135" s="32"/>
      <c r="ID135" s="32"/>
      <c r="IE135" s="32"/>
      <c r="IF135" s="32"/>
      <c r="IG135" s="32"/>
      <c r="IH135" s="32"/>
      <c r="II135" s="32"/>
      <c r="IJ135" s="32"/>
      <c r="IK135" s="32"/>
      <c r="IL135" s="32"/>
      <c r="IM135" s="32"/>
      <c r="IN135" s="32"/>
      <c r="IO135" s="32"/>
      <c r="IP135" s="32"/>
      <c r="IQ135" s="32"/>
      <c r="IR135" s="32"/>
      <c r="IS135" s="32"/>
      <c r="IT135" s="32"/>
      <c r="IU135" s="32"/>
      <c r="IV135" s="32"/>
      <c r="IW135" s="32"/>
      <c r="IX135" s="33"/>
    </row>
    <row r="136" spans="1:258" ht="21.6" x14ac:dyDescent="0.3">
      <c r="A136" s="61" t="s">
        <v>139</v>
      </c>
      <c r="B136" s="23" t="s">
        <v>132</v>
      </c>
      <c r="C136" s="23" t="s">
        <v>133</v>
      </c>
      <c r="D136" s="23" t="s">
        <v>133</v>
      </c>
      <c r="E136" s="22" t="str">
        <f>"Gauze Swab Non -Sterile - 10x10-12Ply -13 Threads (100 Pcs/Pack, 50 Packs/Ctn)"&amp;CHAR(10)&amp;"LOT # "&amp;H136&amp;" "&amp;"EXP # "&amp;TEXT(I136,"mm-yyyy")</f>
        <v>Gauze Swab Non -Sterile - 10x10-12Ply -13 Threads (100 Pcs/Pack, 50 Packs/Ctn)
LOT # HD202412 EXP # 11-2029</v>
      </c>
      <c r="F136" s="23" t="s">
        <v>135</v>
      </c>
      <c r="G136" s="23" t="s">
        <v>18</v>
      </c>
      <c r="H136" s="24" t="s">
        <v>140</v>
      </c>
      <c r="I136" s="40">
        <v>47423</v>
      </c>
      <c r="J136" s="26">
        <f t="shared" si="17"/>
        <v>7198</v>
      </c>
      <c r="K136" s="41">
        <v>7548</v>
      </c>
      <c r="L136" s="26">
        <f t="shared" ref="L136:L170" si="27">SUM(N136:IX136)</f>
        <v>350</v>
      </c>
      <c r="M136" s="26">
        <f>SUM(J136)</f>
        <v>7198</v>
      </c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34">
        <f>150</f>
        <v>150</v>
      </c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30"/>
      <c r="AT136" s="31"/>
      <c r="AU136" s="32">
        <f>200</f>
        <v>200</v>
      </c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  <c r="FY136" s="32"/>
      <c r="FZ136" s="32"/>
      <c r="GA136" s="32"/>
      <c r="GB136" s="32"/>
      <c r="GC136" s="32"/>
      <c r="GD136" s="32"/>
      <c r="GE136" s="32"/>
      <c r="GF136" s="32"/>
      <c r="GG136" s="32"/>
      <c r="GH136" s="32"/>
      <c r="GI136" s="32"/>
      <c r="GJ136" s="32"/>
      <c r="GK136" s="32"/>
      <c r="GL136" s="32"/>
      <c r="GM136" s="32"/>
      <c r="GN136" s="32"/>
      <c r="GO136" s="32"/>
      <c r="GP136" s="32"/>
      <c r="GQ136" s="32"/>
      <c r="GR136" s="32"/>
      <c r="GS136" s="32"/>
      <c r="GT136" s="32"/>
      <c r="GU136" s="32"/>
      <c r="GV136" s="32"/>
      <c r="GW136" s="32"/>
      <c r="GX136" s="32"/>
      <c r="GY136" s="32"/>
      <c r="GZ136" s="32"/>
      <c r="HA136" s="32"/>
      <c r="HB136" s="32"/>
      <c r="HC136" s="32"/>
      <c r="HD136" s="32"/>
      <c r="HE136" s="32"/>
      <c r="HF136" s="32"/>
      <c r="HG136" s="32"/>
      <c r="HH136" s="32"/>
      <c r="HI136" s="32"/>
      <c r="HJ136" s="32"/>
      <c r="HK136" s="32"/>
      <c r="HL136" s="32"/>
      <c r="HM136" s="32"/>
      <c r="HN136" s="32"/>
      <c r="HO136" s="32"/>
      <c r="HP136" s="32"/>
      <c r="HQ136" s="32"/>
      <c r="HR136" s="32"/>
      <c r="HS136" s="32"/>
      <c r="HT136" s="32"/>
      <c r="HU136" s="32"/>
      <c r="HV136" s="32"/>
      <c r="HW136" s="32"/>
      <c r="HX136" s="32"/>
      <c r="HY136" s="32"/>
      <c r="HZ136" s="32"/>
      <c r="IA136" s="32"/>
      <c r="IB136" s="32"/>
      <c r="IC136" s="32"/>
      <c r="ID136" s="32"/>
      <c r="IE136" s="32"/>
      <c r="IF136" s="32"/>
      <c r="IG136" s="32"/>
      <c r="IH136" s="32"/>
      <c r="II136" s="32"/>
      <c r="IJ136" s="32"/>
      <c r="IK136" s="32"/>
      <c r="IL136" s="32"/>
      <c r="IM136" s="32"/>
      <c r="IN136" s="32"/>
      <c r="IO136" s="32"/>
      <c r="IP136" s="32"/>
      <c r="IQ136" s="32"/>
      <c r="IR136" s="32"/>
      <c r="IS136" s="32"/>
      <c r="IT136" s="32"/>
      <c r="IU136" s="32"/>
      <c r="IV136" s="32"/>
      <c r="IW136" s="32"/>
      <c r="IX136" s="33"/>
    </row>
    <row r="137" spans="1:258" ht="21.6" x14ac:dyDescent="0.3">
      <c r="A137" s="61" t="s">
        <v>141</v>
      </c>
      <c r="B137" s="23" t="s">
        <v>132</v>
      </c>
      <c r="C137" s="23" t="s">
        <v>142</v>
      </c>
      <c r="D137" s="23" t="s">
        <v>142</v>
      </c>
      <c r="E137" s="22" t="str">
        <f>"Gauze Swab Sterile - 5x5-12Ply -13 Threads (5 Pcs/Pack, 20 Packs/Box,20Box/Ctn)"&amp;CHAR(10)&amp;"LOT # "&amp;H137&amp;" "&amp;"EXP # "&amp;TEXT(I137,"mm-yyyy")</f>
        <v>Gauze Swab Sterile - 5x5-12Ply -13 Threads (5 Pcs/Pack, 20 Packs/Box,20Box/Ctn)
LOT # HD202404 EXP # 03-2029</v>
      </c>
      <c r="F137" s="23" t="s">
        <v>135</v>
      </c>
      <c r="G137" s="23" t="s">
        <v>18</v>
      </c>
      <c r="H137" s="24" t="s">
        <v>136</v>
      </c>
      <c r="I137" s="40">
        <v>47178</v>
      </c>
      <c r="J137" s="26">
        <f t="shared" si="17"/>
        <v>-1</v>
      </c>
      <c r="K137" s="41">
        <v>-1</v>
      </c>
      <c r="L137" s="26">
        <f t="shared" si="27"/>
        <v>0</v>
      </c>
      <c r="M137" s="26">
        <f>SUM(J137)</f>
        <v>-1</v>
      </c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30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  <c r="EW137" s="32"/>
      <c r="EX137" s="32"/>
      <c r="EY137" s="32"/>
      <c r="EZ137" s="32"/>
      <c r="FA137" s="32"/>
      <c r="FB137" s="32"/>
      <c r="FC137" s="32"/>
      <c r="FD137" s="32"/>
      <c r="FE137" s="32"/>
      <c r="FF137" s="32"/>
      <c r="FG137" s="32"/>
      <c r="FH137" s="32"/>
      <c r="FI137" s="32"/>
      <c r="FJ137" s="32"/>
      <c r="FK137" s="32"/>
      <c r="FL137" s="32"/>
      <c r="FM137" s="32"/>
      <c r="FN137" s="32"/>
      <c r="FO137" s="32"/>
      <c r="FP137" s="32"/>
      <c r="FQ137" s="32"/>
      <c r="FR137" s="32"/>
      <c r="FS137" s="32"/>
      <c r="FT137" s="32"/>
      <c r="FU137" s="32"/>
      <c r="FV137" s="32"/>
      <c r="FW137" s="32"/>
      <c r="FX137" s="32"/>
      <c r="FY137" s="32"/>
      <c r="FZ137" s="32"/>
      <c r="GA137" s="32"/>
      <c r="GB137" s="32"/>
      <c r="GC137" s="32"/>
      <c r="GD137" s="32"/>
      <c r="GE137" s="32"/>
      <c r="GF137" s="32"/>
      <c r="GG137" s="32"/>
      <c r="GH137" s="32"/>
      <c r="GI137" s="32"/>
      <c r="GJ137" s="32"/>
      <c r="GK137" s="32"/>
      <c r="GL137" s="32"/>
      <c r="GM137" s="32"/>
      <c r="GN137" s="32"/>
      <c r="GO137" s="32"/>
      <c r="GP137" s="32"/>
      <c r="GQ137" s="32"/>
      <c r="GR137" s="32"/>
      <c r="GS137" s="32"/>
      <c r="GT137" s="32"/>
      <c r="GU137" s="32"/>
      <c r="GV137" s="32"/>
      <c r="GW137" s="32"/>
      <c r="GX137" s="32"/>
      <c r="GY137" s="32"/>
      <c r="GZ137" s="32"/>
      <c r="HA137" s="32"/>
      <c r="HB137" s="32"/>
      <c r="HC137" s="32"/>
      <c r="HD137" s="32"/>
      <c r="HE137" s="32"/>
      <c r="HF137" s="32"/>
      <c r="HG137" s="32"/>
      <c r="HH137" s="32"/>
      <c r="HI137" s="32"/>
      <c r="HJ137" s="32"/>
      <c r="HK137" s="32"/>
      <c r="HL137" s="32"/>
      <c r="HM137" s="32"/>
      <c r="HN137" s="32"/>
      <c r="HO137" s="32"/>
      <c r="HP137" s="32"/>
      <c r="HQ137" s="32"/>
      <c r="HR137" s="32"/>
      <c r="HS137" s="32"/>
      <c r="HT137" s="32"/>
      <c r="HU137" s="32"/>
      <c r="HV137" s="32"/>
      <c r="HW137" s="32"/>
      <c r="HX137" s="32"/>
      <c r="HY137" s="32"/>
      <c r="HZ137" s="32"/>
      <c r="IA137" s="32"/>
      <c r="IB137" s="32"/>
      <c r="IC137" s="32"/>
      <c r="ID137" s="32"/>
      <c r="IE137" s="32"/>
      <c r="IF137" s="32"/>
      <c r="IG137" s="32"/>
      <c r="IH137" s="32"/>
      <c r="II137" s="32"/>
      <c r="IJ137" s="32"/>
      <c r="IK137" s="32"/>
      <c r="IL137" s="32"/>
      <c r="IM137" s="32"/>
      <c r="IN137" s="32"/>
      <c r="IO137" s="32"/>
      <c r="IP137" s="32"/>
      <c r="IQ137" s="32"/>
      <c r="IR137" s="32"/>
      <c r="IS137" s="32"/>
      <c r="IT137" s="32"/>
      <c r="IU137" s="32"/>
      <c r="IV137" s="32"/>
      <c r="IW137" s="32"/>
      <c r="IX137" s="33"/>
    </row>
    <row r="138" spans="1:258" ht="21.6" x14ac:dyDescent="0.3">
      <c r="A138" s="61" t="s">
        <v>143</v>
      </c>
      <c r="B138" s="23" t="s">
        <v>132</v>
      </c>
      <c r="C138" s="23" t="s">
        <v>142</v>
      </c>
      <c r="D138" s="23" t="s">
        <v>142</v>
      </c>
      <c r="E138" s="22" t="str">
        <f>"Gauze Swab Sterile - 7.5x7.5-12Ply -13 Threads (5 Pcs/Pack, 20 Packs/Box,20Box/Ctn)"&amp;CHAR(10)&amp;"LOT # "&amp;H138&amp;" "&amp;"EXP # "&amp;TEXT(I138,"mm-yyyy")</f>
        <v>Gauze Swab Sterile - 7.5x7.5-12Ply -13 Threads (5 Pcs/Pack, 20 Packs/Box,20Box/Ctn)
LOT # HD202404 EXP # 03-2029</v>
      </c>
      <c r="F138" s="23" t="s">
        <v>135</v>
      </c>
      <c r="G138" s="23" t="s">
        <v>30</v>
      </c>
      <c r="H138" s="24" t="s">
        <v>136</v>
      </c>
      <c r="I138" s="40">
        <v>47178</v>
      </c>
      <c r="J138" s="26">
        <f t="shared" si="17"/>
        <v>0</v>
      </c>
      <c r="K138" s="41">
        <v>0</v>
      </c>
      <c r="L138" s="26">
        <f t="shared" si="27"/>
        <v>0</v>
      </c>
      <c r="M138" s="26">
        <f>SUM(J138)</f>
        <v>0</v>
      </c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30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32"/>
      <c r="FW138" s="32"/>
      <c r="FX138" s="32"/>
      <c r="FY138" s="32"/>
      <c r="FZ138" s="32"/>
      <c r="GA138" s="32"/>
      <c r="GB138" s="32"/>
      <c r="GC138" s="32"/>
      <c r="GD138" s="32"/>
      <c r="GE138" s="32"/>
      <c r="GF138" s="32"/>
      <c r="GG138" s="32"/>
      <c r="GH138" s="32"/>
      <c r="GI138" s="32"/>
      <c r="GJ138" s="32"/>
      <c r="GK138" s="32"/>
      <c r="GL138" s="32"/>
      <c r="GM138" s="32"/>
      <c r="GN138" s="32"/>
      <c r="GO138" s="32"/>
      <c r="GP138" s="32"/>
      <c r="GQ138" s="32"/>
      <c r="GR138" s="32"/>
      <c r="GS138" s="32"/>
      <c r="GT138" s="32"/>
      <c r="GU138" s="32"/>
      <c r="GV138" s="32"/>
      <c r="GW138" s="32"/>
      <c r="GX138" s="32"/>
      <c r="GY138" s="32"/>
      <c r="GZ138" s="32"/>
      <c r="HA138" s="32"/>
      <c r="HB138" s="32"/>
      <c r="HC138" s="32"/>
      <c r="HD138" s="32"/>
      <c r="HE138" s="32"/>
      <c r="HF138" s="32"/>
      <c r="HG138" s="32"/>
      <c r="HH138" s="32"/>
      <c r="HI138" s="32"/>
      <c r="HJ138" s="32"/>
      <c r="HK138" s="32"/>
      <c r="HL138" s="32"/>
      <c r="HM138" s="32"/>
      <c r="HN138" s="32"/>
      <c r="HO138" s="32"/>
      <c r="HP138" s="32"/>
      <c r="HQ138" s="32"/>
      <c r="HR138" s="32"/>
      <c r="HS138" s="32"/>
      <c r="HT138" s="32"/>
      <c r="HU138" s="32"/>
      <c r="HV138" s="32"/>
      <c r="HW138" s="32"/>
      <c r="HX138" s="32"/>
      <c r="HY138" s="32"/>
      <c r="HZ138" s="32"/>
      <c r="IA138" s="32"/>
      <c r="IB138" s="32"/>
      <c r="IC138" s="32"/>
      <c r="ID138" s="32"/>
      <c r="IE138" s="32"/>
      <c r="IF138" s="32"/>
      <c r="IG138" s="32"/>
      <c r="IH138" s="32"/>
      <c r="II138" s="32"/>
      <c r="IJ138" s="32"/>
      <c r="IK138" s="32"/>
      <c r="IL138" s="32"/>
      <c r="IM138" s="32"/>
      <c r="IN138" s="32"/>
      <c r="IO138" s="32"/>
      <c r="IP138" s="32"/>
      <c r="IQ138" s="32"/>
      <c r="IR138" s="32"/>
      <c r="IS138" s="32"/>
      <c r="IT138" s="32"/>
      <c r="IU138" s="32"/>
      <c r="IV138" s="32"/>
      <c r="IW138" s="32"/>
      <c r="IX138" s="33"/>
    </row>
    <row r="139" spans="1:258" ht="21.6" x14ac:dyDescent="0.3">
      <c r="A139" s="61" t="s">
        <v>144</v>
      </c>
      <c r="B139" s="23" t="s">
        <v>132</v>
      </c>
      <c r="C139" s="23" t="s">
        <v>142</v>
      </c>
      <c r="D139" s="23" t="s">
        <v>142</v>
      </c>
      <c r="E139" s="22" t="str">
        <f>"Gauze Swab Sterile - 10x10-12Ply -13 Threads (5 Pcs/Pack, 20 Packs/Box,24Box/Ctn)"&amp;CHAR(10)&amp;"LOT # "&amp;H139&amp;" "&amp;"EXP # "&amp;TEXT(I139,"mm-yyyy")</f>
        <v>Gauze Swab Sterile - 10x10-12Ply -13 Threads (5 Pcs/Pack, 20 Packs/Box,24Box/Ctn)
LOT # HD202404 EXP # 03-2029</v>
      </c>
      <c r="F139" s="23" t="s">
        <v>135</v>
      </c>
      <c r="G139" s="23" t="s">
        <v>30</v>
      </c>
      <c r="H139" s="24" t="s">
        <v>136</v>
      </c>
      <c r="I139" s="40">
        <v>47178</v>
      </c>
      <c r="J139" s="26">
        <f t="shared" si="17"/>
        <v>0</v>
      </c>
      <c r="K139" s="41">
        <v>0</v>
      </c>
      <c r="L139" s="26">
        <f t="shared" si="27"/>
        <v>0</v>
      </c>
      <c r="M139" s="28" t="s">
        <v>19</v>
      </c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30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  <c r="EW139" s="32"/>
      <c r="EX139" s="32"/>
      <c r="EY139" s="32"/>
      <c r="EZ139" s="32"/>
      <c r="FA139" s="32"/>
      <c r="FB139" s="32"/>
      <c r="FC139" s="32"/>
      <c r="FD139" s="32"/>
      <c r="FE139" s="32"/>
      <c r="FF139" s="32"/>
      <c r="FG139" s="32"/>
      <c r="FH139" s="32"/>
      <c r="FI139" s="32"/>
      <c r="FJ139" s="32"/>
      <c r="FK139" s="32"/>
      <c r="FL139" s="32"/>
      <c r="FM139" s="32"/>
      <c r="FN139" s="32"/>
      <c r="FO139" s="32"/>
      <c r="FP139" s="32"/>
      <c r="FQ139" s="32"/>
      <c r="FR139" s="32"/>
      <c r="FS139" s="32"/>
      <c r="FT139" s="32"/>
      <c r="FU139" s="32"/>
      <c r="FV139" s="32"/>
      <c r="FW139" s="32"/>
      <c r="FX139" s="32"/>
      <c r="FY139" s="32"/>
      <c r="FZ139" s="32"/>
      <c r="GA139" s="32"/>
      <c r="GB139" s="32"/>
      <c r="GC139" s="32"/>
      <c r="GD139" s="32"/>
      <c r="GE139" s="32"/>
      <c r="GF139" s="32"/>
      <c r="GG139" s="32"/>
      <c r="GH139" s="32"/>
      <c r="GI139" s="32"/>
      <c r="GJ139" s="32"/>
      <c r="GK139" s="32"/>
      <c r="GL139" s="32"/>
      <c r="GM139" s="32"/>
      <c r="GN139" s="32"/>
      <c r="GO139" s="32"/>
      <c r="GP139" s="32"/>
      <c r="GQ139" s="32"/>
      <c r="GR139" s="32"/>
      <c r="GS139" s="32"/>
      <c r="GT139" s="32"/>
      <c r="GU139" s="32"/>
      <c r="GV139" s="32"/>
      <c r="GW139" s="32"/>
      <c r="GX139" s="32"/>
      <c r="GY139" s="32"/>
      <c r="GZ139" s="32"/>
      <c r="HA139" s="32"/>
      <c r="HB139" s="32"/>
      <c r="HC139" s="32"/>
      <c r="HD139" s="32"/>
      <c r="HE139" s="32"/>
      <c r="HF139" s="32"/>
      <c r="HG139" s="32"/>
      <c r="HH139" s="32"/>
      <c r="HI139" s="32"/>
      <c r="HJ139" s="32"/>
      <c r="HK139" s="32"/>
      <c r="HL139" s="32"/>
      <c r="HM139" s="32"/>
      <c r="HN139" s="32"/>
      <c r="HO139" s="32"/>
      <c r="HP139" s="32"/>
      <c r="HQ139" s="32"/>
      <c r="HR139" s="32"/>
      <c r="HS139" s="32"/>
      <c r="HT139" s="32"/>
      <c r="HU139" s="32"/>
      <c r="HV139" s="32"/>
      <c r="HW139" s="32"/>
      <c r="HX139" s="32"/>
      <c r="HY139" s="32"/>
      <c r="HZ139" s="32"/>
      <c r="IA139" s="32"/>
      <c r="IB139" s="32"/>
      <c r="IC139" s="32"/>
      <c r="ID139" s="32"/>
      <c r="IE139" s="32"/>
      <c r="IF139" s="32"/>
      <c r="IG139" s="32"/>
      <c r="IH139" s="32"/>
      <c r="II139" s="32"/>
      <c r="IJ139" s="32"/>
      <c r="IK139" s="32"/>
      <c r="IL139" s="32"/>
      <c r="IM139" s="32"/>
      <c r="IN139" s="32"/>
      <c r="IO139" s="32"/>
      <c r="IP139" s="32"/>
      <c r="IQ139" s="32"/>
      <c r="IR139" s="32"/>
      <c r="IS139" s="32"/>
      <c r="IT139" s="32"/>
      <c r="IU139" s="32"/>
      <c r="IV139" s="32"/>
      <c r="IW139" s="32"/>
      <c r="IX139" s="33"/>
    </row>
    <row r="140" spans="1:258" ht="21.6" x14ac:dyDescent="0.3">
      <c r="A140" s="61" t="s">
        <v>144</v>
      </c>
      <c r="B140" s="23" t="s">
        <v>132</v>
      </c>
      <c r="C140" s="23" t="s">
        <v>142</v>
      </c>
      <c r="D140" s="23" t="s">
        <v>142</v>
      </c>
      <c r="E140" s="22" t="str">
        <f>"Gauze Swab Sterile - 10x10-12Ply -13 Threads (5 Pcs/Pack, 20 Packs/Box,24Box/Ctn)"&amp;CHAR(10)&amp;"LOT # "&amp;H140&amp;" "&amp;"EXP # "&amp;TEXT(I140,"mm-yyyy")</f>
        <v>Gauze Swab Sterile - 10x10-12Ply -13 Threads (5 Pcs/Pack, 20 Packs/Box,24Box/Ctn)
LOT # HD202412 EXP # 11-2029</v>
      </c>
      <c r="F140" s="23" t="s">
        <v>135</v>
      </c>
      <c r="G140" s="23" t="s">
        <v>30</v>
      </c>
      <c r="H140" s="24" t="s">
        <v>140</v>
      </c>
      <c r="I140" s="40">
        <v>47423</v>
      </c>
      <c r="J140" s="26">
        <f t="shared" si="17"/>
        <v>0</v>
      </c>
      <c r="K140" s="41">
        <v>18</v>
      </c>
      <c r="L140" s="26">
        <f t="shared" si="27"/>
        <v>18</v>
      </c>
      <c r="M140" s="26">
        <f>SUM(J139:J140)</f>
        <v>0</v>
      </c>
      <c r="N140" s="29"/>
      <c r="O140" s="29"/>
      <c r="P140" s="29"/>
      <c r="Q140" s="29"/>
      <c r="R140" s="29"/>
      <c r="S140" s="34">
        <f>18</f>
        <v>18</v>
      </c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30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  <c r="EW140" s="32"/>
      <c r="EX140" s="32"/>
      <c r="EY140" s="32"/>
      <c r="EZ140" s="32"/>
      <c r="FA140" s="32"/>
      <c r="FB140" s="32"/>
      <c r="FC140" s="32"/>
      <c r="FD140" s="32"/>
      <c r="FE140" s="32"/>
      <c r="FF140" s="32"/>
      <c r="FG140" s="32"/>
      <c r="FH140" s="32"/>
      <c r="FI140" s="32"/>
      <c r="FJ140" s="32"/>
      <c r="FK140" s="32"/>
      <c r="FL140" s="32"/>
      <c r="FM140" s="32"/>
      <c r="FN140" s="32"/>
      <c r="FO140" s="32"/>
      <c r="FP140" s="32"/>
      <c r="FQ140" s="32"/>
      <c r="FR140" s="32"/>
      <c r="FS140" s="32"/>
      <c r="FT140" s="32"/>
      <c r="FU140" s="32"/>
      <c r="FV140" s="32"/>
      <c r="FW140" s="32"/>
      <c r="FX140" s="32"/>
      <c r="FY140" s="32"/>
      <c r="FZ140" s="32"/>
      <c r="GA140" s="32"/>
      <c r="GB140" s="32"/>
      <c r="GC140" s="32"/>
      <c r="GD140" s="32"/>
      <c r="GE140" s="32"/>
      <c r="GF140" s="32"/>
      <c r="GG140" s="32"/>
      <c r="GH140" s="32"/>
      <c r="GI140" s="32"/>
      <c r="GJ140" s="32"/>
      <c r="GK140" s="32"/>
      <c r="GL140" s="32"/>
      <c r="GM140" s="32"/>
      <c r="GN140" s="32"/>
      <c r="GO140" s="32"/>
      <c r="GP140" s="32"/>
      <c r="GQ140" s="32"/>
      <c r="GR140" s="32"/>
      <c r="GS140" s="32"/>
      <c r="GT140" s="32"/>
      <c r="GU140" s="32"/>
      <c r="GV140" s="32"/>
      <c r="GW140" s="32"/>
      <c r="GX140" s="32"/>
      <c r="GY140" s="32"/>
      <c r="GZ140" s="32"/>
      <c r="HA140" s="32"/>
      <c r="HB140" s="32"/>
      <c r="HC140" s="32"/>
      <c r="HD140" s="32"/>
      <c r="HE140" s="32"/>
      <c r="HF140" s="32"/>
      <c r="HG140" s="32"/>
      <c r="HH140" s="32"/>
      <c r="HI140" s="32"/>
      <c r="HJ140" s="32"/>
      <c r="HK140" s="32"/>
      <c r="HL140" s="32"/>
      <c r="HM140" s="32"/>
      <c r="HN140" s="32"/>
      <c r="HO140" s="32"/>
      <c r="HP140" s="32"/>
      <c r="HQ140" s="32"/>
      <c r="HR140" s="32"/>
      <c r="HS140" s="32"/>
      <c r="HT140" s="32"/>
      <c r="HU140" s="32"/>
      <c r="HV140" s="32"/>
      <c r="HW140" s="32"/>
      <c r="HX140" s="32"/>
      <c r="HY140" s="32"/>
      <c r="HZ140" s="32"/>
      <c r="IA140" s="32"/>
      <c r="IB140" s="32"/>
      <c r="IC140" s="32"/>
      <c r="ID140" s="32"/>
      <c r="IE140" s="32"/>
      <c r="IF140" s="32"/>
      <c r="IG140" s="32"/>
      <c r="IH140" s="32"/>
      <c r="II140" s="32"/>
      <c r="IJ140" s="32"/>
      <c r="IK140" s="32"/>
      <c r="IL140" s="32"/>
      <c r="IM140" s="32"/>
      <c r="IN140" s="32"/>
      <c r="IO140" s="32"/>
      <c r="IP140" s="32"/>
      <c r="IQ140" s="32"/>
      <c r="IR140" s="32"/>
      <c r="IS140" s="32"/>
      <c r="IT140" s="32"/>
      <c r="IU140" s="32"/>
      <c r="IV140" s="32"/>
      <c r="IW140" s="32"/>
      <c r="IX140" s="33"/>
    </row>
    <row r="141" spans="1:258" ht="21.6" x14ac:dyDescent="0.3">
      <c r="A141" s="61" t="s">
        <v>145</v>
      </c>
      <c r="B141" s="23" t="s">
        <v>132</v>
      </c>
      <c r="C141" s="23" t="s">
        <v>142</v>
      </c>
      <c r="D141" s="23" t="s">
        <v>142</v>
      </c>
      <c r="E141" s="22" t="str">
        <f>"Gauze Swab Sterile - 10x10-12Ply with X-Ray -13 Threads (5 Pcs/Pack, 20 Packs/Box,24Box/Ctn)"&amp;CHAR(10)&amp;"LOT # "&amp;H141&amp;" "&amp;"EXP # "&amp;TEXT(I141,"mm-yyyy")</f>
        <v>Gauze Swab Sterile - 10x10-12Ply with X-Ray -13 Threads (5 Pcs/Pack, 20 Packs/Box,24Box/Ctn)
LOT # HD202404 EXP # 03-2029</v>
      </c>
      <c r="F141" s="23" t="s">
        <v>135</v>
      </c>
      <c r="G141" s="23" t="s">
        <v>30</v>
      </c>
      <c r="H141" s="24" t="s">
        <v>136</v>
      </c>
      <c r="I141" s="40">
        <v>47178</v>
      </c>
      <c r="J141" s="26">
        <f t="shared" si="17"/>
        <v>0</v>
      </c>
      <c r="K141" s="41">
        <v>0</v>
      </c>
      <c r="L141" s="26">
        <f>SUM(N141:IX141)</f>
        <v>0</v>
      </c>
      <c r="M141" s="28" t="s">
        <v>19</v>
      </c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30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2"/>
      <c r="GX141" s="32"/>
      <c r="GY141" s="32"/>
      <c r="GZ141" s="32"/>
      <c r="HA141" s="32"/>
      <c r="HB141" s="32"/>
      <c r="HC141" s="32"/>
      <c r="HD141" s="32"/>
      <c r="HE141" s="32"/>
      <c r="HF141" s="32"/>
      <c r="HG141" s="32"/>
      <c r="HH141" s="32"/>
      <c r="HI141" s="32"/>
      <c r="HJ141" s="32"/>
      <c r="HK141" s="32"/>
      <c r="HL141" s="32"/>
      <c r="HM141" s="32"/>
      <c r="HN141" s="32"/>
      <c r="HO141" s="32"/>
      <c r="HP141" s="32"/>
      <c r="HQ141" s="32"/>
      <c r="HR141" s="32"/>
      <c r="HS141" s="32"/>
      <c r="HT141" s="32"/>
      <c r="HU141" s="32"/>
      <c r="HV141" s="32"/>
      <c r="HW141" s="32"/>
      <c r="HX141" s="32"/>
      <c r="HY141" s="32"/>
      <c r="HZ141" s="32"/>
      <c r="IA141" s="32"/>
      <c r="IB141" s="32"/>
      <c r="IC141" s="32"/>
      <c r="ID141" s="32"/>
      <c r="IE141" s="32"/>
      <c r="IF141" s="32"/>
      <c r="IG141" s="32"/>
      <c r="IH141" s="32"/>
      <c r="II141" s="32"/>
      <c r="IJ141" s="32"/>
      <c r="IK141" s="32"/>
      <c r="IL141" s="32"/>
      <c r="IM141" s="32"/>
      <c r="IN141" s="32"/>
      <c r="IO141" s="32"/>
      <c r="IP141" s="32"/>
      <c r="IQ141" s="32"/>
      <c r="IR141" s="32"/>
      <c r="IS141" s="32"/>
      <c r="IT141" s="32"/>
      <c r="IU141" s="32"/>
      <c r="IV141" s="32"/>
      <c r="IW141" s="32"/>
      <c r="IX141" s="33"/>
    </row>
    <row r="142" spans="1:258" ht="21.6" x14ac:dyDescent="0.3">
      <c r="A142" s="61" t="s">
        <v>145</v>
      </c>
      <c r="B142" s="23" t="s">
        <v>132</v>
      </c>
      <c r="C142" s="23" t="s">
        <v>142</v>
      </c>
      <c r="D142" s="23" t="s">
        <v>142</v>
      </c>
      <c r="E142" s="22" t="str">
        <f>"Gauze Swab Sterile - 10x10-12Ply with X-Ray -13 Threads (5 Pcs/Pack, 20 Packs/Box,24Box/Ctn)"&amp;CHAR(10)&amp;"LOT # "&amp;H142&amp;" "&amp;"EXP # "&amp;TEXT(I142,"mm-yyyy")</f>
        <v>Gauze Swab Sterile - 10x10-12Ply with X-Ray -13 Threads (5 Pcs/Pack, 20 Packs/Box,24Box/Ctn)
LOT # HD202412 EXP # 11-2029</v>
      </c>
      <c r="F142" s="23" t="s">
        <v>135</v>
      </c>
      <c r="G142" s="23" t="s">
        <v>18</v>
      </c>
      <c r="H142" s="24" t="s">
        <v>140</v>
      </c>
      <c r="I142" s="40">
        <v>47423</v>
      </c>
      <c r="J142" s="26">
        <f t="shared" si="17"/>
        <v>1852</v>
      </c>
      <c r="K142" s="41">
        <v>2180</v>
      </c>
      <c r="L142" s="26">
        <f t="shared" si="27"/>
        <v>328</v>
      </c>
      <c r="M142" s="26">
        <f>SUM(J141:J142)</f>
        <v>1852</v>
      </c>
      <c r="N142" s="29"/>
      <c r="O142" s="29"/>
      <c r="P142" s="29"/>
      <c r="Q142" s="29"/>
      <c r="R142" s="29"/>
      <c r="S142" s="29"/>
      <c r="T142" s="29"/>
      <c r="U142" s="34">
        <f>96</f>
        <v>96</v>
      </c>
      <c r="V142" s="29"/>
      <c r="W142" s="29"/>
      <c r="X142" s="34">
        <f>30</f>
        <v>30</v>
      </c>
      <c r="Y142" s="29"/>
      <c r="Z142" s="29"/>
      <c r="AA142" s="29"/>
      <c r="AB142" s="29"/>
      <c r="AC142" s="29"/>
      <c r="AD142" s="29"/>
      <c r="AE142" s="34">
        <f>2</f>
        <v>2</v>
      </c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30"/>
      <c r="AT142" s="31"/>
      <c r="AU142" s="32">
        <f>200</f>
        <v>200</v>
      </c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  <c r="EW142" s="32"/>
      <c r="EX142" s="32"/>
      <c r="EY142" s="32"/>
      <c r="EZ142" s="32"/>
      <c r="FA142" s="32"/>
      <c r="FB142" s="32"/>
      <c r="FC142" s="32"/>
      <c r="FD142" s="32"/>
      <c r="FE142" s="32"/>
      <c r="FF142" s="32"/>
      <c r="FG142" s="32"/>
      <c r="FH142" s="32"/>
      <c r="FI142" s="32"/>
      <c r="FJ142" s="32"/>
      <c r="FK142" s="32"/>
      <c r="FL142" s="32"/>
      <c r="FM142" s="32"/>
      <c r="FN142" s="32"/>
      <c r="FO142" s="32"/>
      <c r="FP142" s="32"/>
      <c r="FQ142" s="32"/>
      <c r="FR142" s="32"/>
      <c r="FS142" s="32"/>
      <c r="FT142" s="32"/>
      <c r="FU142" s="32"/>
      <c r="FV142" s="32"/>
      <c r="FW142" s="32"/>
      <c r="FX142" s="32"/>
      <c r="FY142" s="32"/>
      <c r="FZ142" s="32"/>
      <c r="GA142" s="32"/>
      <c r="GB142" s="32"/>
      <c r="GC142" s="32"/>
      <c r="GD142" s="32"/>
      <c r="GE142" s="32"/>
      <c r="GF142" s="32"/>
      <c r="GG142" s="32"/>
      <c r="GH142" s="32"/>
      <c r="GI142" s="32"/>
      <c r="GJ142" s="32"/>
      <c r="GK142" s="32"/>
      <c r="GL142" s="32"/>
      <c r="GM142" s="32"/>
      <c r="GN142" s="32"/>
      <c r="GO142" s="32"/>
      <c r="GP142" s="32"/>
      <c r="GQ142" s="32"/>
      <c r="GR142" s="32"/>
      <c r="GS142" s="32"/>
      <c r="GT142" s="32"/>
      <c r="GU142" s="32"/>
      <c r="GV142" s="32"/>
      <c r="GW142" s="32"/>
      <c r="GX142" s="32"/>
      <c r="GY142" s="32"/>
      <c r="GZ142" s="32"/>
      <c r="HA142" s="32"/>
      <c r="HB142" s="32"/>
      <c r="HC142" s="32"/>
      <c r="HD142" s="32"/>
      <c r="HE142" s="32"/>
      <c r="HF142" s="32"/>
      <c r="HG142" s="32"/>
      <c r="HH142" s="32"/>
      <c r="HI142" s="32"/>
      <c r="HJ142" s="32"/>
      <c r="HK142" s="32"/>
      <c r="HL142" s="32"/>
      <c r="HM142" s="32"/>
      <c r="HN142" s="32"/>
      <c r="HO142" s="32"/>
      <c r="HP142" s="32"/>
      <c r="HQ142" s="32"/>
      <c r="HR142" s="32"/>
      <c r="HS142" s="32"/>
      <c r="HT142" s="32"/>
      <c r="HU142" s="32"/>
      <c r="HV142" s="32"/>
      <c r="HW142" s="32"/>
      <c r="HX142" s="32"/>
      <c r="HY142" s="32"/>
      <c r="HZ142" s="32"/>
      <c r="IA142" s="32"/>
      <c r="IB142" s="32"/>
      <c r="IC142" s="32"/>
      <c r="ID142" s="32"/>
      <c r="IE142" s="32"/>
      <c r="IF142" s="32"/>
      <c r="IG142" s="32"/>
      <c r="IH142" s="32"/>
      <c r="II142" s="32"/>
      <c r="IJ142" s="32"/>
      <c r="IK142" s="32"/>
      <c r="IL142" s="32"/>
      <c r="IM142" s="32"/>
      <c r="IN142" s="32"/>
      <c r="IO142" s="32"/>
      <c r="IP142" s="32"/>
      <c r="IQ142" s="32"/>
      <c r="IR142" s="32"/>
      <c r="IS142" s="32"/>
      <c r="IT142" s="32"/>
      <c r="IU142" s="32"/>
      <c r="IV142" s="32"/>
      <c r="IW142" s="32"/>
      <c r="IX142" s="33"/>
    </row>
    <row r="143" spans="1:258" ht="21.6" x14ac:dyDescent="0.3">
      <c r="A143" s="62" t="s">
        <v>146</v>
      </c>
      <c r="B143" s="23" t="s">
        <v>147</v>
      </c>
      <c r="C143" s="23" t="s">
        <v>147</v>
      </c>
      <c r="D143" s="23" t="s">
        <v>147</v>
      </c>
      <c r="E143" s="22" t="str">
        <f>"OBS Sterile Disposable Skin Stapler"&amp;CHAR(10)&amp;"LOT # "&amp;H143&amp;" "&amp;"EXP # "&amp;TEXT(I143,"dd-mm-yyyy")</f>
        <v>OBS Sterile Disposable Skin Stapler
LOT # FH20241119 EXP # 13-11-2027</v>
      </c>
      <c r="F143" s="23" t="s">
        <v>171</v>
      </c>
      <c r="G143" s="23" t="s">
        <v>30</v>
      </c>
      <c r="H143" s="24" t="s">
        <v>148</v>
      </c>
      <c r="I143" s="25">
        <v>46704</v>
      </c>
      <c r="J143" s="26">
        <f t="shared" si="17"/>
        <v>0</v>
      </c>
      <c r="K143" s="41">
        <v>29</v>
      </c>
      <c r="L143" s="26">
        <f t="shared" si="27"/>
        <v>29</v>
      </c>
      <c r="M143" s="26" t="s">
        <v>19</v>
      </c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34"/>
      <c r="Z143" s="29"/>
      <c r="AA143" s="34">
        <f>29</f>
        <v>29</v>
      </c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30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  <c r="EW143" s="32"/>
      <c r="EX143" s="32"/>
      <c r="EY143" s="32"/>
      <c r="EZ143" s="32"/>
      <c r="FA143" s="32"/>
      <c r="FB143" s="32"/>
      <c r="FC143" s="32"/>
      <c r="FD143" s="32"/>
      <c r="FE143" s="32"/>
      <c r="FF143" s="32"/>
      <c r="FG143" s="32"/>
      <c r="FH143" s="32"/>
      <c r="FI143" s="32"/>
      <c r="FJ143" s="32"/>
      <c r="FK143" s="32"/>
      <c r="FL143" s="32"/>
      <c r="FM143" s="32"/>
      <c r="FN143" s="32"/>
      <c r="FO143" s="32"/>
      <c r="FP143" s="32"/>
      <c r="FQ143" s="32"/>
      <c r="FR143" s="32"/>
      <c r="FS143" s="32"/>
      <c r="FT143" s="32"/>
      <c r="FU143" s="32"/>
      <c r="FV143" s="32"/>
      <c r="FW143" s="32"/>
      <c r="FX143" s="32"/>
      <c r="FY143" s="32"/>
      <c r="FZ143" s="32"/>
      <c r="GA143" s="32"/>
      <c r="GB143" s="32"/>
      <c r="GC143" s="32"/>
      <c r="GD143" s="32"/>
      <c r="GE143" s="32"/>
      <c r="GF143" s="32"/>
      <c r="GG143" s="32"/>
      <c r="GH143" s="32"/>
      <c r="GI143" s="32"/>
      <c r="GJ143" s="32"/>
      <c r="GK143" s="32"/>
      <c r="GL143" s="32"/>
      <c r="GM143" s="32"/>
      <c r="GN143" s="32"/>
      <c r="GO143" s="32"/>
      <c r="GP143" s="32"/>
      <c r="GQ143" s="32"/>
      <c r="GR143" s="32"/>
      <c r="GS143" s="32"/>
      <c r="GT143" s="32"/>
      <c r="GU143" s="32"/>
      <c r="GV143" s="32"/>
      <c r="GW143" s="32"/>
      <c r="GX143" s="32"/>
      <c r="GY143" s="32"/>
      <c r="GZ143" s="32"/>
      <c r="HA143" s="32"/>
      <c r="HB143" s="32"/>
      <c r="HC143" s="32"/>
      <c r="HD143" s="32"/>
      <c r="HE143" s="32"/>
      <c r="HF143" s="32"/>
      <c r="HG143" s="32"/>
      <c r="HH143" s="32"/>
      <c r="HI143" s="32"/>
      <c r="HJ143" s="32"/>
      <c r="HK143" s="32"/>
      <c r="HL143" s="32"/>
      <c r="HM143" s="32"/>
      <c r="HN143" s="32"/>
      <c r="HO143" s="32"/>
      <c r="HP143" s="32"/>
      <c r="HQ143" s="32"/>
      <c r="HR143" s="32"/>
      <c r="HS143" s="32"/>
      <c r="HT143" s="32"/>
      <c r="HU143" s="32"/>
      <c r="HV143" s="32"/>
      <c r="HW143" s="32"/>
      <c r="HX143" s="32"/>
      <c r="HY143" s="32"/>
      <c r="HZ143" s="32"/>
      <c r="IA143" s="32"/>
      <c r="IB143" s="32"/>
      <c r="IC143" s="32"/>
      <c r="ID143" s="32"/>
      <c r="IE143" s="32"/>
      <c r="IF143" s="32"/>
      <c r="IG143" s="32"/>
      <c r="IH143" s="32"/>
      <c r="II143" s="32"/>
      <c r="IJ143" s="32"/>
      <c r="IK143" s="32"/>
      <c r="IL143" s="32"/>
      <c r="IM143" s="32"/>
      <c r="IN143" s="32"/>
      <c r="IO143" s="32"/>
      <c r="IP143" s="32"/>
      <c r="IQ143" s="32"/>
      <c r="IR143" s="32"/>
      <c r="IS143" s="32"/>
      <c r="IT143" s="32"/>
      <c r="IU143" s="32"/>
      <c r="IV143" s="32"/>
      <c r="IW143" s="32"/>
      <c r="IX143" s="33"/>
    </row>
    <row r="144" spans="1:258" ht="21.6" x14ac:dyDescent="0.3">
      <c r="A144" s="62" t="s">
        <v>146</v>
      </c>
      <c r="B144" s="23"/>
      <c r="C144" s="23"/>
      <c r="D144" s="23"/>
      <c r="E144" s="22" t="str">
        <f>"OBS Sterile Disposable Skin Stapler"&amp;CHAR(10)&amp;"LOT # "&amp;H144&amp;" "&amp;"EXP # "&amp;TEXT(I144,"dd-mm-yyyy")</f>
        <v>OBS Sterile Disposable Skin Stapler
LOT # FH20250444 EXP # 27-04-2028</v>
      </c>
      <c r="F144" s="23" t="s">
        <v>171</v>
      </c>
      <c r="G144" s="23" t="s">
        <v>18</v>
      </c>
      <c r="H144" s="24" t="s">
        <v>353</v>
      </c>
      <c r="I144" s="25">
        <v>46870</v>
      </c>
      <c r="J144" s="26">
        <f t="shared" si="17"/>
        <v>479</v>
      </c>
      <c r="K144" s="41">
        <v>500</v>
      </c>
      <c r="L144" s="26">
        <f t="shared" si="27"/>
        <v>21</v>
      </c>
      <c r="M144" s="26">
        <f>SUM(J143:J144)</f>
        <v>479</v>
      </c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34">
        <f>21</f>
        <v>21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30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32"/>
      <c r="FW144" s="32"/>
      <c r="FX144" s="32"/>
      <c r="FY144" s="32"/>
      <c r="FZ144" s="32"/>
      <c r="GA144" s="32"/>
      <c r="GB144" s="32"/>
      <c r="GC144" s="32"/>
      <c r="GD144" s="32"/>
      <c r="GE144" s="32"/>
      <c r="GF144" s="32"/>
      <c r="GG144" s="32"/>
      <c r="GH144" s="32"/>
      <c r="GI144" s="32"/>
      <c r="GJ144" s="32"/>
      <c r="GK144" s="32"/>
      <c r="GL144" s="32"/>
      <c r="GM144" s="32"/>
      <c r="GN144" s="32"/>
      <c r="GO144" s="32"/>
      <c r="GP144" s="32"/>
      <c r="GQ144" s="32"/>
      <c r="GR144" s="32"/>
      <c r="GS144" s="32"/>
      <c r="GT144" s="32"/>
      <c r="GU144" s="32"/>
      <c r="GV144" s="32"/>
      <c r="GW144" s="32"/>
      <c r="GX144" s="32"/>
      <c r="GY144" s="32"/>
      <c r="GZ144" s="32"/>
      <c r="HA144" s="32"/>
      <c r="HB144" s="32"/>
      <c r="HC144" s="32"/>
      <c r="HD144" s="32"/>
      <c r="HE144" s="32"/>
      <c r="HF144" s="32"/>
      <c r="HG144" s="32"/>
      <c r="HH144" s="32"/>
      <c r="HI144" s="32"/>
      <c r="HJ144" s="32"/>
      <c r="HK144" s="32"/>
      <c r="HL144" s="32"/>
      <c r="HM144" s="32"/>
      <c r="HN144" s="32"/>
      <c r="HO144" s="32"/>
      <c r="HP144" s="32"/>
      <c r="HQ144" s="32"/>
      <c r="HR144" s="32"/>
      <c r="HS144" s="32"/>
      <c r="HT144" s="32"/>
      <c r="HU144" s="32"/>
      <c r="HV144" s="32"/>
      <c r="HW144" s="32"/>
      <c r="HX144" s="32"/>
      <c r="HY144" s="32"/>
      <c r="HZ144" s="32"/>
      <c r="IA144" s="32"/>
      <c r="IB144" s="32"/>
      <c r="IC144" s="32"/>
      <c r="ID144" s="32"/>
      <c r="IE144" s="32"/>
      <c r="IF144" s="32"/>
      <c r="IG144" s="32"/>
      <c r="IH144" s="32"/>
      <c r="II144" s="32"/>
      <c r="IJ144" s="32"/>
      <c r="IK144" s="32"/>
      <c r="IL144" s="32"/>
      <c r="IM144" s="32"/>
      <c r="IN144" s="32"/>
      <c r="IO144" s="32"/>
      <c r="IP144" s="32"/>
      <c r="IQ144" s="32"/>
      <c r="IR144" s="32"/>
      <c r="IS144" s="32"/>
      <c r="IT144" s="32"/>
      <c r="IU144" s="32"/>
      <c r="IV144" s="32"/>
      <c r="IW144" s="32"/>
      <c r="IX144" s="33"/>
    </row>
    <row r="145" spans="1:258" ht="21.6" x14ac:dyDescent="0.3">
      <c r="A145" s="61" t="s">
        <v>149</v>
      </c>
      <c r="B145" s="23" t="s">
        <v>150</v>
      </c>
      <c r="C145" s="23" t="s">
        <v>150</v>
      </c>
      <c r="D145" s="23" t="s">
        <v>150</v>
      </c>
      <c r="E145" s="22" t="str">
        <f>"TheraPREP Pro CHG IPA Applicator 26 ml (1 CTN = 10 BOXES, 1 BOX = 12 PCS)"&amp;CHAR(10)&amp;"LOT # "&amp;H145&amp;" "&amp;"EXP # "&amp;TEXT(I145,"dd-mm-yyyy")</f>
        <v>TheraPREP Pro CHG IPA Applicator 26 ml (1 CTN = 10 BOXES, 1 BOX = 12 PCS)
LOT # TPC06 EXP # 25-10-2025</v>
      </c>
      <c r="F145" s="42" t="s">
        <v>182</v>
      </c>
      <c r="G145" s="23" t="s">
        <v>33</v>
      </c>
      <c r="H145" s="24" t="s">
        <v>151</v>
      </c>
      <c r="I145" s="25">
        <v>45955</v>
      </c>
      <c r="J145" s="26">
        <f t="shared" si="17"/>
        <v>10</v>
      </c>
      <c r="K145" s="41">
        <v>10</v>
      </c>
      <c r="L145" s="26">
        <f t="shared" si="27"/>
        <v>0</v>
      </c>
      <c r="M145" s="28" t="s">
        <v>19</v>
      </c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30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2"/>
      <c r="GU145" s="32"/>
      <c r="GV145" s="32"/>
      <c r="GW145" s="32"/>
      <c r="GX145" s="32"/>
      <c r="GY145" s="32"/>
      <c r="GZ145" s="32"/>
      <c r="HA145" s="32"/>
      <c r="HB145" s="32"/>
      <c r="HC145" s="32"/>
      <c r="HD145" s="32"/>
      <c r="HE145" s="32"/>
      <c r="HF145" s="32"/>
      <c r="HG145" s="32"/>
      <c r="HH145" s="32"/>
      <c r="HI145" s="32"/>
      <c r="HJ145" s="32"/>
      <c r="HK145" s="32"/>
      <c r="HL145" s="32"/>
      <c r="HM145" s="32"/>
      <c r="HN145" s="32"/>
      <c r="HO145" s="32"/>
      <c r="HP145" s="32"/>
      <c r="HQ145" s="32"/>
      <c r="HR145" s="32"/>
      <c r="HS145" s="32"/>
      <c r="HT145" s="32"/>
      <c r="HU145" s="32"/>
      <c r="HV145" s="32"/>
      <c r="HW145" s="32"/>
      <c r="HX145" s="32"/>
      <c r="HY145" s="32"/>
      <c r="HZ145" s="32"/>
      <c r="IA145" s="32"/>
      <c r="IB145" s="32"/>
      <c r="IC145" s="32"/>
      <c r="ID145" s="32"/>
      <c r="IE145" s="32"/>
      <c r="IF145" s="32"/>
      <c r="IG145" s="32"/>
      <c r="IH145" s="32"/>
      <c r="II145" s="32"/>
      <c r="IJ145" s="32"/>
      <c r="IK145" s="32"/>
      <c r="IL145" s="32"/>
      <c r="IM145" s="32"/>
      <c r="IN145" s="32"/>
      <c r="IO145" s="32"/>
      <c r="IP145" s="32"/>
      <c r="IQ145" s="32"/>
      <c r="IR145" s="32"/>
      <c r="IS145" s="32"/>
      <c r="IT145" s="32"/>
      <c r="IU145" s="32"/>
      <c r="IV145" s="32"/>
      <c r="IW145" s="32"/>
      <c r="IX145" s="33"/>
    </row>
    <row r="146" spans="1:258" ht="21.6" x14ac:dyDescent="0.3">
      <c r="A146" s="61" t="s">
        <v>149</v>
      </c>
      <c r="B146" s="23" t="s">
        <v>150</v>
      </c>
      <c r="C146" s="23" t="s">
        <v>150</v>
      </c>
      <c r="D146" s="23" t="s">
        <v>150</v>
      </c>
      <c r="E146" s="22" t="str">
        <f>"TheraPREP Pro CHG IPA Applicator 26 ml (1 CTN = 10 BOXES, 1 BOX = 12 PCS)"&amp;CHAR(10)&amp;"LOT # "&amp;H146&amp;" "&amp;"EXP # "&amp;TEXT(I146,"mm-yyyy")</f>
        <v>TheraPREP Pro CHG IPA Applicator 26 ml (1 CTN = 10 BOXES, 1 BOX = 12 PCS)
LOT # TC25003 EXP # 03-2028</v>
      </c>
      <c r="F146" s="42" t="s">
        <v>182</v>
      </c>
      <c r="G146" s="23" t="s">
        <v>30</v>
      </c>
      <c r="H146" s="24" t="s">
        <v>184</v>
      </c>
      <c r="I146" s="25">
        <v>46813</v>
      </c>
      <c r="J146" s="26">
        <f t="shared" si="17"/>
        <v>0</v>
      </c>
      <c r="K146" s="41">
        <v>0</v>
      </c>
      <c r="L146" s="26">
        <f t="shared" si="27"/>
        <v>0</v>
      </c>
      <c r="M146" s="28" t="s">
        <v>19</v>
      </c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30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2"/>
      <c r="GS146" s="32"/>
      <c r="GT146" s="32"/>
      <c r="GU146" s="32"/>
      <c r="GV146" s="32"/>
      <c r="GW146" s="32"/>
      <c r="GX146" s="32"/>
      <c r="GY146" s="32"/>
      <c r="GZ146" s="32"/>
      <c r="HA146" s="32"/>
      <c r="HB146" s="32"/>
      <c r="HC146" s="32"/>
      <c r="HD146" s="32"/>
      <c r="HE146" s="32"/>
      <c r="HF146" s="32"/>
      <c r="HG146" s="32"/>
      <c r="HH146" s="32"/>
      <c r="HI146" s="32"/>
      <c r="HJ146" s="32"/>
      <c r="HK146" s="32"/>
      <c r="HL146" s="32"/>
      <c r="HM146" s="32"/>
      <c r="HN146" s="32"/>
      <c r="HO146" s="32"/>
      <c r="HP146" s="32"/>
      <c r="HQ146" s="32"/>
      <c r="HR146" s="32"/>
      <c r="HS146" s="32"/>
      <c r="HT146" s="32"/>
      <c r="HU146" s="32"/>
      <c r="HV146" s="32"/>
      <c r="HW146" s="32"/>
      <c r="HX146" s="32"/>
      <c r="HY146" s="32"/>
      <c r="HZ146" s="32"/>
      <c r="IA146" s="32"/>
      <c r="IB146" s="32"/>
      <c r="IC146" s="32"/>
      <c r="ID146" s="32"/>
      <c r="IE146" s="32"/>
      <c r="IF146" s="32"/>
      <c r="IG146" s="32"/>
      <c r="IH146" s="32"/>
      <c r="II146" s="32"/>
      <c r="IJ146" s="32"/>
      <c r="IK146" s="32"/>
      <c r="IL146" s="32"/>
      <c r="IM146" s="32"/>
      <c r="IN146" s="32"/>
      <c r="IO146" s="32"/>
      <c r="IP146" s="32"/>
      <c r="IQ146" s="32"/>
      <c r="IR146" s="32"/>
      <c r="IS146" s="32"/>
      <c r="IT146" s="32"/>
      <c r="IU146" s="32"/>
      <c r="IV146" s="32"/>
      <c r="IW146" s="32"/>
      <c r="IX146" s="33"/>
    </row>
    <row r="147" spans="1:258" ht="21.6" x14ac:dyDescent="0.3">
      <c r="A147" s="61" t="s">
        <v>149</v>
      </c>
      <c r="B147" s="23"/>
      <c r="C147" s="23"/>
      <c r="D147" s="23"/>
      <c r="E147" s="22" t="str">
        <f>"TheraPREP Pro CHG IPA Applicator 26 ml (1 CTN = 10 BOXES, 1 BOX = 12 PCS)"&amp;CHAR(10)&amp;"LOT # "&amp;H147&amp;" "&amp;"EXP # "&amp;TEXT(I147,"mm-yyyy")</f>
        <v>TheraPREP Pro CHG IPA Applicator 26 ml (1 CTN = 10 BOXES, 1 BOX = 12 PCS)
LOT # TCE26001 EXP # 01-2029</v>
      </c>
      <c r="F147" s="42" t="s">
        <v>182</v>
      </c>
      <c r="G147" s="23" t="s">
        <v>18</v>
      </c>
      <c r="H147" s="24" t="s">
        <v>498</v>
      </c>
      <c r="I147" s="25">
        <v>47119</v>
      </c>
      <c r="J147" s="26">
        <f t="shared" si="17"/>
        <v>1826</v>
      </c>
      <c r="K147" s="41">
        <v>1924</v>
      </c>
      <c r="L147" s="26">
        <f t="shared" si="27"/>
        <v>98</v>
      </c>
      <c r="M147" s="26">
        <f>SUM(J146,J147)</f>
        <v>1826</v>
      </c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34">
        <f>96</f>
        <v>96</v>
      </c>
      <c r="Y147" s="34">
        <f>2</f>
        <v>2</v>
      </c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30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2"/>
      <c r="GS147" s="32"/>
      <c r="GT147" s="32"/>
      <c r="GU147" s="32"/>
      <c r="GV147" s="32"/>
      <c r="GW147" s="32"/>
      <c r="GX147" s="32"/>
      <c r="GY147" s="32"/>
      <c r="GZ147" s="32"/>
      <c r="HA147" s="32"/>
      <c r="HB147" s="32"/>
      <c r="HC147" s="32"/>
      <c r="HD147" s="32"/>
      <c r="HE147" s="32"/>
      <c r="HF147" s="32"/>
      <c r="HG147" s="32"/>
      <c r="HH147" s="32"/>
      <c r="HI147" s="32"/>
      <c r="HJ147" s="32"/>
      <c r="HK147" s="32"/>
      <c r="HL147" s="32"/>
      <c r="HM147" s="32"/>
      <c r="HN147" s="32"/>
      <c r="HO147" s="32"/>
      <c r="HP147" s="32"/>
      <c r="HQ147" s="32"/>
      <c r="HR147" s="32"/>
      <c r="HS147" s="32"/>
      <c r="HT147" s="32"/>
      <c r="HU147" s="32"/>
      <c r="HV147" s="32"/>
      <c r="HW147" s="32"/>
      <c r="HX147" s="32"/>
      <c r="HY147" s="32"/>
      <c r="HZ147" s="32"/>
      <c r="IA147" s="32"/>
      <c r="IB147" s="32"/>
      <c r="IC147" s="32"/>
      <c r="ID147" s="32"/>
      <c r="IE147" s="32"/>
      <c r="IF147" s="32"/>
      <c r="IG147" s="32"/>
      <c r="IH147" s="32"/>
      <c r="II147" s="32"/>
      <c r="IJ147" s="32"/>
      <c r="IK147" s="32"/>
      <c r="IL147" s="32"/>
      <c r="IM147" s="32"/>
      <c r="IN147" s="32"/>
      <c r="IO147" s="32"/>
      <c r="IP147" s="32"/>
      <c r="IQ147" s="32"/>
      <c r="IR147" s="32"/>
      <c r="IS147" s="32"/>
      <c r="IT147" s="32"/>
      <c r="IU147" s="32"/>
      <c r="IV147" s="32"/>
      <c r="IW147" s="32"/>
      <c r="IX147" s="33"/>
    </row>
    <row r="148" spans="1:258" x14ac:dyDescent="0.3">
      <c r="A148" s="63" t="s">
        <v>152</v>
      </c>
      <c r="B148" s="23" t="s">
        <v>153</v>
      </c>
      <c r="C148" s="23" t="s">
        <v>153</v>
      </c>
      <c r="D148" s="23" t="s">
        <v>153</v>
      </c>
      <c r="E148" s="23" t="s">
        <v>210</v>
      </c>
      <c r="F148" s="23" t="s">
        <v>173</v>
      </c>
      <c r="G148" s="23" t="s">
        <v>18</v>
      </c>
      <c r="H148" s="24"/>
      <c r="I148" s="24"/>
      <c r="J148" s="26">
        <f t="shared" si="17"/>
        <v>10929</v>
      </c>
      <c r="K148" s="38">
        <v>10929</v>
      </c>
      <c r="L148" s="26">
        <f t="shared" si="27"/>
        <v>0</v>
      </c>
      <c r="M148" s="26">
        <f t="shared" ref="M148:M161" si="28">SUM(J148)</f>
        <v>10929</v>
      </c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30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2"/>
      <c r="GU148" s="32"/>
      <c r="GV148" s="32"/>
      <c r="GW148" s="32"/>
      <c r="GX148" s="32"/>
      <c r="GY148" s="32"/>
      <c r="GZ148" s="32"/>
      <c r="HA148" s="32"/>
      <c r="HB148" s="32"/>
      <c r="HC148" s="32"/>
      <c r="HD148" s="32"/>
      <c r="HE148" s="32"/>
      <c r="HF148" s="32"/>
      <c r="HG148" s="32"/>
      <c r="HH148" s="32"/>
      <c r="HI148" s="32"/>
      <c r="HJ148" s="32"/>
      <c r="HK148" s="32"/>
      <c r="HL148" s="32"/>
      <c r="HM148" s="32"/>
      <c r="HN148" s="32"/>
      <c r="HO148" s="32"/>
      <c r="HP148" s="32"/>
      <c r="HQ148" s="32"/>
      <c r="HR148" s="32"/>
      <c r="HS148" s="32"/>
      <c r="HT148" s="32"/>
      <c r="HU148" s="32"/>
      <c r="HV148" s="32"/>
      <c r="HW148" s="32"/>
      <c r="HX148" s="32"/>
      <c r="HY148" s="32"/>
      <c r="HZ148" s="32"/>
      <c r="IA148" s="32"/>
      <c r="IB148" s="32"/>
      <c r="IC148" s="32"/>
      <c r="ID148" s="32"/>
      <c r="IE148" s="32"/>
      <c r="IF148" s="32"/>
      <c r="IG148" s="32"/>
      <c r="IH148" s="32"/>
      <c r="II148" s="32"/>
      <c r="IJ148" s="32"/>
      <c r="IK148" s="32"/>
      <c r="IL148" s="32"/>
      <c r="IM148" s="32"/>
      <c r="IN148" s="32"/>
      <c r="IO148" s="32"/>
      <c r="IP148" s="32"/>
      <c r="IQ148" s="32"/>
      <c r="IR148" s="32"/>
      <c r="IS148" s="32"/>
      <c r="IT148" s="32"/>
      <c r="IU148" s="32"/>
      <c r="IV148" s="32"/>
      <c r="IW148" s="32"/>
      <c r="IX148" s="33"/>
    </row>
    <row r="149" spans="1:258" x14ac:dyDescent="0.3">
      <c r="A149" s="63" t="s">
        <v>154</v>
      </c>
      <c r="B149" s="23" t="s">
        <v>153</v>
      </c>
      <c r="C149" s="23" t="s">
        <v>153</v>
      </c>
      <c r="D149" s="23" t="s">
        <v>153</v>
      </c>
      <c r="E149" s="23" t="s">
        <v>211</v>
      </c>
      <c r="F149" s="23" t="s">
        <v>173</v>
      </c>
      <c r="G149" s="23" t="s">
        <v>18</v>
      </c>
      <c r="H149" s="24"/>
      <c r="I149" s="24"/>
      <c r="J149" s="26">
        <f t="shared" si="17"/>
        <v>4245</v>
      </c>
      <c r="K149" s="38">
        <v>4245</v>
      </c>
      <c r="L149" s="26">
        <f t="shared" si="27"/>
        <v>0</v>
      </c>
      <c r="M149" s="26">
        <f t="shared" si="28"/>
        <v>4245</v>
      </c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30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  <c r="FY149" s="32"/>
      <c r="FZ149" s="32"/>
      <c r="GA149" s="32"/>
      <c r="GB149" s="32"/>
      <c r="GC149" s="32"/>
      <c r="GD149" s="32"/>
      <c r="GE149" s="32"/>
      <c r="GF149" s="32"/>
      <c r="GG149" s="32"/>
      <c r="GH149" s="32"/>
      <c r="GI149" s="32"/>
      <c r="GJ149" s="32"/>
      <c r="GK149" s="32"/>
      <c r="GL149" s="32"/>
      <c r="GM149" s="32"/>
      <c r="GN149" s="32"/>
      <c r="GO149" s="32"/>
      <c r="GP149" s="32"/>
      <c r="GQ149" s="32"/>
      <c r="GR149" s="32"/>
      <c r="GS149" s="32"/>
      <c r="GT149" s="32"/>
      <c r="GU149" s="32"/>
      <c r="GV149" s="32"/>
      <c r="GW149" s="32"/>
      <c r="GX149" s="32"/>
      <c r="GY149" s="32"/>
      <c r="GZ149" s="32"/>
      <c r="HA149" s="32"/>
      <c r="HB149" s="32"/>
      <c r="HC149" s="32"/>
      <c r="HD149" s="32"/>
      <c r="HE149" s="32"/>
      <c r="HF149" s="32"/>
      <c r="HG149" s="32"/>
      <c r="HH149" s="32"/>
      <c r="HI149" s="32"/>
      <c r="HJ149" s="32"/>
      <c r="HK149" s="32"/>
      <c r="HL149" s="32"/>
      <c r="HM149" s="32"/>
      <c r="HN149" s="32"/>
      <c r="HO149" s="32"/>
      <c r="HP149" s="32"/>
      <c r="HQ149" s="32"/>
      <c r="HR149" s="32"/>
      <c r="HS149" s="32"/>
      <c r="HT149" s="32"/>
      <c r="HU149" s="32"/>
      <c r="HV149" s="32"/>
      <c r="HW149" s="32"/>
      <c r="HX149" s="32"/>
      <c r="HY149" s="32"/>
      <c r="HZ149" s="32"/>
      <c r="IA149" s="32"/>
      <c r="IB149" s="32"/>
      <c r="IC149" s="32"/>
      <c r="ID149" s="32"/>
      <c r="IE149" s="32"/>
      <c r="IF149" s="32"/>
      <c r="IG149" s="32"/>
      <c r="IH149" s="32"/>
      <c r="II149" s="32"/>
      <c r="IJ149" s="32"/>
      <c r="IK149" s="32"/>
      <c r="IL149" s="32"/>
      <c r="IM149" s="32"/>
      <c r="IN149" s="32"/>
      <c r="IO149" s="32"/>
      <c r="IP149" s="32"/>
      <c r="IQ149" s="32"/>
      <c r="IR149" s="32"/>
      <c r="IS149" s="32"/>
      <c r="IT149" s="32"/>
      <c r="IU149" s="32"/>
      <c r="IV149" s="32"/>
      <c r="IW149" s="32"/>
      <c r="IX149" s="33"/>
    </row>
    <row r="150" spans="1:258" x14ac:dyDescent="0.3">
      <c r="A150" s="63" t="s">
        <v>155</v>
      </c>
      <c r="B150" s="23" t="s">
        <v>153</v>
      </c>
      <c r="C150" s="23" t="s">
        <v>153</v>
      </c>
      <c r="D150" s="23" t="s">
        <v>153</v>
      </c>
      <c r="E150" s="23" t="s">
        <v>212</v>
      </c>
      <c r="F150" s="23" t="s">
        <v>173</v>
      </c>
      <c r="G150" s="23" t="s">
        <v>18</v>
      </c>
      <c r="H150" s="24"/>
      <c r="I150" s="24"/>
      <c r="J150" s="26">
        <f t="shared" si="17"/>
        <v>3300</v>
      </c>
      <c r="K150" s="38">
        <v>3300</v>
      </c>
      <c r="L150" s="26">
        <f t="shared" si="27"/>
        <v>0</v>
      </c>
      <c r="M150" s="26">
        <f t="shared" si="28"/>
        <v>3300</v>
      </c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30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  <c r="FC150" s="32"/>
      <c r="FD150" s="32"/>
      <c r="FE150" s="32"/>
      <c r="FF150" s="32"/>
      <c r="FG150" s="32"/>
      <c r="FH150" s="32"/>
      <c r="FI150" s="32"/>
      <c r="FJ150" s="32"/>
      <c r="FK150" s="32"/>
      <c r="FL150" s="32"/>
      <c r="FM150" s="32"/>
      <c r="FN150" s="32"/>
      <c r="FO150" s="32"/>
      <c r="FP150" s="32"/>
      <c r="FQ150" s="32"/>
      <c r="FR150" s="32"/>
      <c r="FS150" s="32"/>
      <c r="FT150" s="32"/>
      <c r="FU150" s="32"/>
      <c r="FV150" s="32"/>
      <c r="FW150" s="32"/>
      <c r="FX150" s="32"/>
      <c r="FY150" s="32"/>
      <c r="FZ150" s="32"/>
      <c r="GA150" s="32"/>
      <c r="GB150" s="32"/>
      <c r="GC150" s="32"/>
      <c r="GD150" s="32"/>
      <c r="GE150" s="32"/>
      <c r="GF150" s="32"/>
      <c r="GG150" s="32"/>
      <c r="GH150" s="32"/>
      <c r="GI150" s="32"/>
      <c r="GJ150" s="32"/>
      <c r="GK150" s="32"/>
      <c r="GL150" s="32"/>
      <c r="GM150" s="32"/>
      <c r="GN150" s="32"/>
      <c r="GO150" s="32"/>
      <c r="GP150" s="32"/>
      <c r="GQ150" s="32"/>
      <c r="GR150" s="32"/>
      <c r="GS150" s="32"/>
      <c r="GT150" s="32"/>
      <c r="GU150" s="32"/>
      <c r="GV150" s="32"/>
      <c r="GW150" s="32"/>
      <c r="GX150" s="32"/>
      <c r="GY150" s="32"/>
      <c r="GZ150" s="32"/>
      <c r="HA150" s="32"/>
      <c r="HB150" s="32"/>
      <c r="HC150" s="32"/>
      <c r="HD150" s="32"/>
      <c r="HE150" s="32"/>
      <c r="HF150" s="32"/>
      <c r="HG150" s="32"/>
      <c r="HH150" s="32"/>
      <c r="HI150" s="32"/>
      <c r="HJ150" s="32"/>
      <c r="HK150" s="32"/>
      <c r="HL150" s="32"/>
      <c r="HM150" s="32"/>
      <c r="HN150" s="32"/>
      <c r="HO150" s="32"/>
      <c r="HP150" s="32"/>
      <c r="HQ150" s="32"/>
      <c r="HR150" s="32"/>
      <c r="HS150" s="32"/>
      <c r="HT150" s="32"/>
      <c r="HU150" s="32"/>
      <c r="HV150" s="32"/>
      <c r="HW150" s="32"/>
      <c r="HX150" s="32"/>
      <c r="HY150" s="32"/>
      <c r="HZ150" s="32"/>
      <c r="IA150" s="32"/>
      <c r="IB150" s="32"/>
      <c r="IC150" s="32"/>
      <c r="ID150" s="32"/>
      <c r="IE150" s="32"/>
      <c r="IF150" s="32"/>
      <c r="IG150" s="32"/>
      <c r="IH150" s="32"/>
      <c r="II150" s="32"/>
      <c r="IJ150" s="32"/>
      <c r="IK150" s="32"/>
      <c r="IL150" s="32"/>
      <c r="IM150" s="32"/>
      <c r="IN150" s="32"/>
      <c r="IO150" s="32"/>
      <c r="IP150" s="32"/>
      <c r="IQ150" s="32"/>
      <c r="IR150" s="32"/>
      <c r="IS150" s="32"/>
      <c r="IT150" s="32"/>
      <c r="IU150" s="32"/>
      <c r="IV150" s="32"/>
      <c r="IW150" s="32"/>
      <c r="IX150" s="33"/>
    </row>
    <row r="151" spans="1:258" x14ac:dyDescent="0.3">
      <c r="A151" s="63" t="s">
        <v>156</v>
      </c>
      <c r="B151" s="23" t="s">
        <v>153</v>
      </c>
      <c r="C151" s="23" t="s">
        <v>153</v>
      </c>
      <c r="D151" s="23" t="s">
        <v>153</v>
      </c>
      <c r="E151" s="23" t="s">
        <v>213</v>
      </c>
      <c r="F151" s="23" t="s">
        <v>173</v>
      </c>
      <c r="G151" s="23" t="s">
        <v>18</v>
      </c>
      <c r="H151" s="24"/>
      <c r="I151" s="24"/>
      <c r="J151" s="26">
        <f t="shared" si="17"/>
        <v>92</v>
      </c>
      <c r="K151" s="38">
        <v>92</v>
      </c>
      <c r="L151" s="26">
        <f t="shared" si="27"/>
        <v>0</v>
      </c>
      <c r="M151" s="26">
        <f t="shared" si="28"/>
        <v>92</v>
      </c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30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2"/>
      <c r="GS151" s="32"/>
      <c r="GT151" s="32"/>
      <c r="GU151" s="32"/>
      <c r="GV151" s="32"/>
      <c r="GW151" s="32"/>
      <c r="GX151" s="32"/>
      <c r="GY151" s="32"/>
      <c r="GZ151" s="32"/>
      <c r="HA151" s="32"/>
      <c r="HB151" s="32"/>
      <c r="HC151" s="32"/>
      <c r="HD151" s="32"/>
      <c r="HE151" s="32"/>
      <c r="HF151" s="32"/>
      <c r="HG151" s="32"/>
      <c r="HH151" s="32"/>
      <c r="HI151" s="32"/>
      <c r="HJ151" s="32"/>
      <c r="HK151" s="32"/>
      <c r="HL151" s="32"/>
      <c r="HM151" s="32"/>
      <c r="HN151" s="32"/>
      <c r="HO151" s="32"/>
      <c r="HP151" s="32"/>
      <c r="HQ151" s="32"/>
      <c r="HR151" s="32"/>
      <c r="HS151" s="32"/>
      <c r="HT151" s="32"/>
      <c r="HU151" s="32"/>
      <c r="HV151" s="32"/>
      <c r="HW151" s="32"/>
      <c r="HX151" s="32"/>
      <c r="HY151" s="32"/>
      <c r="HZ151" s="32"/>
      <c r="IA151" s="32"/>
      <c r="IB151" s="32"/>
      <c r="IC151" s="32"/>
      <c r="ID151" s="32"/>
      <c r="IE151" s="32"/>
      <c r="IF151" s="32"/>
      <c r="IG151" s="32"/>
      <c r="IH151" s="32"/>
      <c r="II151" s="32"/>
      <c r="IJ151" s="32"/>
      <c r="IK151" s="32"/>
      <c r="IL151" s="32"/>
      <c r="IM151" s="32"/>
      <c r="IN151" s="32"/>
      <c r="IO151" s="32"/>
      <c r="IP151" s="32"/>
      <c r="IQ151" s="32"/>
      <c r="IR151" s="32"/>
      <c r="IS151" s="32"/>
      <c r="IT151" s="32"/>
      <c r="IU151" s="32"/>
      <c r="IV151" s="32"/>
      <c r="IW151" s="32"/>
      <c r="IX151" s="33"/>
    </row>
    <row r="152" spans="1:258" x14ac:dyDescent="0.3">
      <c r="A152" s="63" t="s">
        <v>157</v>
      </c>
      <c r="B152" s="23" t="s">
        <v>153</v>
      </c>
      <c r="C152" s="23" t="s">
        <v>153</v>
      </c>
      <c r="D152" s="23" t="s">
        <v>153</v>
      </c>
      <c r="E152" s="23" t="s">
        <v>214</v>
      </c>
      <c r="F152" s="23" t="s">
        <v>173</v>
      </c>
      <c r="G152" s="23" t="s">
        <v>18</v>
      </c>
      <c r="H152" s="24"/>
      <c r="I152" s="24"/>
      <c r="J152" s="26">
        <f t="shared" si="17"/>
        <v>136</v>
      </c>
      <c r="K152" s="38">
        <v>136</v>
      </c>
      <c r="L152" s="26">
        <f t="shared" si="27"/>
        <v>0</v>
      </c>
      <c r="M152" s="26">
        <f t="shared" si="28"/>
        <v>136</v>
      </c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30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2"/>
      <c r="GU152" s="32"/>
      <c r="GV152" s="32"/>
      <c r="GW152" s="32"/>
      <c r="GX152" s="32"/>
      <c r="GY152" s="32"/>
      <c r="GZ152" s="32"/>
      <c r="HA152" s="32"/>
      <c r="HB152" s="32"/>
      <c r="HC152" s="32"/>
      <c r="HD152" s="32"/>
      <c r="HE152" s="32"/>
      <c r="HF152" s="32"/>
      <c r="HG152" s="32"/>
      <c r="HH152" s="32"/>
      <c r="HI152" s="32"/>
      <c r="HJ152" s="32"/>
      <c r="HK152" s="32"/>
      <c r="HL152" s="32"/>
      <c r="HM152" s="32"/>
      <c r="HN152" s="32"/>
      <c r="HO152" s="32"/>
      <c r="HP152" s="32"/>
      <c r="HQ152" s="32"/>
      <c r="HR152" s="32"/>
      <c r="HS152" s="32"/>
      <c r="HT152" s="32"/>
      <c r="HU152" s="32"/>
      <c r="HV152" s="32"/>
      <c r="HW152" s="32"/>
      <c r="HX152" s="32"/>
      <c r="HY152" s="32"/>
      <c r="HZ152" s="32"/>
      <c r="IA152" s="32"/>
      <c r="IB152" s="32"/>
      <c r="IC152" s="32"/>
      <c r="ID152" s="32"/>
      <c r="IE152" s="32"/>
      <c r="IF152" s="32"/>
      <c r="IG152" s="32"/>
      <c r="IH152" s="32"/>
      <c r="II152" s="32"/>
      <c r="IJ152" s="32"/>
      <c r="IK152" s="32"/>
      <c r="IL152" s="32"/>
      <c r="IM152" s="32"/>
      <c r="IN152" s="32"/>
      <c r="IO152" s="32"/>
      <c r="IP152" s="32"/>
      <c r="IQ152" s="32"/>
      <c r="IR152" s="32"/>
      <c r="IS152" s="32"/>
      <c r="IT152" s="32"/>
      <c r="IU152" s="32"/>
      <c r="IV152" s="32"/>
      <c r="IW152" s="32"/>
      <c r="IX152" s="33"/>
    </row>
    <row r="153" spans="1:258" x14ac:dyDescent="0.3">
      <c r="A153" s="63" t="s">
        <v>158</v>
      </c>
      <c r="B153" s="23" t="s">
        <v>153</v>
      </c>
      <c r="C153" s="23" t="s">
        <v>153</v>
      </c>
      <c r="D153" s="23" t="s">
        <v>153</v>
      </c>
      <c r="E153" s="23" t="s">
        <v>215</v>
      </c>
      <c r="F153" s="23" t="s">
        <v>173</v>
      </c>
      <c r="G153" s="23" t="s">
        <v>18</v>
      </c>
      <c r="H153" s="24"/>
      <c r="I153" s="24"/>
      <c r="J153" s="26">
        <f t="shared" si="17"/>
        <v>24</v>
      </c>
      <c r="K153" s="38">
        <v>24</v>
      </c>
      <c r="L153" s="26">
        <f t="shared" si="27"/>
        <v>0</v>
      </c>
      <c r="M153" s="26">
        <f t="shared" si="28"/>
        <v>24</v>
      </c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30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2"/>
      <c r="GU153" s="32"/>
      <c r="GV153" s="32"/>
      <c r="GW153" s="32"/>
      <c r="GX153" s="32"/>
      <c r="GY153" s="32"/>
      <c r="GZ153" s="32"/>
      <c r="HA153" s="32"/>
      <c r="HB153" s="32"/>
      <c r="HC153" s="32"/>
      <c r="HD153" s="32"/>
      <c r="HE153" s="32"/>
      <c r="HF153" s="32"/>
      <c r="HG153" s="32"/>
      <c r="HH153" s="32"/>
      <c r="HI153" s="32"/>
      <c r="HJ153" s="32"/>
      <c r="HK153" s="32"/>
      <c r="HL153" s="32"/>
      <c r="HM153" s="32"/>
      <c r="HN153" s="32"/>
      <c r="HO153" s="32"/>
      <c r="HP153" s="32"/>
      <c r="HQ153" s="32"/>
      <c r="HR153" s="32"/>
      <c r="HS153" s="32"/>
      <c r="HT153" s="32"/>
      <c r="HU153" s="32"/>
      <c r="HV153" s="32"/>
      <c r="HW153" s="32"/>
      <c r="HX153" s="32"/>
      <c r="HY153" s="32"/>
      <c r="HZ153" s="32"/>
      <c r="IA153" s="32"/>
      <c r="IB153" s="32"/>
      <c r="IC153" s="32"/>
      <c r="ID153" s="32"/>
      <c r="IE153" s="32"/>
      <c r="IF153" s="32"/>
      <c r="IG153" s="32"/>
      <c r="IH153" s="32"/>
      <c r="II153" s="32"/>
      <c r="IJ153" s="32"/>
      <c r="IK153" s="32"/>
      <c r="IL153" s="32"/>
      <c r="IM153" s="32"/>
      <c r="IN153" s="32"/>
      <c r="IO153" s="32"/>
      <c r="IP153" s="32"/>
      <c r="IQ153" s="32"/>
      <c r="IR153" s="32"/>
      <c r="IS153" s="32"/>
      <c r="IT153" s="32"/>
      <c r="IU153" s="32"/>
      <c r="IV153" s="32"/>
      <c r="IW153" s="32"/>
      <c r="IX153" s="33"/>
    </row>
    <row r="154" spans="1:258" x14ac:dyDescent="0.3">
      <c r="A154" s="63" t="s">
        <v>225</v>
      </c>
      <c r="B154" s="23" t="s">
        <v>153</v>
      </c>
      <c r="C154" s="23" t="s">
        <v>153</v>
      </c>
      <c r="D154" s="23" t="s">
        <v>153</v>
      </c>
      <c r="E154" s="23" t="s">
        <v>220</v>
      </c>
      <c r="F154" s="23" t="s">
        <v>173</v>
      </c>
      <c r="G154" s="23" t="s">
        <v>18</v>
      </c>
      <c r="H154" s="24"/>
      <c r="I154" s="24"/>
      <c r="J154" s="26">
        <f t="shared" si="17"/>
        <v>1838</v>
      </c>
      <c r="K154" s="38">
        <v>1838</v>
      </c>
      <c r="L154" s="26">
        <f t="shared" si="27"/>
        <v>0</v>
      </c>
      <c r="M154" s="26">
        <f t="shared" si="28"/>
        <v>1838</v>
      </c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30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32"/>
      <c r="FR154" s="32"/>
      <c r="FS154" s="32"/>
      <c r="FT154" s="32"/>
      <c r="FU154" s="32"/>
      <c r="FV154" s="32"/>
      <c r="FW154" s="32"/>
      <c r="FX154" s="32"/>
      <c r="FY154" s="32"/>
      <c r="FZ154" s="32"/>
      <c r="GA154" s="32"/>
      <c r="GB154" s="32"/>
      <c r="GC154" s="32"/>
      <c r="GD154" s="32"/>
      <c r="GE154" s="32"/>
      <c r="GF154" s="32"/>
      <c r="GG154" s="32"/>
      <c r="GH154" s="32"/>
      <c r="GI154" s="32"/>
      <c r="GJ154" s="32"/>
      <c r="GK154" s="32"/>
      <c r="GL154" s="32"/>
      <c r="GM154" s="32"/>
      <c r="GN154" s="32"/>
      <c r="GO154" s="32"/>
      <c r="GP154" s="32"/>
      <c r="GQ154" s="32"/>
      <c r="GR154" s="32"/>
      <c r="GS154" s="32"/>
      <c r="GT154" s="32"/>
      <c r="GU154" s="32"/>
      <c r="GV154" s="32"/>
      <c r="GW154" s="32"/>
      <c r="GX154" s="32"/>
      <c r="GY154" s="32"/>
      <c r="GZ154" s="32"/>
      <c r="HA154" s="32"/>
      <c r="HB154" s="32"/>
      <c r="HC154" s="32"/>
      <c r="HD154" s="32"/>
      <c r="HE154" s="32"/>
      <c r="HF154" s="32"/>
      <c r="HG154" s="32"/>
      <c r="HH154" s="32"/>
      <c r="HI154" s="32"/>
      <c r="HJ154" s="32"/>
      <c r="HK154" s="32"/>
      <c r="HL154" s="32"/>
      <c r="HM154" s="32"/>
      <c r="HN154" s="32"/>
      <c r="HO154" s="32"/>
      <c r="HP154" s="32"/>
      <c r="HQ154" s="32"/>
      <c r="HR154" s="32"/>
      <c r="HS154" s="32"/>
      <c r="HT154" s="32"/>
      <c r="HU154" s="32"/>
      <c r="HV154" s="32"/>
      <c r="HW154" s="32"/>
      <c r="HX154" s="32"/>
      <c r="HY154" s="32"/>
      <c r="HZ154" s="32"/>
      <c r="IA154" s="32"/>
      <c r="IB154" s="32"/>
      <c r="IC154" s="32"/>
      <c r="ID154" s="32"/>
      <c r="IE154" s="32"/>
      <c r="IF154" s="32"/>
      <c r="IG154" s="32"/>
      <c r="IH154" s="32"/>
      <c r="II154" s="32"/>
      <c r="IJ154" s="32"/>
      <c r="IK154" s="32"/>
      <c r="IL154" s="32"/>
      <c r="IM154" s="32"/>
      <c r="IN154" s="32"/>
      <c r="IO154" s="32"/>
      <c r="IP154" s="32"/>
      <c r="IQ154" s="32"/>
      <c r="IR154" s="32"/>
      <c r="IS154" s="32"/>
      <c r="IT154" s="32"/>
      <c r="IU154" s="32"/>
      <c r="IV154" s="32"/>
      <c r="IW154" s="32"/>
      <c r="IX154" s="33"/>
    </row>
    <row r="155" spans="1:258" x14ac:dyDescent="0.3">
      <c r="A155" s="63" t="s">
        <v>226</v>
      </c>
      <c r="B155" s="23" t="s">
        <v>153</v>
      </c>
      <c r="C155" s="23" t="s">
        <v>153</v>
      </c>
      <c r="D155" s="23" t="s">
        <v>153</v>
      </c>
      <c r="E155" s="23" t="s">
        <v>221</v>
      </c>
      <c r="F155" s="23" t="s">
        <v>173</v>
      </c>
      <c r="G155" s="23" t="s">
        <v>18</v>
      </c>
      <c r="H155" s="24"/>
      <c r="I155" s="24"/>
      <c r="J155" s="26">
        <f t="shared" ref="J155:J170" si="29">K155-L155</f>
        <v>3150</v>
      </c>
      <c r="K155" s="38">
        <v>3150</v>
      </c>
      <c r="L155" s="26">
        <f t="shared" si="27"/>
        <v>0</v>
      </c>
      <c r="M155" s="26">
        <f t="shared" si="28"/>
        <v>3150</v>
      </c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30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32"/>
      <c r="FA155" s="32"/>
      <c r="FB155" s="32"/>
      <c r="FC155" s="32"/>
      <c r="FD155" s="32"/>
      <c r="FE155" s="32"/>
      <c r="FF155" s="32"/>
      <c r="FG155" s="32"/>
      <c r="FH155" s="32"/>
      <c r="FI155" s="32"/>
      <c r="FJ155" s="32"/>
      <c r="FK155" s="32"/>
      <c r="FL155" s="32"/>
      <c r="FM155" s="32"/>
      <c r="FN155" s="32"/>
      <c r="FO155" s="32"/>
      <c r="FP155" s="32"/>
      <c r="FQ155" s="32"/>
      <c r="FR155" s="32"/>
      <c r="FS155" s="32"/>
      <c r="FT155" s="32"/>
      <c r="FU155" s="32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2"/>
      <c r="GS155" s="32"/>
      <c r="GT155" s="32"/>
      <c r="GU155" s="32"/>
      <c r="GV155" s="32"/>
      <c r="GW155" s="32"/>
      <c r="GX155" s="32"/>
      <c r="GY155" s="32"/>
      <c r="GZ155" s="32"/>
      <c r="HA155" s="32"/>
      <c r="HB155" s="32"/>
      <c r="HC155" s="32"/>
      <c r="HD155" s="32"/>
      <c r="HE155" s="32"/>
      <c r="HF155" s="32"/>
      <c r="HG155" s="32"/>
      <c r="HH155" s="32"/>
      <c r="HI155" s="32"/>
      <c r="HJ155" s="32"/>
      <c r="HK155" s="32"/>
      <c r="HL155" s="32"/>
      <c r="HM155" s="32"/>
      <c r="HN155" s="32"/>
      <c r="HO155" s="32"/>
      <c r="HP155" s="32"/>
      <c r="HQ155" s="32"/>
      <c r="HR155" s="32"/>
      <c r="HS155" s="32"/>
      <c r="HT155" s="32"/>
      <c r="HU155" s="32"/>
      <c r="HV155" s="32"/>
      <c r="HW155" s="32"/>
      <c r="HX155" s="32"/>
      <c r="HY155" s="32"/>
      <c r="HZ155" s="32"/>
      <c r="IA155" s="32"/>
      <c r="IB155" s="32"/>
      <c r="IC155" s="32"/>
      <c r="ID155" s="32"/>
      <c r="IE155" s="32"/>
      <c r="IF155" s="32"/>
      <c r="IG155" s="32"/>
      <c r="IH155" s="32"/>
      <c r="II155" s="32"/>
      <c r="IJ155" s="32"/>
      <c r="IK155" s="32"/>
      <c r="IL155" s="32"/>
      <c r="IM155" s="32"/>
      <c r="IN155" s="32"/>
      <c r="IO155" s="32"/>
      <c r="IP155" s="32"/>
      <c r="IQ155" s="32"/>
      <c r="IR155" s="32"/>
      <c r="IS155" s="32"/>
      <c r="IT155" s="32"/>
      <c r="IU155" s="32"/>
      <c r="IV155" s="32"/>
      <c r="IW155" s="32"/>
      <c r="IX155" s="33"/>
    </row>
    <row r="156" spans="1:258" x14ac:dyDescent="0.3">
      <c r="A156" s="63" t="s">
        <v>227</v>
      </c>
      <c r="B156" s="23" t="s">
        <v>153</v>
      </c>
      <c r="C156" s="23" t="s">
        <v>153</v>
      </c>
      <c r="D156" s="23" t="s">
        <v>153</v>
      </c>
      <c r="E156" s="23" t="s">
        <v>222</v>
      </c>
      <c r="F156" s="23" t="s">
        <v>173</v>
      </c>
      <c r="G156" s="23" t="s">
        <v>18</v>
      </c>
      <c r="H156" s="24"/>
      <c r="I156" s="24"/>
      <c r="J156" s="26">
        <f t="shared" si="29"/>
        <v>3150</v>
      </c>
      <c r="K156" s="38">
        <v>3150</v>
      </c>
      <c r="L156" s="26">
        <f t="shared" si="27"/>
        <v>0</v>
      </c>
      <c r="M156" s="26">
        <f t="shared" si="28"/>
        <v>3150</v>
      </c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30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  <c r="EW156" s="32"/>
      <c r="EX156" s="32"/>
      <c r="EY156" s="32"/>
      <c r="EZ156" s="32"/>
      <c r="FA156" s="32"/>
      <c r="FB156" s="32"/>
      <c r="FC156" s="32"/>
      <c r="FD156" s="32"/>
      <c r="FE156" s="32"/>
      <c r="FF156" s="32"/>
      <c r="FG156" s="32"/>
      <c r="FH156" s="32"/>
      <c r="FI156" s="32"/>
      <c r="FJ156" s="32"/>
      <c r="FK156" s="32"/>
      <c r="FL156" s="32"/>
      <c r="FM156" s="32"/>
      <c r="FN156" s="32"/>
      <c r="FO156" s="32"/>
      <c r="FP156" s="32"/>
      <c r="FQ156" s="32"/>
      <c r="FR156" s="32"/>
      <c r="FS156" s="32"/>
      <c r="FT156" s="32"/>
      <c r="FU156" s="32"/>
      <c r="FV156" s="32"/>
      <c r="FW156" s="32"/>
      <c r="FX156" s="32"/>
      <c r="FY156" s="32"/>
      <c r="FZ156" s="32"/>
      <c r="GA156" s="32"/>
      <c r="GB156" s="32"/>
      <c r="GC156" s="32"/>
      <c r="GD156" s="32"/>
      <c r="GE156" s="32"/>
      <c r="GF156" s="32"/>
      <c r="GG156" s="32"/>
      <c r="GH156" s="32"/>
      <c r="GI156" s="32"/>
      <c r="GJ156" s="32"/>
      <c r="GK156" s="32"/>
      <c r="GL156" s="32"/>
      <c r="GM156" s="32"/>
      <c r="GN156" s="32"/>
      <c r="GO156" s="32"/>
      <c r="GP156" s="32"/>
      <c r="GQ156" s="32"/>
      <c r="GR156" s="32"/>
      <c r="GS156" s="32"/>
      <c r="GT156" s="32"/>
      <c r="GU156" s="32"/>
      <c r="GV156" s="32"/>
      <c r="GW156" s="32"/>
      <c r="GX156" s="32"/>
      <c r="GY156" s="32"/>
      <c r="GZ156" s="32"/>
      <c r="HA156" s="32"/>
      <c r="HB156" s="32"/>
      <c r="HC156" s="32"/>
      <c r="HD156" s="32"/>
      <c r="HE156" s="32"/>
      <c r="HF156" s="32"/>
      <c r="HG156" s="32"/>
      <c r="HH156" s="32"/>
      <c r="HI156" s="32"/>
      <c r="HJ156" s="32"/>
      <c r="HK156" s="32"/>
      <c r="HL156" s="32"/>
      <c r="HM156" s="32"/>
      <c r="HN156" s="32"/>
      <c r="HO156" s="32"/>
      <c r="HP156" s="32"/>
      <c r="HQ156" s="32"/>
      <c r="HR156" s="32"/>
      <c r="HS156" s="32"/>
      <c r="HT156" s="32"/>
      <c r="HU156" s="32"/>
      <c r="HV156" s="32"/>
      <c r="HW156" s="32"/>
      <c r="HX156" s="32"/>
      <c r="HY156" s="32"/>
      <c r="HZ156" s="32"/>
      <c r="IA156" s="32"/>
      <c r="IB156" s="32"/>
      <c r="IC156" s="32"/>
      <c r="ID156" s="32"/>
      <c r="IE156" s="32"/>
      <c r="IF156" s="32"/>
      <c r="IG156" s="32"/>
      <c r="IH156" s="32"/>
      <c r="II156" s="32"/>
      <c r="IJ156" s="32"/>
      <c r="IK156" s="32"/>
      <c r="IL156" s="32"/>
      <c r="IM156" s="32"/>
      <c r="IN156" s="32"/>
      <c r="IO156" s="32"/>
      <c r="IP156" s="32"/>
      <c r="IQ156" s="32"/>
      <c r="IR156" s="32"/>
      <c r="IS156" s="32"/>
      <c r="IT156" s="32"/>
      <c r="IU156" s="32"/>
      <c r="IV156" s="32"/>
      <c r="IW156" s="32"/>
      <c r="IX156" s="33"/>
    </row>
    <row r="157" spans="1:258" x14ac:dyDescent="0.3">
      <c r="A157" s="63" t="s">
        <v>228</v>
      </c>
      <c r="B157" s="23" t="s">
        <v>153</v>
      </c>
      <c r="C157" s="23" t="s">
        <v>153</v>
      </c>
      <c r="D157" s="23" t="s">
        <v>153</v>
      </c>
      <c r="E157" s="23" t="s">
        <v>223</v>
      </c>
      <c r="F157" s="23" t="s">
        <v>173</v>
      </c>
      <c r="G157" s="23" t="s">
        <v>18</v>
      </c>
      <c r="H157" s="24"/>
      <c r="I157" s="24"/>
      <c r="J157" s="26">
        <f t="shared" si="29"/>
        <v>4274</v>
      </c>
      <c r="K157" s="38">
        <v>4274</v>
      </c>
      <c r="L157" s="26">
        <f t="shared" si="27"/>
        <v>0</v>
      </c>
      <c r="M157" s="26">
        <f t="shared" si="28"/>
        <v>4274</v>
      </c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30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  <c r="EW157" s="32"/>
      <c r="EX157" s="32"/>
      <c r="EY157" s="32"/>
      <c r="EZ157" s="32"/>
      <c r="FA157" s="32"/>
      <c r="FB157" s="32"/>
      <c r="FC157" s="32"/>
      <c r="FD157" s="32"/>
      <c r="FE157" s="32"/>
      <c r="FF157" s="32"/>
      <c r="FG157" s="32"/>
      <c r="FH157" s="32"/>
      <c r="FI157" s="32"/>
      <c r="FJ157" s="32"/>
      <c r="FK157" s="32"/>
      <c r="FL157" s="32"/>
      <c r="FM157" s="32"/>
      <c r="FN157" s="32"/>
      <c r="FO157" s="32"/>
      <c r="FP157" s="32"/>
      <c r="FQ157" s="32"/>
      <c r="FR157" s="32"/>
      <c r="FS157" s="32"/>
      <c r="FT157" s="32"/>
      <c r="FU157" s="32"/>
      <c r="FV157" s="32"/>
      <c r="FW157" s="32"/>
      <c r="FX157" s="32"/>
      <c r="FY157" s="32"/>
      <c r="FZ157" s="32"/>
      <c r="GA157" s="32"/>
      <c r="GB157" s="32"/>
      <c r="GC157" s="32"/>
      <c r="GD157" s="32"/>
      <c r="GE157" s="32"/>
      <c r="GF157" s="32"/>
      <c r="GG157" s="32"/>
      <c r="GH157" s="32"/>
      <c r="GI157" s="32"/>
      <c r="GJ157" s="32"/>
      <c r="GK157" s="32"/>
      <c r="GL157" s="32"/>
      <c r="GM157" s="32"/>
      <c r="GN157" s="32"/>
      <c r="GO157" s="32"/>
      <c r="GP157" s="32"/>
      <c r="GQ157" s="32"/>
      <c r="GR157" s="32"/>
      <c r="GS157" s="32"/>
      <c r="GT157" s="32"/>
      <c r="GU157" s="32"/>
      <c r="GV157" s="32"/>
      <c r="GW157" s="32"/>
      <c r="GX157" s="32"/>
      <c r="GY157" s="32"/>
      <c r="GZ157" s="32"/>
      <c r="HA157" s="32"/>
      <c r="HB157" s="32"/>
      <c r="HC157" s="32"/>
      <c r="HD157" s="32"/>
      <c r="HE157" s="32"/>
      <c r="HF157" s="32"/>
      <c r="HG157" s="32"/>
      <c r="HH157" s="32"/>
      <c r="HI157" s="32"/>
      <c r="HJ157" s="32"/>
      <c r="HK157" s="32"/>
      <c r="HL157" s="32"/>
      <c r="HM157" s="32"/>
      <c r="HN157" s="32"/>
      <c r="HO157" s="32"/>
      <c r="HP157" s="32"/>
      <c r="HQ157" s="32"/>
      <c r="HR157" s="32"/>
      <c r="HS157" s="32"/>
      <c r="HT157" s="32"/>
      <c r="HU157" s="32"/>
      <c r="HV157" s="32"/>
      <c r="HW157" s="32"/>
      <c r="HX157" s="32"/>
      <c r="HY157" s="32"/>
      <c r="HZ157" s="32"/>
      <c r="IA157" s="32"/>
      <c r="IB157" s="32"/>
      <c r="IC157" s="32"/>
      <c r="ID157" s="32"/>
      <c r="IE157" s="32"/>
      <c r="IF157" s="32"/>
      <c r="IG157" s="32"/>
      <c r="IH157" s="32"/>
      <c r="II157" s="32"/>
      <c r="IJ157" s="32"/>
      <c r="IK157" s="32"/>
      <c r="IL157" s="32"/>
      <c r="IM157" s="32"/>
      <c r="IN157" s="32"/>
      <c r="IO157" s="32"/>
      <c r="IP157" s="32"/>
      <c r="IQ157" s="32"/>
      <c r="IR157" s="32"/>
      <c r="IS157" s="32"/>
      <c r="IT157" s="32"/>
      <c r="IU157" s="32"/>
      <c r="IV157" s="32"/>
      <c r="IW157" s="32"/>
      <c r="IX157" s="33"/>
    </row>
    <row r="158" spans="1:258" x14ac:dyDescent="0.3">
      <c r="A158" s="63" t="s">
        <v>229</v>
      </c>
      <c r="B158" s="23" t="s">
        <v>153</v>
      </c>
      <c r="C158" s="23" t="s">
        <v>153</v>
      </c>
      <c r="D158" s="23" t="s">
        <v>153</v>
      </c>
      <c r="E158" s="23" t="s">
        <v>252</v>
      </c>
      <c r="F158" s="23" t="s">
        <v>173</v>
      </c>
      <c r="G158" s="23" t="s">
        <v>18</v>
      </c>
      <c r="H158" s="24"/>
      <c r="I158" s="24"/>
      <c r="J158" s="39">
        <f>K158-L158</f>
        <v>4188</v>
      </c>
      <c r="K158" s="38">
        <v>4188</v>
      </c>
      <c r="L158" s="26">
        <f t="shared" si="27"/>
        <v>0</v>
      </c>
      <c r="M158" s="26">
        <f t="shared" si="28"/>
        <v>4188</v>
      </c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30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  <c r="EW158" s="32"/>
      <c r="EX158" s="32"/>
      <c r="EY158" s="32"/>
      <c r="EZ158" s="32"/>
      <c r="FA158" s="32"/>
      <c r="FB158" s="32"/>
      <c r="FC158" s="32"/>
      <c r="FD158" s="32"/>
      <c r="FE158" s="32"/>
      <c r="FF158" s="32"/>
      <c r="FG158" s="32"/>
      <c r="FH158" s="32"/>
      <c r="FI158" s="32"/>
      <c r="FJ158" s="32"/>
      <c r="FK158" s="32"/>
      <c r="FL158" s="32"/>
      <c r="FM158" s="32"/>
      <c r="FN158" s="32"/>
      <c r="FO158" s="32"/>
      <c r="FP158" s="32"/>
      <c r="FQ158" s="32"/>
      <c r="FR158" s="32"/>
      <c r="FS158" s="32"/>
      <c r="FT158" s="32"/>
      <c r="FU158" s="32"/>
      <c r="FV158" s="32"/>
      <c r="FW158" s="32"/>
      <c r="FX158" s="32"/>
      <c r="FY158" s="32"/>
      <c r="FZ158" s="32"/>
      <c r="GA158" s="32"/>
      <c r="GB158" s="32"/>
      <c r="GC158" s="32"/>
      <c r="GD158" s="32"/>
      <c r="GE158" s="32"/>
      <c r="GF158" s="32"/>
      <c r="GG158" s="32"/>
      <c r="GH158" s="32"/>
      <c r="GI158" s="32"/>
      <c r="GJ158" s="32"/>
      <c r="GK158" s="32"/>
      <c r="GL158" s="32"/>
      <c r="GM158" s="32"/>
      <c r="GN158" s="32"/>
      <c r="GO158" s="32"/>
      <c r="GP158" s="32"/>
      <c r="GQ158" s="32"/>
      <c r="GR158" s="32"/>
      <c r="GS158" s="32"/>
      <c r="GT158" s="32"/>
      <c r="GU158" s="32"/>
      <c r="GV158" s="32"/>
      <c r="GW158" s="32"/>
      <c r="GX158" s="32"/>
      <c r="GY158" s="32"/>
      <c r="GZ158" s="32"/>
      <c r="HA158" s="32"/>
      <c r="HB158" s="32"/>
      <c r="HC158" s="32"/>
      <c r="HD158" s="32"/>
      <c r="HE158" s="32"/>
      <c r="HF158" s="32"/>
      <c r="HG158" s="32"/>
      <c r="HH158" s="32"/>
      <c r="HI158" s="32"/>
      <c r="HJ158" s="32"/>
      <c r="HK158" s="32"/>
      <c r="HL158" s="32"/>
      <c r="HM158" s="32"/>
      <c r="HN158" s="32"/>
      <c r="HO158" s="32"/>
      <c r="HP158" s="32"/>
      <c r="HQ158" s="32"/>
      <c r="HR158" s="32"/>
      <c r="HS158" s="32"/>
      <c r="HT158" s="32"/>
      <c r="HU158" s="32"/>
      <c r="HV158" s="32"/>
      <c r="HW158" s="32"/>
      <c r="HX158" s="32"/>
      <c r="HY158" s="32"/>
      <c r="HZ158" s="32"/>
      <c r="IA158" s="32"/>
      <c r="IB158" s="32"/>
      <c r="IC158" s="32"/>
      <c r="ID158" s="32"/>
      <c r="IE158" s="32"/>
      <c r="IF158" s="32"/>
      <c r="IG158" s="32"/>
      <c r="IH158" s="32"/>
      <c r="II158" s="32"/>
      <c r="IJ158" s="32"/>
      <c r="IK158" s="32"/>
      <c r="IL158" s="32"/>
      <c r="IM158" s="32"/>
      <c r="IN158" s="32"/>
      <c r="IO158" s="32"/>
      <c r="IP158" s="32"/>
      <c r="IQ158" s="32"/>
      <c r="IR158" s="32"/>
      <c r="IS158" s="32"/>
      <c r="IT158" s="32"/>
      <c r="IU158" s="32"/>
      <c r="IV158" s="32"/>
      <c r="IW158" s="32"/>
      <c r="IX158" s="33"/>
    </row>
    <row r="159" spans="1:258" x14ac:dyDescent="0.3">
      <c r="A159" s="63" t="s">
        <v>230</v>
      </c>
      <c r="B159" s="23" t="s">
        <v>153</v>
      </c>
      <c r="C159" s="23" t="s">
        <v>153</v>
      </c>
      <c r="D159" s="23" t="s">
        <v>153</v>
      </c>
      <c r="E159" s="23" t="s">
        <v>224</v>
      </c>
      <c r="F159" s="23" t="s">
        <v>173</v>
      </c>
      <c r="G159" s="23" t="s">
        <v>18</v>
      </c>
      <c r="H159" s="24"/>
      <c r="I159" s="24"/>
      <c r="J159" s="26">
        <f t="shared" si="29"/>
        <v>5400</v>
      </c>
      <c r="K159" s="38">
        <v>5400</v>
      </c>
      <c r="L159" s="26">
        <f t="shared" si="27"/>
        <v>0</v>
      </c>
      <c r="M159" s="26">
        <f t="shared" si="28"/>
        <v>5400</v>
      </c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30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32"/>
      <c r="EX159" s="32"/>
      <c r="EY159" s="32"/>
      <c r="EZ159" s="32"/>
      <c r="FA159" s="32"/>
      <c r="FB159" s="32"/>
      <c r="FC159" s="32"/>
      <c r="FD159" s="32"/>
      <c r="FE159" s="32"/>
      <c r="FF159" s="32"/>
      <c r="FG159" s="32"/>
      <c r="FH159" s="32"/>
      <c r="FI159" s="32"/>
      <c r="FJ159" s="32"/>
      <c r="FK159" s="32"/>
      <c r="FL159" s="32"/>
      <c r="FM159" s="32"/>
      <c r="FN159" s="32"/>
      <c r="FO159" s="32"/>
      <c r="FP159" s="32"/>
      <c r="FQ159" s="32"/>
      <c r="FR159" s="32"/>
      <c r="FS159" s="32"/>
      <c r="FT159" s="32"/>
      <c r="FU159" s="32"/>
      <c r="FV159" s="32"/>
      <c r="FW159" s="32"/>
      <c r="FX159" s="32"/>
      <c r="FY159" s="32"/>
      <c r="FZ159" s="32"/>
      <c r="GA159" s="32"/>
      <c r="GB159" s="32"/>
      <c r="GC159" s="32"/>
      <c r="GD159" s="32"/>
      <c r="GE159" s="32"/>
      <c r="GF159" s="32"/>
      <c r="GG159" s="32"/>
      <c r="GH159" s="32"/>
      <c r="GI159" s="32"/>
      <c r="GJ159" s="32"/>
      <c r="GK159" s="32"/>
      <c r="GL159" s="32"/>
      <c r="GM159" s="32"/>
      <c r="GN159" s="32"/>
      <c r="GO159" s="32"/>
      <c r="GP159" s="32"/>
      <c r="GQ159" s="32"/>
      <c r="GR159" s="32"/>
      <c r="GS159" s="32"/>
      <c r="GT159" s="32"/>
      <c r="GU159" s="32"/>
      <c r="GV159" s="32"/>
      <c r="GW159" s="32"/>
      <c r="GX159" s="32"/>
      <c r="GY159" s="32"/>
      <c r="GZ159" s="32"/>
      <c r="HA159" s="32"/>
      <c r="HB159" s="32"/>
      <c r="HC159" s="32"/>
      <c r="HD159" s="32"/>
      <c r="HE159" s="32"/>
      <c r="HF159" s="32"/>
      <c r="HG159" s="32"/>
      <c r="HH159" s="32"/>
      <c r="HI159" s="32"/>
      <c r="HJ159" s="32"/>
      <c r="HK159" s="32"/>
      <c r="HL159" s="32"/>
      <c r="HM159" s="32"/>
      <c r="HN159" s="32"/>
      <c r="HO159" s="32"/>
      <c r="HP159" s="32"/>
      <c r="HQ159" s="32"/>
      <c r="HR159" s="32"/>
      <c r="HS159" s="32"/>
      <c r="HT159" s="32"/>
      <c r="HU159" s="32"/>
      <c r="HV159" s="32"/>
      <c r="HW159" s="32"/>
      <c r="HX159" s="32"/>
      <c r="HY159" s="32"/>
      <c r="HZ159" s="32"/>
      <c r="IA159" s="32"/>
      <c r="IB159" s="32"/>
      <c r="IC159" s="32"/>
      <c r="ID159" s="32"/>
      <c r="IE159" s="32"/>
      <c r="IF159" s="32"/>
      <c r="IG159" s="32"/>
      <c r="IH159" s="32"/>
      <c r="II159" s="32"/>
      <c r="IJ159" s="32"/>
      <c r="IK159" s="32"/>
      <c r="IL159" s="32"/>
      <c r="IM159" s="32"/>
      <c r="IN159" s="32"/>
      <c r="IO159" s="32"/>
      <c r="IP159" s="32"/>
      <c r="IQ159" s="32"/>
      <c r="IR159" s="32"/>
      <c r="IS159" s="32"/>
      <c r="IT159" s="32"/>
      <c r="IU159" s="32"/>
      <c r="IV159" s="32"/>
      <c r="IW159" s="32"/>
      <c r="IX159" s="33"/>
    </row>
    <row r="160" spans="1:258" x14ac:dyDescent="0.3">
      <c r="A160" s="61">
        <v>6201</v>
      </c>
      <c r="B160" s="23" t="s">
        <v>159</v>
      </c>
      <c r="C160" s="23" t="s">
        <v>160</v>
      </c>
      <c r="D160" s="23" t="s">
        <v>160</v>
      </c>
      <c r="E160" s="43" t="s">
        <v>161</v>
      </c>
      <c r="F160" s="23" t="s">
        <v>183</v>
      </c>
      <c r="G160" s="23" t="s">
        <v>18</v>
      </c>
      <c r="H160" s="24"/>
      <c r="I160" s="24"/>
      <c r="J160" s="26">
        <f t="shared" si="29"/>
        <v>1474</v>
      </c>
      <c r="K160" s="27">
        <v>1474</v>
      </c>
      <c r="L160" s="26">
        <f t="shared" si="27"/>
        <v>0</v>
      </c>
      <c r="M160" s="26">
        <f t="shared" si="28"/>
        <v>1474</v>
      </c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30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  <c r="EW160" s="32"/>
      <c r="EX160" s="32"/>
      <c r="EY160" s="32"/>
      <c r="EZ160" s="32"/>
      <c r="FA160" s="32"/>
      <c r="FB160" s="32"/>
      <c r="FC160" s="32"/>
      <c r="FD160" s="32"/>
      <c r="FE160" s="32"/>
      <c r="FF160" s="32"/>
      <c r="FG160" s="32"/>
      <c r="FH160" s="32"/>
      <c r="FI160" s="32"/>
      <c r="FJ160" s="32"/>
      <c r="FK160" s="32"/>
      <c r="FL160" s="32"/>
      <c r="FM160" s="32"/>
      <c r="FN160" s="32"/>
      <c r="FO160" s="32"/>
      <c r="FP160" s="32"/>
      <c r="FQ160" s="32"/>
      <c r="FR160" s="32"/>
      <c r="FS160" s="32"/>
      <c r="FT160" s="32"/>
      <c r="FU160" s="32"/>
      <c r="FV160" s="32"/>
      <c r="FW160" s="32"/>
      <c r="FX160" s="32"/>
      <c r="FY160" s="32"/>
      <c r="FZ160" s="32"/>
      <c r="GA160" s="32"/>
      <c r="GB160" s="32"/>
      <c r="GC160" s="32"/>
      <c r="GD160" s="32"/>
      <c r="GE160" s="32"/>
      <c r="GF160" s="32"/>
      <c r="GG160" s="32"/>
      <c r="GH160" s="32"/>
      <c r="GI160" s="32"/>
      <c r="GJ160" s="32"/>
      <c r="GK160" s="32"/>
      <c r="GL160" s="32"/>
      <c r="GM160" s="32"/>
      <c r="GN160" s="32"/>
      <c r="GO160" s="32"/>
      <c r="GP160" s="32"/>
      <c r="GQ160" s="32"/>
      <c r="GR160" s="32"/>
      <c r="GS160" s="32"/>
      <c r="GT160" s="32"/>
      <c r="GU160" s="32"/>
      <c r="GV160" s="32"/>
      <c r="GW160" s="32"/>
      <c r="GX160" s="32"/>
      <c r="GY160" s="32"/>
      <c r="GZ160" s="32"/>
      <c r="HA160" s="32"/>
      <c r="HB160" s="32"/>
      <c r="HC160" s="32"/>
      <c r="HD160" s="32"/>
      <c r="HE160" s="32"/>
      <c r="HF160" s="32"/>
      <c r="HG160" s="32"/>
      <c r="HH160" s="32"/>
      <c r="HI160" s="32"/>
      <c r="HJ160" s="32"/>
      <c r="HK160" s="32"/>
      <c r="HL160" s="32"/>
      <c r="HM160" s="32"/>
      <c r="HN160" s="32"/>
      <c r="HO160" s="32"/>
      <c r="HP160" s="32"/>
      <c r="HQ160" s="32"/>
      <c r="HR160" s="32"/>
      <c r="HS160" s="32"/>
      <c r="HT160" s="32"/>
      <c r="HU160" s="32"/>
      <c r="HV160" s="32"/>
      <c r="HW160" s="32"/>
      <c r="HX160" s="32"/>
      <c r="HY160" s="32"/>
      <c r="HZ160" s="32"/>
      <c r="IA160" s="32"/>
      <c r="IB160" s="32"/>
      <c r="IC160" s="32"/>
      <c r="ID160" s="32"/>
      <c r="IE160" s="32"/>
      <c r="IF160" s="32"/>
      <c r="IG160" s="32"/>
      <c r="IH160" s="32"/>
      <c r="II160" s="32"/>
      <c r="IJ160" s="32"/>
      <c r="IK160" s="32"/>
      <c r="IL160" s="32"/>
      <c r="IM160" s="32"/>
      <c r="IN160" s="32"/>
      <c r="IO160" s="32"/>
      <c r="IP160" s="32"/>
      <c r="IQ160" s="32"/>
      <c r="IR160" s="32"/>
      <c r="IS160" s="32"/>
      <c r="IT160" s="32"/>
      <c r="IU160" s="32"/>
      <c r="IV160" s="32"/>
      <c r="IW160" s="32"/>
      <c r="IX160" s="33"/>
    </row>
    <row r="161" spans="1:258" x14ac:dyDescent="0.3">
      <c r="A161" s="61">
        <v>6202</v>
      </c>
      <c r="B161" s="23" t="s">
        <v>159</v>
      </c>
      <c r="C161" s="23" t="s">
        <v>160</v>
      </c>
      <c r="D161" s="23" t="s">
        <v>160</v>
      </c>
      <c r="E161" s="43" t="s">
        <v>162</v>
      </c>
      <c r="F161" s="23" t="s">
        <v>183</v>
      </c>
      <c r="G161" s="23" t="s">
        <v>18</v>
      </c>
      <c r="H161" s="24"/>
      <c r="I161" s="24"/>
      <c r="J161" s="26">
        <f t="shared" si="29"/>
        <v>3588</v>
      </c>
      <c r="K161" s="27">
        <v>3588</v>
      </c>
      <c r="L161" s="26">
        <f t="shared" si="27"/>
        <v>0</v>
      </c>
      <c r="M161" s="26">
        <f t="shared" si="28"/>
        <v>3588</v>
      </c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30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  <c r="EW161" s="32"/>
      <c r="EX161" s="32"/>
      <c r="EY161" s="32"/>
      <c r="EZ161" s="32"/>
      <c r="FA161" s="32"/>
      <c r="FB161" s="32"/>
      <c r="FC161" s="32"/>
      <c r="FD161" s="32"/>
      <c r="FE161" s="32"/>
      <c r="FF161" s="32"/>
      <c r="FG161" s="32"/>
      <c r="FH161" s="32"/>
      <c r="FI161" s="32"/>
      <c r="FJ161" s="32"/>
      <c r="FK161" s="32"/>
      <c r="FL161" s="32"/>
      <c r="FM161" s="32"/>
      <c r="FN161" s="32"/>
      <c r="FO161" s="32"/>
      <c r="FP161" s="32"/>
      <c r="FQ161" s="32"/>
      <c r="FR161" s="32"/>
      <c r="FS161" s="32"/>
      <c r="FT161" s="32"/>
      <c r="FU161" s="32"/>
      <c r="FV161" s="32"/>
      <c r="FW161" s="32"/>
      <c r="FX161" s="32"/>
      <c r="FY161" s="32"/>
      <c r="FZ161" s="32"/>
      <c r="GA161" s="32"/>
      <c r="GB161" s="32"/>
      <c r="GC161" s="32"/>
      <c r="GD161" s="32"/>
      <c r="GE161" s="32"/>
      <c r="GF161" s="32"/>
      <c r="GG161" s="32"/>
      <c r="GH161" s="32"/>
      <c r="GI161" s="32"/>
      <c r="GJ161" s="32"/>
      <c r="GK161" s="32"/>
      <c r="GL161" s="32"/>
      <c r="GM161" s="32"/>
      <c r="GN161" s="32"/>
      <c r="GO161" s="32"/>
      <c r="GP161" s="32"/>
      <c r="GQ161" s="32"/>
      <c r="GR161" s="32"/>
      <c r="GS161" s="32"/>
      <c r="GT161" s="32"/>
      <c r="GU161" s="32"/>
      <c r="GV161" s="32"/>
      <c r="GW161" s="32"/>
      <c r="GX161" s="32"/>
      <c r="GY161" s="32"/>
      <c r="GZ161" s="32"/>
      <c r="HA161" s="32"/>
      <c r="HB161" s="32"/>
      <c r="HC161" s="32"/>
      <c r="HD161" s="32"/>
      <c r="HE161" s="32"/>
      <c r="HF161" s="32"/>
      <c r="HG161" s="32"/>
      <c r="HH161" s="32"/>
      <c r="HI161" s="32"/>
      <c r="HJ161" s="32"/>
      <c r="HK161" s="32"/>
      <c r="HL161" s="32"/>
      <c r="HM161" s="32"/>
      <c r="HN161" s="32"/>
      <c r="HO161" s="32"/>
      <c r="HP161" s="32"/>
      <c r="HQ161" s="32"/>
      <c r="HR161" s="32"/>
      <c r="HS161" s="32"/>
      <c r="HT161" s="32"/>
      <c r="HU161" s="32"/>
      <c r="HV161" s="32"/>
      <c r="HW161" s="32"/>
      <c r="HX161" s="32"/>
      <c r="HY161" s="32"/>
      <c r="HZ161" s="32"/>
      <c r="IA161" s="32"/>
      <c r="IB161" s="32"/>
      <c r="IC161" s="32"/>
      <c r="ID161" s="32"/>
      <c r="IE161" s="32"/>
      <c r="IF161" s="32"/>
      <c r="IG161" s="32"/>
      <c r="IH161" s="32"/>
      <c r="II161" s="32"/>
      <c r="IJ161" s="32"/>
      <c r="IK161" s="32"/>
      <c r="IL161" s="32"/>
      <c r="IM161" s="32"/>
      <c r="IN161" s="32"/>
      <c r="IO161" s="32"/>
      <c r="IP161" s="32"/>
      <c r="IQ161" s="32"/>
      <c r="IR161" s="32"/>
      <c r="IS161" s="32"/>
      <c r="IT161" s="32"/>
      <c r="IU161" s="32"/>
      <c r="IV161" s="32"/>
      <c r="IW161" s="32"/>
      <c r="IX161" s="33"/>
    </row>
    <row r="162" spans="1:258" x14ac:dyDescent="0.3">
      <c r="A162" s="61">
        <v>6203</v>
      </c>
      <c r="B162" s="23" t="s">
        <v>159</v>
      </c>
      <c r="C162" s="23" t="s">
        <v>160</v>
      </c>
      <c r="D162" s="23" t="s">
        <v>160</v>
      </c>
      <c r="E162" s="43" t="s">
        <v>163</v>
      </c>
      <c r="F162" s="23" t="s">
        <v>183</v>
      </c>
      <c r="G162" s="23" t="s">
        <v>18</v>
      </c>
      <c r="H162" s="24"/>
      <c r="I162" s="24"/>
      <c r="J162" s="26">
        <f t="shared" si="29"/>
        <v>3576</v>
      </c>
      <c r="K162" s="27">
        <v>3576</v>
      </c>
      <c r="L162" s="26">
        <f t="shared" si="27"/>
        <v>0</v>
      </c>
      <c r="M162" s="26">
        <f t="shared" ref="M162:M170" si="30">SUM(J162)</f>
        <v>3576</v>
      </c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30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32"/>
      <c r="EX162" s="32"/>
      <c r="EY162" s="32"/>
      <c r="EZ162" s="32"/>
      <c r="FA162" s="32"/>
      <c r="FB162" s="32"/>
      <c r="FC162" s="32"/>
      <c r="FD162" s="32"/>
      <c r="FE162" s="32"/>
      <c r="FF162" s="32"/>
      <c r="FG162" s="32"/>
      <c r="FH162" s="32"/>
      <c r="FI162" s="32"/>
      <c r="FJ162" s="32"/>
      <c r="FK162" s="32"/>
      <c r="FL162" s="32"/>
      <c r="FM162" s="32"/>
      <c r="FN162" s="32"/>
      <c r="FO162" s="32"/>
      <c r="FP162" s="32"/>
      <c r="FQ162" s="32"/>
      <c r="FR162" s="32"/>
      <c r="FS162" s="32"/>
      <c r="FT162" s="32"/>
      <c r="FU162" s="32"/>
      <c r="FV162" s="32"/>
      <c r="FW162" s="32"/>
      <c r="FX162" s="32"/>
      <c r="FY162" s="32"/>
      <c r="FZ162" s="32"/>
      <c r="GA162" s="32"/>
      <c r="GB162" s="32"/>
      <c r="GC162" s="32"/>
      <c r="GD162" s="32"/>
      <c r="GE162" s="32"/>
      <c r="GF162" s="32"/>
      <c r="GG162" s="32"/>
      <c r="GH162" s="32"/>
      <c r="GI162" s="32"/>
      <c r="GJ162" s="32"/>
      <c r="GK162" s="32"/>
      <c r="GL162" s="32"/>
      <c r="GM162" s="32"/>
      <c r="GN162" s="32"/>
      <c r="GO162" s="32"/>
      <c r="GP162" s="32"/>
      <c r="GQ162" s="32"/>
      <c r="GR162" s="32"/>
      <c r="GS162" s="32"/>
      <c r="GT162" s="32"/>
      <c r="GU162" s="32"/>
      <c r="GV162" s="32"/>
      <c r="GW162" s="32"/>
      <c r="GX162" s="32"/>
      <c r="GY162" s="32"/>
      <c r="GZ162" s="32"/>
      <c r="HA162" s="32"/>
      <c r="HB162" s="32"/>
      <c r="HC162" s="32"/>
      <c r="HD162" s="32"/>
      <c r="HE162" s="32"/>
      <c r="HF162" s="32"/>
      <c r="HG162" s="32"/>
      <c r="HH162" s="32"/>
      <c r="HI162" s="32"/>
      <c r="HJ162" s="32"/>
      <c r="HK162" s="32"/>
      <c r="HL162" s="32"/>
      <c r="HM162" s="32"/>
      <c r="HN162" s="32"/>
      <c r="HO162" s="32"/>
      <c r="HP162" s="32"/>
      <c r="HQ162" s="32"/>
      <c r="HR162" s="32"/>
      <c r="HS162" s="32"/>
      <c r="HT162" s="32"/>
      <c r="HU162" s="32"/>
      <c r="HV162" s="32"/>
      <c r="HW162" s="32"/>
      <c r="HX162" s="32"/>
      <c r="HY162" s="32"/>
      <c r="HZ162" s="32"/>
      <c r="IA162" s="32"/>
      <c r="IB162" s="32"/>
      <c r="IC162" s="32"/>
      <c r="ID162" s="32"/>
      <c r="IE162" s="32"/>
      <c r="IF162" s="32"/>
      <c r="IG162" s="32"/>
      <c r="IH162" s="32"/>
      <c r="II162" s="32"/>
      <c r="IJ162" s="32"/>
      <c r="IK162" s="32"/>
      <c r="IL162" s="32"/>
      <c r="IM162" s="32"/>
      <c r="IN162" s="32"/>
      <c r="IO162" s="32"/>
      <c r="IP162" s="32"/>
      <c r="IQ162" s="32"/>
      <c r="IR162" s="32"/>
      <c r="IS162" s="32"/>
      <c r="IT162" s="32"/>
      <c r="IU162" s="32"/>
      <c r="IV162" s="32"/>
      <c r="IW162" s="32"/>
      <c r="IX162" s="33"/>
    </row>
    <row r="163" spans="1:258" x14ac:dyDescent="0.3">
      <c r="A163" s="61">
        <v>6204</v>
      </c>
      <c r="B163" s="23" t="s">
        <v>159</v>
      </c>
      <c r="C163" s="23" t="s">
        <v>160</v>
      </c>
      <c r="D163" s="23" t="s">
        <v>160</v>
      </c>
      <c r="E163" s="43" t="s">
        <v>164</v>
      </c>
      <c r="F163" s="23" t="s">
        <v>183</v>
      </c>
      <c r="G163" s="23" t="s">
        <v>18</v>
      </c>
      <c r="H163" s="24"/>
      <c r="I163" s="24"/>
      <c r="J163" s="26">
        <f t="shared" si="29"/>
        <v>134</v>
      </c>
      <c r="K163" s="27">
        <v>134</v>
      </c>
      <c r="L163" s="26">
        <f t="shared" si="27"/>
        <v>0</v>
      </c>
      <c r="M163" s="26">
        <f t="shared" si="30"/>
        <v>134</v>
      </c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30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32"/>
      <c r="FA163" s="32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2"/>
      <c r="GU163" s="32"/>
      <c r="GV163" s="32"/>
      <c r="GW163" s="32"/>
      <c r="GX163" s="32"/>
      <c r="GY163" s="32"/>
      <c r="GZ163" s="32"/>
      <c r="HA163" s="32"/>
      <c r="HB163" s="32"/>
      <c r="HC163" s="32"/>
      <c r="HD163" s="32"/>
      <c r="HE163" s="32"/>
      <c r="HF163" s="32"/>
      <c r="HG163" s="32"/>
      <c r="HH163" s="32"/>
      <c r="HI163" s="32"/>
      <c r="HJ163" s="32"/>
      <c r="HK163" s="32"/>
      <c r="HL163" s="32"/>
      <c r="HM163" s="32"/>
      <c r="HN163" s="32"/>
      <c r="HO163" s="32"/>
      <c r="HP163" s="32"/>
      <c r="HQ163" s="32"/>
      <c r="HR163" s="32"/>
      <c r="HS163" s="32"/>
      <c r="HT163" s="32"/>
      <c r="HU163" s="32"/>
      <c r="HV163" s="32"/>
      <c r="HW163" s="32"/>
      <c r="HX163" s="32"/>
      <c r="HY163" s="32"/>
      <c r="HZ163" s="32"/>
      <c r="IA163" s="32"/>
      <c r="IB163" s="32"/>
      <c r="IC163" s="32"/>
      <c r="ID163" s="32"/>
      <c r="IE163" s="32"/>
      <c r="IF163" s="32"/>
      <c r="IG163" s="32"/>
      <c r="IH163" s="32"/>
      <c r="II163" s="32"/>
      <c r="IJ163" s="32"/>
      <c r="IK163" s="32"/>
      <c r="IL163" s="32"/>
      <c r="IM163" s="32"/>
      <c r="IN163" s="32"/>
      <c r="IO163" s="32"/>
      <c r="IP163" s="32"/>
      <c r="IQ163" s="32"/>
      <c r="IR163" s="32"/>
      <c r="IS163" s="32"/>
      <c r="IT163" s="32"/>
      <c r="IU163" s="32"/>
      <c r="IV163" s="32"/>
      <c r="IW163" s="32"/>
      <c r="IX163" s="33"/>
    </row>
    <row r="164" spans="1:258" x14ac:dyDescent="0.3">
      <c r="A164" s="61" t="s">
        <v>175</v>
      </c>
      <c r="B164" s="23" t="s">
        <v>159</v>
      </c>
      <c r="C164" s="23" t="s">
        <v>160</v>
      </c>
      <c r="D164" s="23" t="s">
        <v>160</v>
      </c>
      <c r="E164" s="43" t="s">
        <v>178</v>
      </c>
      <c r="F164" s="23" t="s">
        <v>183</v>
      </c>
      <c r="G164" s="23" t="s">
        <v>18</v>
      </c>
      <c r="H164" s="24"/>
      <c r="I164" s="25">
        <v>46813</v>
      </c>
      <c r="J164" s="26">
        <f>K164-L164</f>
        <v>74</v>
      </c>
      <c r="K164" s="27">
        <v>74</v>
      </c>
      <c r="L164" s="26">
        <f t="shared" si="27"/>
        <v>0</v>
      </c>
      <c r="M164" s="26">
        <f t="shared" si="30"/>
        <v>74</v>
      </c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30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32"/>
      <c r="EX164" s="32"/>
      <c r="EY164" s="32"/>
      <c r="EZ164" s="32"/>
      <c r="FA164" s="32"/>
      <c r="FB164" s="32"/>
      <c r="FC164" s="32"/>
      <c r="FD164" s="32"/>
      <c r="FE164" s="32"/>
      <c r="FF164" s="32"/>
      <c r="FG164" s="32"/>
      <c r="FH164" s="32"/>
      <c r="FI164" s="32"/>
      <c r="FJ164" s="32"/>
      <c r="FK164" s="32"/>
      <c r="FL164" s="32"/>
      <c r="FM164" s="32"/>
      <c r="FN164" s="32"/>
      <c r="FO164" s="32"/>
      <c r="FP164" s="32"/>
      <c r="FQ164" s="32"/>
      <c r="FR164" s="32"/>
      <c r="FS164" s="32"/>
      <c r="FT164" s="32"/>
      <c r="FU164" s="32"/>
      <c r="FV164" s="32"/>
      <c r="FW164" s="32"/>
      <c r="FX164" s="32"/>
      <c r="FY164" s="32"/>
      <c r="FZ164" s="32"/>
      <c r="GA164" s="32"/>
      <c r="GB164" s="32"/>
      <c r="GC164" s="32"/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2"/>
      <c r="GS164" s="32"/>
      <c r="GT164" s="32"/>
      <c r="GU164" s="32"/>
      <c r="GV164" s="32"/>
      <c r="GW164" s="32"/>
      <c r="GX164" s="32"/>
      <c r="GY164" s="32"/>
      <c r="GZ164" s="32"/>
      <c r="HA164" s="32"/>
      <c r="HB164" s="32"/>
      <c r="HC164" s="32"/>
      <c r="HD164" s="32"/>
      <c r="HE164" s="32"/>
      <c r="HF164" s="32"/>
      <c r="HG164" s="32"/>
      <c r="HH164" s="32"/>
      <c r="HI164" s="32"/>
      <c r="HJ164" s="32"/>
      <c r="HK164" s="32"/>
      <c r="HL164" s="32"/>
      <c r="HM164" s="32"/>
      <c r="HN164" s="32"/>
      <c r="HO164" s="32"/>
      <c r="HP164" s="32"/>
      <c r="HQ164" s="32"/>
      <c r="HR164" s="32"/>
      <c r="HS164" s="32"/>
      <c r="HT164" s="32"/>
      <c r="HU164" s="32"/>
      <c r="HV164" s="32"/>
      <c r="HW164" s="32"/>
      <c r="HX164" s="32"/>
      <c r="HY164" s="32"/>
      <c r="HZ164" s="32"/>
      <c r="IA164" s="32"/>
      <c r="IB164" s="32"/>
      <c r="IC164" s="32"/>
      <c r="ID164" s="32"/>
      <c r="IE164" s="32"/>
      <c r="IF164" s="32"/>
      <c r="IG164" s="32"/>
      <c r="IH164" s="32"/>
      <c r="II164" s="32"/>
      <c r="IJ164" s="32"/>
      <c r="IK164" s="32"/>
      <c r="IL164" s="32"/>
      <c r="IM164" s="32"/>
      <c r="IN164" s="32"/>
      <c r="IO164" s="32"/>
      <c r="IP164" s="32"/>
      <c r="IQ164" s="32"/>
      <c r="IR164" s="32"/>
      <c r="IS164" s="32"/>
      <c r="IT164" s="32"/>
      <c r="IU164" s="32"/>
      <c r="IV164" s="32"/>
      <c r="IW164" s="32"/>
      <c r="IX164" s="33"/>
    </row>
    <row r="165" spans="1:258" x14ac:dyDescent="0.3">
      <c r="A165" s="61" t="s">
        <v>176</v>
      </c>
      <c r="B165" s="23" t="s">
        <v>159</v>
      </c>
      <c r="C165" s="23" t="s">
        <v>160</v>
      </c>
      <c r="D165" s="23" t="s">
        <v>160</v>
      </c>
      <c r="E165" s="43" t="s">
        <v>179</v>
      </c>
      <c r="F165" s="23" t="s">
        <v>183</v>
      </c>
      <c r="G165" s="23" t="s">
        <v>18</v>
      </c>
      <c r="H165" s="24"/>
      <c r="I165" s="25">
        <v>46813</v>
      </c>
      <c r="J165" s="26">
        <f>K165-L165</f>
        <v>73</v>
      </c>
      <c r="K165" s="27">
        <v>73</v>
      </c>
      <c r="L165" s="26">
        <f t="shared" si="27"/>
        <v>0</v>
      </c>
      <c r="M165" s="26">
        <f t="shared" si="30"/>
        <v>73</v>
      </c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30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  <c r="HI165" s="32"/>
      <c r="HJ165" s="32"/>
      <c r="HK165" s="32"/>
      <c r="HL165" s="32"/>
      <c r="HM165" s="32"/>
      <c r="HN165" s="32"/>
      <c r="HO165" s="32"/>
      <c r="HP165" s="32"/>
      <c r="HQ165" s="32"/>
      <c r="HR165" s="32"/>
      <c r="HS165" s="32"/>
      <c r="HT165" s="32"/>
      <c r="HU165" s="32"/>
      <c r="HV165" s="32"/>
      <c r="HW165" s="32"/>
      <c r="HX165" s="32"/>
      <c r="HY165" s="32"/>
      <c r="HZ165" s="32"/>
      <c r="IA165" s="32"/>
      <c r="IB165" s="32"/>
      <c r="IC165" s="32"/>
      <c r="ID165" s="32"/>
      <c r="IE165" s="32"/>
      <c r="IF165" s="32"/>
      <c r="IG165" s="32"/>
      <c r="IH165" s="32"/>
      <c r="II165" s="32"/>
      <c r="IJ165" s="32"/>
      <c r="IK165" s="32"/>
      <c r="IL165" s="32"/>
      <c r="IM165" s="32"/>
      <c r="IN165" s="32"/>
      <c r="IO165" s="32"/>
      <c r="IP165" s="32"/>
      <c r="IQ165" s="32"/>
      <c r="IR165" s="32"/>
      <c r="IS165" s="32"/>
      <c r="IT165" s="32"/>
      <c r="IU165" s="32"/>
      <c r="IV165" s="32"/>
      <c r="IW165" s="32"/>
      <c r="IX165" s="33"/>
    </row>
    <row r="166" spans="1:258" x14ac:dyDescent="0.3">
      <c r="A166" s="61" t="s">
        <v>177</v>
      </c>
      <c r="B166" s="23" t="s">
        <v>159</v>
      </c>
      <c r="C166" s="23" t="s">
        <v>160</v>
      </c>
      <c r="D166" s="23" t="s">
        <v>160</v>
      </c>
      <c r="E166" s="43" t="s">
        <v>180</v>
      </c>
      <c r="F166" s="23" t="s">
        <v>183</v>
      </c>
      <c r="G166" s="23" t="s">
        <v>18</v>
      </c>
      <c r="H166" s="24"/>
      <c r="I166" s="25">
        <v>46813</v>
      </c>
      <c r="J166" s="26">
        <f>K166-L166</f>
        <v>70</v>
      </c>
      <c r="K166" s="27">
        <v>70</v>
      </c>
      <c r="L166" s="26">
        <f t="shared" si="27"/>
        <v>0</v>
      </c>
      <c r="M166" s="26">
        <f t="shared" si="30"/>
        <v>70</v>
      </c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30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32"/>
      <c r="EX166" s="32"/>
      <c r="EY166" s="32"/>
      <c r="EZ166" s="32"/>
      <c r="FA166" s="32"/>
      <c r="FB166" s="32"/>
      <c r="FC166" s="32"/>
      <c r="FD166" s="32"/>
      <c r="FE166" s="32"/>
      <c r="FF166" s="32"/>
      <c r="FG166" s="32"/>
      <c r="FH166" s="32"/>
      <c r="FI166" s="32"/>
      <c r="FJ166" s="32"/>
      <c r="FK166" s="32"/>
      <c r="FL166" s="32"/>
      <c r="FM166" s="32"/>
      <c r="FN166" s="32"/>
      <c r="FO166" s="32"/>
      <c r="FP166" s="32"/>
      <c r="FQ166" s="32"/>
      <c r="FR166" s="32"/>
      <c r="FS166" s="32"/>
      <c r="FT166" s="32"/>
      <c r="FU166" s="32"/>
      <c r="FV166" s="32"/>
      <c r="FW166" s="32"/>
      <c r="FX166" s="32"/>
      <c r="FY166" s="32"/>
      <c r="FZ166" s="32"/>
      <c r="GA166" s="32"/>
      <c r="GB166" s="32"/>
      <c r="GC166" s="32"/>
      <c r="GD166" s="32"/>
      <c r="GE166" s="32"/>
      <c r="GF166" s="32"/>
      <c r="GG166" s="32"/>
      <c r="GH166" s="32"/>
      <c r="GI166" s="32"/>
      <c r="GJ166" s="32"/>
      <c r="GK166" s="32"/>
      <c r="GL166" s="32"/>
      <c r="GM166" s="32"/>
      <c r="GN166" s="32"/>
      <c r="GO166" s="32"/>
      <c r="GP166" s="32"/>
      <c r="GQ166" s="32"/>
      <c r="GR166" s="32"/>
      <c r="GS166" s="32"/>
      <c r="GT166" s="32"/>
      <c r="GU166" s="32"/>
      <c r="GV166" s="32"/>
      <c r="GW166" s="32"/>
      <c r="GX166" s="32"/>
      <c r="GY166" s="32"/>
      <c r="GZ166" s="32"/>
      <c r="HA166" s="32"/>
      <c r="HB166" s="32"/>
      <c r="HC166" s="32"/>
      <c r="HD166" s="32"/>
      <c r="HE166" s="32"/>
      <c r="HF166" s="32"/>
      <c r="HG166" s="32"/>
      <c r="HH166" s="32"/>
      <c r="HI166" s="32"/>
      <c r="HJ166" s="32"/>
      <c r="HK166" s="32"/>
      <c r="HL166" s="32"/>
      <c r="HM166" s="32"/>
      <c r="HN166" s="32"/>
      <c r="HO166" s="32"/>
      <c r="HP166" s="32"/>
      <c r="HQ166" s="32"/>
      <c r="HR166" s="32"/>
      <c r="HS166" s="32"/>
      <c r="HT166" s="32"/>
      <c r="HU166" s="32"/>
      <c r="HV166" s="32"/>
      <c r="HW166" s="32"/>
      <c r="HX166" s="32"/>
      <c r="HY166" s="32"/>
      <c r="HZ166" s="32"/>
      <c r="IA166" s="32"/>
      <c r="IB166" s="32"/>
      <c r="IC166" s="32"/>
      <c r="ID166" s="32"/>
      <c r="IE166" s="32"/>
      <c r="IF166" s="32"/>
      <c r="IG166" s="32"/>
      <c r="IH166" s="32"/>
      <c r="II166" s="32"/>
      <c r="IJ166" s="32"/>
      <c r="IK166" s="32"/>
      <c r="IL166" s="32"/>
      <c r="IM166" s="32"/>
      <c r="IN166" s="32"/>
      <c r="IO166" s="32"/>
      <c r="IP166" s="32"/>
      <c r="IQ166" s="32"/>
      <c r="IR166" s="32"/>
      <c r="IS166" s="32"/>
      <c r="IT166" s="32"/>
      <c r="IU166" s="32"/>
      <c r="IV166" s="32"/>
      <c r="IW166" s="32"/>
      <c r="IX166" s="33"/>
    </row>
    <row r="167" spans="1:258" x14ac:dyDescent="0.3">
      <c r="A167" s="61">
        <v>6101</v>
      </c>
      <c r="B167" s="23" t="s">
        <v>159</v>
      </c>
      <c r="C167" s="23" t="s">
        <v>165</v>
      </c>
      <c r="D167" s="23" t="s">
        <v>165</v>
      </c>
      <c r="E167" s="43" t="s">
        <v>166</v>
      </c>
      <c r="F167" s="23" t="s">
        <v>183</v>
      </c>
      <c r="G167" s="23" t="s">
        <v>18</v>
      </c>
      <c r="H167" s="24"/>
      <c r="I167" s="24"/>
      <c r="J167" s="26">
        <f t="shared" si="29"/>
        <v>1422</v>
      </c>
      <c r="K167" s="27">
        <v>1422</v>
      </c>
      <c r="L167" s="26">
        <f t="shared" si="27"/>
        <v>0</v>
      </c>
      <c r="M167" s="26">
        <f t="shared" si="30"/>
        <v>1422</v>
      </c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30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32"/>
      <c r="FA167" s="32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2"/>
      <c r="GU167" s="32"/>
      <c r="GV167" s="32"/>
      <c r="GW167" s="32"/>
      <c r="GX167" s="32"/>
      <c r="GY167" s="32"/>
      <c r="GZ167" s="32"/>
      <c r="HA167" s="32"/>
      <c r="HB167" s="32"/>
      <c r="HC167" s="32"/>
      <c r="HD167" s="32"/>
      <c r="HE167" s="32"/>
      <c r="HF167" s="32"/>
      <c r="HG167" s="32"/>
      <c r="HH167" s="32"/>
      <c r="HI167" s="32"/>
      <c r="HJ167" s="32"/>
      <c r="HK167" s="32"/>
      <c r="HL167" s="32"/>
      <c r="HM167" s="32"/>
      <c r="HN167" s="32"/>
      <c r="HO167" s="32"/>
      <c r="HP167" s="32"/>
      <c r="HQ167" s="32"/>
      <c r="HR167" s="32"/>
      <c r="HS167" s="32"/>
      <c r="HT167" s="32"/>
      <c r="HU167" s="32"/>
      <c r="HV167" s="32"/>
      <c r="HW167" s="32"/>
      <c r="HX167" s="32"/>
      <c r="HY167" s="32"/>
      <c r="HZ167" s="32"/>
      <c r="IA167" s="32"/>
      <c r="IB167" s="32"/>
      <c r="IC167" s="32"/>
      <c r="ID167" s="32"/>
      <c r="IE167" s="32"/>
      <c r="IF167" s="32"/>
      <c r="IG167" s="32"/>
      <c r="IH167" s="32"/>
      <c r="II167" s="32"/>
      <c r="IJ167" s="32"/>
      <c r="IK167" s="32"/>
      <c r="IL167" s="32"/>
      <c r="IM167" s="32"/>
      <c r="IN167" s="32"/>
      <c r="IO167" s="32"/>
      <c r="IP167" s="32"/>
      <c r="IQ167" s="32"/>
      <c r="IR167" s="32"/>
      <c r="IS167" s="32"/>
      <c r="IT167" s="32"/>
      <c r="IU167" s="32"/>
      <c r="IV167" s="32"/>
      <c r="IW167" s="32"/>
      <c r="IX167" s="33"/>
    </row>
    <row r="168" spans="1:258" x14ac:dyDescent="0.3">
      <c r="A168" s="61">
        <v>6102</v>
      </c>
      <c r="B168" s="23" t="s">
        <v>159</v>
      </c>
      <c r="C168" s="23" t="s">
        <v>165</v>
      </c>
      <c r="D168" s="23" t="s">
        <v>165</v>
      </c>
      <c r="E168" s="43" t="s">
        <v>167</v>
      </c>
      <c r="F168" s="23" t="s">
        <v>183</v>
      </c>
      <c r="G168" s="23" t="s">
        <v>18</v>
      </c>
      <c r="H168" s="44"/>
      <c r="I168" s="44"/>
      <c r="J168" s="26">
        <f t="shared" si="29"/>
        <v>2669</v>
      </c>
      <c r="K168" s="27">
        <v>2769</v>
      </c>
      <c r="L168" s="26">
        <f t="shared" si="27"/>
        <v>100</v>
      </c>
      <c r="M168" s="26">
        <f t="shared" si="30"/>
        <v>2669</v>
      </c>
      <c r="N168" s="29"/>
      <c r="O168" s="29"/>
      <c r="P168" s="29"/>
      <c r="Q168" s="29"/>
      <c r="R168" s="29"/>
      <c r="S168" s="34">
        <f>50</f>
        <v>50</v>
      </c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30"/>
      <c r="AT168" s="31"/>
      <c r="AU168" s="35">
        <f>50</f>
        <v>50</v>
      </c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  <c r="EW168" s="32"/>
      <c r="EX168" s="32"/>
      <c r="EY168" s="32"/>
      <c r="EZ168" s="32"/>
      <c r="FA168" s="32"/>
      <c r="FB168" s="32"/>
      <c r="FC168" s="32"/>
      <c r="FD168" s="32"/>
      <c r="FE168" s="32"/>
      <c r="FF168" s="32"/>
      <c r="FG168" s="32"/>
      <c r="FH168" s="32"/>
      <c r="FI168" s="32"/>
      <c r="FJ168" s="32"/>
      <c r="FK168" s="32"/>
      <c r="FL168" s="32"/>
      <c r="FM168" s="32"/>
      <c r="FN168" s="32"/>
      <c r="FO168" s="32"/>
      <c r="FP168" s="32"/>
      <c r="FQ168" s="32"/>
      <c r="FR168" s="32"/>
      <c r="FS168" s="32"/>
      <c r="FT168" s="32"/>
      <c r="FU168" s="32"/>
      <c r="FV168" s="32"/>
      <c r="FW168" s="32"/>
      <c r="FX168" s="32"/>
      <c r="FY168" s="32"/>
      <c r="FZ168" s="32"/>
      <c r="GA168" s="32"/>
      <c r="GB168" s="32"/>
      <c r="GC168" s="32"/>
      <c r="GD168" s="32"/>
      <c r="GE168" s="32"/>
      <c r="GF168" s="32"/>
      <c r="GG168" s="32"/>
      <c r="GH168" s="32"/>
      <c r="GI168" s="32"/>
      <c r="GJ168" s="32"/>
      <c r="GK168" s="32"/>
      <c r="GL168" s="32"/>
      <c r="GM168" s="32"/>
      <c r="GN168" s="32"/>
      <c r="GO168" s="32"/>
      <c r="GP168" s="32"/>
      <c r="GQ168" s="32"/>
      <c r="GR168" s="32"/>
      <c r="GS168" s="32"/>
      <c r="GT168" s="32"/>
      <c r="GU168" s="32"/>
      <c r="GV168" s="32"/>
      <c r="GW168" s="32"/>
      <c r="GX168" s="32"/>
      <c r="GY168" s="32"/>
      <c r="GZ168" s="32"/>
      <c r="HA168" s="32"/>
      <c r="HB168" s="32"/>
      <c r="HC168" s="32"/>
      <c r="HD168" s="32"/>
      <c r="HE168" s="32"/>
      <c r="HF168" s="32"/>
      <c r="HG168" s="32"/>
      <c r="HH168" s="32"/>
      <c r="HI168" s="32"/>
      <c r="HJ168" s="32"/>
      <c r="HK168" s="32"/>
      <c r="HL168" s="32"/>
      <c r="HM168" s="32"/>
      <c r="HN168" s="32"/>
      <c r="HO168" s="32"/>
      <c r="HP168" s="32"/>
      <c r="HQ168" s="32"/>
      <c r="HR168" s="32"/>
      <c r="HS168" s="32"/>
      <c r="HT168" s="32"/>
      <c r="HU168" s="32"/>
      <c r="HV168" s="32"/>
      <c r="HW168" s="32"/>
      <c r="HX168" s="32"/>
      <c r="HY168" s="32"/>
      <c r="HZ168" s="32"/>
      <c r="IA168" s="32"/>
      <c r="IB168" s="32"/>
      <c r="IC168" s="32"/>
      <c r="ID168" s="32"/>
      <c r="IE168" s="32"/>
      <c r="IF168" s="32"/>
      <c r="IG168" s="32"/>
      <c r="IH168" s="32"/>
      <c r="II168" s="32"/>
      <c r="IJ168" s="32"/>
      <c r="IK168" s="32"/>
      <c r="IL168" s="32"/>
      <c r="IM168" s="32"/>
      <c r="IN168" s="32"/>
      <c r="IO168" s="32"/>
      <c r="IP168" s="32"/>
      <c r="IQ168" s="32"/>
      <c r="IR168" s="32"/>
      <c r="IS168" s="32"/>
      <c r="IT168" s="32"/>
      <c r="IU168" s="32"/>
      <c r="IV168" s="32"/>
      <c r="IW168" s="32"/>
      <c r="IX168" s="33"/>
    </row>
    <row r="169" spans="1:258" x14ac:dyDescent="0.3">
      <c r="A169" s="61">
        <v>6103</v>
      </c>
      <c r="B169" s="23" t="s">
        <v>159</v>
      </c>
      <c r="C169" s="23" t="s">
        <v>165</v>
      </c>
      <c r="D169" s="23" t="s">
        <v>165</v>
      </c>
      <c r="E169" s="43" t="s">
        <v>168</v>
      </c>
      <c r="F169" s="23" t="s">
        <v>183</v>
      </c>
      <c r="G169" s="23" t="s">
        <v>18</v>
      </c>
      <c r="H169" s="24"/>
      <c r="I169" s="24"/>
      <c r="J169" s="26">
        <f t="shared" si="29"/>
        <v>3321</v>
      </c>
      <c r="K169" s="27">
        <v>3421</v>
      </c>
      <c r="L169" s="26">
        <f t="shared" si="27"/>
        <v>100</v>
      </c>
      <c r="M169" s="26">
        <f t="shared" si="30"/>
        <v>3321</v>
      </c>
      <c r="N169" s="29"/>
      <c r="O169" s="29"/>
      <c r="P169" s="29"/>
      <c r="Q169" s="29"/>
      <c r="R169" s="29"/>
      <c r="S169" s="34">
        <f>50</f>
        <v>50</v>
      </c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30"/>
      <c r="AT169" s="31"/>
      <c r="AU169" s="35">
        <f>50</f>
        <v>50</v>
      </c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32"/>
      <c r="EX169" s="32"/>
      <c r="EY169" s="32"/>
      <c r="EZ169" s="32"/>
      <c r="FA169" s="32"/>
      <c r="FB169" s="32"/>
      <c r="FC169" s="32"/>
      <c r="FD169" s="32"/>
      <c r="FE169" s="32"/>
      <c r="FF169" s="32"/>
      <c r="FG169" s="32"/>
      <c r="FH169" s="32"/>
      <c r="FI169" s="32"/>
      <c r="FJ169" s="32"/>
      <c r="FK169" s="32"/>
      <c r="FL169" s="32"/>
      <c r="FM169" s="32"/>
      <c r="FN169" s="32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2"/>
      <c r="GS169" s="32"/>
      <c r="GT169" s="32"/>
      <c r="GU169" s="32"/>
      <c r="GV169" s="32"/>
      <c r="GW169" s="32"/>
      <c r="GX169" s="32"/>
      <c r="GY169" s="32"/>
      <c r="GZ169" s="32"/>
      <c r="HA169" s="32"/>
      <c r="HB169" s="32"/>
      <c r="HC169" s="32"/>
      <c r="HD169" s="32"/>
      <c r="HE169" s="32"/>
      <c r="HF169" s="32"/>
      <c r="HG169" s="32"/>
      <c r="HH169" s="32"/>
      <c r="HI169" s="32"/>
      <c r="HJ169" s="32"/>
      <c r="HK169" s="32"/>
      <c r="HL169" s="32"/>
      <c r="HM169" s="32"/>
      <c r="HN169" s="32"/>
      <c r="HO169" s="32"/>
      <c r="HP169" s="32"/>
      <c r="HQ169" s="32"/>
      <c r="HR169" s="32"/>
      <c r="HS169" s="32"/>
      <c r="HT169" s="32"/>
      <c r="HU169" s="32"/>
      <c r="HV169" s="32"/>
      <c r="HW169" s="32"/>
      <c r="HX169" s="32"/>
      <c r="HY169" s="32"/>
      <c r="HZ169" s="32"/>
      <c r="IA169" s="32"/>
      <c r="IB169" s="32"/>
      <c r="IC169" s="32"/>
      <c r="ID169" s="32"/>
      <c r="IE169" s="32"/>
      <c r="IF169" s="32"/>
      <c r="IG169" s="32"/>
      <c r="IH169" s="32"/>
      <c r="II169" s="32"/>
      <c r="IJ169" s="32"/>
      <c r="IK169" s="32"/>
      <c r="IL169" s="32"/>
      <c r="IM169" s="32"/>
      <c r="IN169" s="32"/>
      <c r="IO169" s="32"/>
      <c r="IP169" s="32"/>
      <c r="IQ169" s="32"/>
      <c r="IR169" s="32"/>
      <c r="IS169" s="32"/>
      <c r="IT169" s="32"/>
      <c r="IU169" s="32"/>
      <c r="IV169" s="32"/>
      <c r="IW169" s="32"/>
      <c r="IX169" s="33"/>
    </row>
    <row r="170" spans="1:258" x14ac:dyDescent="0.3">
      <c r="A170" s="64">
        <v>6104</v>
      </c>
      <c r="B170" s="45" t="s">
        <v>159</v>
      </c>
      <c r="C170" s="45" t="s">
        <v>165</v>
      </c>
      <c r="D170" s="45" t="s">
        <v>165</v>
      </c>
      <c r="E170" s="46" t="s">
        <v>169</v>
      </c>
      <c r="F170" s="45" t="s">
        <v>183</v>
      </c>
      <c r="G170" s="45" t="s">
        <v>18</v>
      </c>
      <c r="H170" s="47"/>
      <c r="I170" s="47"/>
      <c r="J170" s="48">
        <f t="shared" si="29"/>
        <v>1426</v>
      </c>
      <c r="K170" s="49">
        <v>1426</v>
      </c>
      <c r="L170" s="48">
        <f t="shared" si="27"/>
        <v>0</v>
      </c>
      <c r="M170" s="48">
        <f t="shared" si="30"/>
        <v>1426</v>
      </c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1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  <c r="CG170" s="53"/>
      <c r="CH170" s="53"/>
      <c r="CI170" s="53"/>
      <c r="CJ170" s="53"/>
      <c r="CK170" s="53"/>
      <c r="CL170" s="53"/>
      <c r="CM170" s="53"/>
      <c r="CN170" s="53"/>
      <c r="CO170" s="53"/>
      <c r="CP170" s="53"/>
      <c r="CQ170" s="53"/>
      <c r="CR170" s="53"/>
      <c r="CS170" s="53"/>
      <c r="CT170" s="53"/>
      <c r="CU170" s="53"/>
      <c r="CV170" s="53"/>
      <c r="CW170" s="53"/>
      <c r="CX170" s="53"/>
      <c r="CY170" s="53"/>
      <c r="CZ170" s="53"/>
      <c r="DA170" s="53"/>
      <c r="DB170" s="53"/>
      <c r="DC170" s="53"/>
      <c r="DD170" s="53"/>
      <c r="DE170" s="53"/>
      <c r="DF170" s="53"/>
      <c r="DG170" s="53"/>
      <c r="DH170" s="53"/>
      <c r="DI170" s="53"/>
      <c r="DJ170" s="53"/>
      <c r="DK170" s="53"/>
      <c r="DL170" s="53"/>
      <c r="DM170" s="53"/>
      <c r="DN170" s="53"/>
      <c r="DO170" s="53"/>
      <c r="DP170" s="53"/>
      <c r="DQ170" s="53"/>
      <c r="DR170" s="53"/>
      <c r="DS170" s="53"/>
      <c r="DT170" s="53"/>
      <c r="DU170" s="53"/>
      <c r="DV170" s="53"/>
      <c r="DW170" s="53"/>
      <c r="DX170" s="53"/>
      <c r="DY170" s="53"/>
      <c r="DZ170" s="53"/>
      <c r="EA170" s="53"/>
      <c r="EB170" s="53"/>
      <c r="EC170" s="53"/>
      <c r="ED170" s="53"/>
      <c r="EE170" s="53"/>
      <c r="EF170" s="53"/>
      <c r="EG170" s="53"/>
      <c r="EH170" s="53"/>
      <c r="EI170" s="53"/>
      <c r="EJ170" s="53"/>
      <c r="EK170" s="53"/>
      <c r="EL170" s="53"/>
      <c r="EM170" s="53"/>
      <c r="EN170" s="53"/>
      <c r="EO170" s="53"/>
      <c r="EP170" s="53"/>
      <c r="EQ170" s="53"/>
      <c r="ER170" s="53"/>
      <c r="ES170" s="53"/>
      <c r="ET170" s="53"/>
      <c r="EU170" s="53"/>
      <c r="EV170" s="53"/>
      <c r="EW170" s="53"/>
      <c r="EX170" s="53"/>
      <c r="EY170" s="53"/>
      <c r="EZ170" s="53"/>
      <c r="FA170" s="53"/>
      <c r="FB170" s="53"/>
      <c r="FC170" s="53"/>
      <c r="FD170" s="53"/>
      <c r="FE170" s="53"/>
      <c r="FF170" s="53"/>
      <c r="FG170" s="53"/>
      <c r="FH170" s="53"/>
      <c r="FI170" s="53"/>
      <c r="FJ170" s="53"/>
      <c r="FK170" s="53"/>
      <c r="FL170" s="53"/>
      <c r="FM170" s="53"/>
      <c r="FN170" s="53"/>
      <c r="FO170" s="53"/>
      <c r="FP170" s="53"/>
      <c r="FQ170" s="53"/>
      <c r="FR170" s="53"/>
      <c r="FS170" s="53"/>
      <c r="FT170" s="53"/>
      <c r="FU170" s="53"/>
      <c r="FV170" s="53"/>
      <c r="FW170" s="53"/>
      <c r="FX170" s="53"/>
      <c r="FY170" s="53"/>
      <c r="FZ170" s="53"/>
      <c r="GA170" s="53"/>
      <c r="GB170" s="53"/>
      <c r="GC170" s="53"/>
      <c r="GD170" s="53"/>
      <c r="GE170" s="53"/>
      <c r="GF170" s="53"/>
      <c r="GG170" s="53"/>
      <c r="GH170" s="53"/>
      <c r="GI170" s="53"/>
      <c r="GJ170" s="53"/>
      <c r="GK170" s="53"/>
      <c r="GL170" s="53"/>
      <c r="GM170" s="53"/>
      <c r="GN170" s="53"/>
      <c r="GO170" s="53"/>
      <c r="GP170" s="53"/>
      <c r="GQ170" s="53"/>
      <c r="GR170" s="53"/>
      <c r="GS170" s="53"/>
      <c r="GT170" s="53"/>
      <c r="GU170" s="53"/>
      <c r="GV170" s="53"/>
      <c r="GW170" s="53"/>
      <c r="GX170" s="53"/>
      <c r="GY170" s="53"/>
      <c r="GZ170" s="53"/>
      <c r="HA170" s="53"/>
      <c r="HB170" s="53"/>
      <c r="HC170" s="53"/>
      <c r="HD170" s="53"/>
      <c r="HE170" s="53"/>
      <c r="HF170" s="53"/>
      <c r="HG170" s="53"/>
      <c r="HH170" s="53"/>
      <c r="HI170" s="53"/>
      <c r="HJ170" s="53"/>
      <c r="HK170" s="53"/>
      <c r="HL170" s="53"/>
      <c r="HM170" s="53"/>
      <c r="HN170" s="53"/>
      <c r="HO170" s="53"/>
      <c r="HP170" s="53"/>
      <c r="HQ170" s="53"/>
      <c r="HR170" s="53"/>
      <c r="HS170" s="53"/>
      <c r="HT170" s="53"/>
      <c r="HU170" s="53"/>
      <c r="HV170" s="53"/>
      <c r="HW170" s="53"/>
      <c r="HX170" s="53"/>
      <c r="HY170" s="53"/>
      <c r="HZ170" s="53"/>
      <c r="IA170" s="53"/>
      <c r="IB170" s="53"/>
      <c r="IC170" s="53"/>
      <c r="ID170" s="53"/>
      <c r="IE170" s="53"/>
      <c r="IF170" s="53"/>
      <c r="IG170" s="53"/>
      <c r="IH170" s="53"/>
      <c r="II170" s="53"/>
      <c r="IJ170" s="53"/>
      <c r="IK170" s="53"/>
      <c r="IL170" s="53"/>
      <c r="IM170" s="53"/>
      <c r="IN170" s="53"/>
      <c r="IO170" s="53"/>
      <c r="IP170" s="53"/>
      <c r="IQ170" s="53"/>
      <c r="IR170" s="53"/>
      <c r="IS170" s="53"/>
      <c r="IT170" s="53"/>
      <c r="IU170" s="53"/>
      <c r="IV170" s="53"/>
      <c r="IW170" s="53"/>
      <c r="IX170" s="54"/>
    </row>
    <row r="173" spans="1:258" x14ac:dyDescent="0.3">
      <c r="K173" s="20" t="s">
        <v>209</v>
      </c>
    </row>
    <row r="177" spans="10:10" x14ac:dyDescent="0.3">
      <c r="J177" s="19" t="s">
        <v>473</v>
      </c>
    </row>
    <row r="202" spans="10:10" x14ac:dyDescent="0.3">
      <c r="J202" s="19" t="s">
        <v>209</v>
      </c>
    </row>
  </sheetData>
  <conditionalFormatting sqref="H2:H1030">
    <cfRule type="expression" dxfId="886" priority="57">
      <formula>G2="FAR EXP"</formula>
    </cfRule>
    <cfRule type="expression" dxfId="885" priority="55">
      <formula>G2="MIDDLE EXP"</formula>
    </cfRule>
    <cfRule type="expression" dxfId="884" priority="53">
      <formula>G2="NEW DELIVERY"</formula>
    </cfRule>
    <cfRule type="expression" dxfId="883" priority="51">
      <formula>G2="OUT OF STOCK"</formula>
    </cfRule>
    <cfRule type="expression" dxfId="882" priority="49">
      <formula>G2="EXPIRED"</formula>
    </cfRule>
  </conditionalFormatting>
  <conditionalFormatting sqref="I2:I1030">
    <cfRule type="expression" dxfId="881" priority="56">
      <formula>G2="FAR EXP"</formula>
    </cfRule>
    <cfRule type="expression" dxfId="880" priority="54">
      <formula>G2="MIDDLE EXP"</formula>
    </cfRule>
    <cfRule type="expression" dxfId="879" priority="52">
      <formula>G2="NEW DELIVERY"</formula>
    </cfRule>
    <cfRule type="expression" dxfId="878" priority="50">
      <formula>G2="OUT OF STOCK"</formula>
    </cfRule>
    <cfRule type="expression" dxfId="877" priority="48">
      <formula>G2="EXPIRED"</formula>
    </cfRule>
  </conditionalFormatting>
  <conditionalFormatting sqref="J2:J530">
    <cfRule type="cellIs" dxfId="876" priority="1" operator="between">
      <formula>1</formula>
      <formula>100</formula>
    </cfRule>
    <cfRule type="cellIs" dxfId="875" priority="2" operator="equal">
      <formula>0</formula>
    </cfRule>
  </conditionalFormatting>
  <conditionalFormatting sqref="K49:K54">
    <cfRule type="expression" dxfId="874" priority="79">
      <formula>H49="OUT OF STOCK"</formula>
    </cfRule>
    <cfRule type="expression" dxfId="873" priority="77">
      <formula>H49="EXPIRED"</formula>
    </cfRule>
    <cfRule type="expression" dxfId="872" priority="75">
      <formula>H49="MIDDLE EXP"</formula>
    </cfRule>
    <cfRule type="expression" dxfId="871" priority="73">
      <formula>H49="FAR EXP"</formula>
    </cfRule>
    <cfRule type="expression" dxfId="870" priority="81">
      <formula>H49="NEW DELIVERY"</formula>
    </cfRule>
  </conditionalFormatting>
  <conditionalFormatting sqref="M2:M170">
    <cfRule type="cellIs" dxfId="869" priority="58" operator="notEqual">
      <formula>"B"</formula>
    </cfRule>
  </conditionalFormatting>
  <conditionalFormatting sqref="M6:M8">
    <cfRule type="cellIs" dxfId="868" priority="47" operator="lessThan">
      <formula>280</formula>
    </cfRule>
  </conditionalFormatting>
  <conditionalFormatting sqref="M13">
    <cfRule type="cellIs" dxfId="867" priority="46" operator="lessThan">
      <formula>800</formula>
    </cfRule>
  </conditionalFormatting>
  <conditionalFormatting sqref="M20">
    <cfRule type="cellIs" dxfId="866" priority="45" operator="lessThan">
      <formula>7000</formula>
    </cfRule>
  </conditionalFormatting>
  <conditionalFormatting sqref="M21">
    <cfRule type="cellIs" dxfId="865" priority="44" operator="lessThan">
      <formula>100</formula>
    </cfRule>
  </conditionalFormatting>
  <conditionalFormatting sqref="M27">
    <cfRule type="cellIs" dxfId="864" priority="43" operator="lessThan">
      <formula>400</formula>
    </cfRule>
  </conditionalFormatting>
  <conditionalFormatting sqref="M30">
    <cfRule type="cellIs" dxfId="863" priority="42" operator="lessThan">
      <formula>200</formula>
    </cfRule>
  </conditionalFormatting>
  <conditionalFormatting sqref="M31:M32">
    <cfRule type="cellIs" dxfId="862" priority="41" operator="lessThan">
      <formula>120</formula>
    </cfRule>
  </conditionalFormatting>
  <conditionalFormatting sqref="M33">
    <cfRule type="cellIs" dxfId="861" priority="40" operator="lessThan">
      <formula>100</formula>
    </cfRule>
  </conditionalFormatting>
  <conditionalFormatting sqref="M38">
    <cfRule type="cellIs" dxfId="860" priority="39" operator="lessThan">
      <formula>240</formula>
    </cfRule>
  </conditionalFormatting>
  <conditionalFormatting sqref="M40">
    <cfRule type="cellIs" dxfId="859" priority="38" operator="lessThan">
      <formula>100</formula>
    </cfRule>
  </conditionalFormatting>
  <conditionalFormatting sqref="M48">
    <cfRule type="cellIs" dxfId="858" priority="37" operator="lessThan">
      <formula>400</formula>
    </cfRule>
  </conditionalFormatting>
  <conditionalFormatting sqref="M52:M53">
    <cfRule type="cellIs" dxfId="857" priority="36" operator="lessThan">
      <formula>450</formula>
    </cfRule>
  </conditionalFormatting>
  <conditionalFormatting sqref="M57">
    <cfRule type="cellIs" dxfId="856" priority="35" operator="lessThan">
      <formula>1000</formula>
    </cfRule>
  </conditionalFormatting>
  <conditionalFormatting sqref="M60">
    <cfRule type="cellIs" dxfId="855" priority="34" operator="lessThan">
      <formula>500</formula>
    </cfRule>
  </conditionalFormatting>
  <conditionalFormatting sqref="M63">
    <cfRule type="cellIs" dxfId="854" priority="33" operator="lessThan">
      <formula>100</formula>
    </cfRule>
  </conditionalFormatting>
  <conditionalFormatting sqref="M66">
    <cfRule type="cellIs" dxfId="853" priority="32" operator="lessThan">
      <formula>350</formula>
    </cfRule>
  </conditionalFormatting>
  <conditionalFormatting sqref="M70">
    <cfRule type="cellIs" dxfId="852" priority="31" operator="lessThan">
      <formula>350</formula>
    </cfRule>
  </conditionalFormatting>
  <conditionalFormatting sqref="M72">
    <cfRule type="cellIs" dxfId="851" priority="30" operator="lessThan">
      <formula>100</formula>
    </cfRule>
  </conditionalFormatting>
  <conditionalFormatting sqref="M75:M76">
    <cfRule type="cellIs" dxfId="850" priority="8" operator="lessThan">
      <formula>450</formula>
    </cfRule>
  </conditionalFormatting>
  <conditionalFormatting sqref="M77:M78">
    <cfRule type="cellIs" dxfId="849" priority="7" operator="lessThan">
      <formula>1000</formula>
    </cfRule>
  </conditionalFormatting>
  <conditionalFormatting sqref="M79">
    <cfRule type="cellIs" dxfId="848" priority="6" operator="lessThan">
      <formula>500</formula>
    </cfRule>
  </conditionalFormatting>
  <conditionalFormatting sqref="M80:M81">
    <cfRule type="cellIs" dxfId="847" priority="5" operator="lessThan">
      <formula>100</formula>
    </cfRule>
  </conditionalFormatting>
  <conditionalFormatting sqref="M82:M84">
    <cfRule type="cellIs" dxfId="846" priority="3" operator="lessThan">
      <formula>350</formula>
    </cfRule>
  </conditionalFormatting>
  <conditionalFormatting sqref="M89">
    <cfRule type="cellIs" dxfId="845" priority="24" operator="lessThan">
      <formula>150</formula>
    </cfRule>
  </conditionalFormatting>
  <conditionalFormatting sqref="M94">
    <cfRule type="cellIs" dxfId="844" priority="23" operator="lessThan">
      <formula>250</formula>
    </cfRule>
  </conditionalFormatting>
  <conditionalFormatting sqref="M98">
    <cfRule type="cellIs" dxfId="843" priority="22" operator="lessThan">
      <formula>450</formula>
    </cfRule>
  </conditionalFormatting>
  <conditionalFormatting sqref="M101">
    <cfRule type="cellIs" dxfId="842" priority="21" operator="lessThan">
      <formula>750</formula>
    </cfRule>
  </conditionalFormatting>
  <conditionalFormatting sqref="M104">
    <cfRule type="cellIs" dxfId="841" priority="20" operator="lessThan">
      <formula>700</formula>
    </cfRule>
  </conditionalFormatting>
  <conditionalFormatting sqref="M106">
    <cfRule type="cellIs" dxfId="840" priority="29" operator="lessThan">
      <formula>50</formula>
    </cfRule>
  </conditionalFormatting>
  <conditionalFormatting sqref="M108:M109">
    <cfRule type="cellIs" dxfId="839" priority="27" operator="lessThan">
      <formula>50</formula>
    </cfRule>
  </conditionalFormatting>
  <conditionalFormatting sqref="M110">
    <cfRule type="cellIs" dxfId="838" priority="26" operator="lessThan">
      <formula>70</formula>
    </cfRule>
  </conditionalFormatting>
  <conditionalFormatting sqref="M112">
    <cfRule type="cellIs" dxfId="837" priority="25" operator="lessThan">
      <formula>70</formula>
    </cfRule>
  </conditionalFormatting>
  <conditionalFormatting sqref="M116">
    <cfRule type="cellIs" dxfId="836" priority="18" operator="lessThan">
      <formula>2500</formula>
    </cfRule>
  </conditionalFormatting>
  <conditionalFormatting sqref="M120">
    <cfRule type="cellIs" dxfId="835" priority="19" operator="lessThan">
      <formula>17000</formula>
    </cfRule>
  </conditionalFormatting>
  <conditionalFormatting sqref="M126">
    <cfRule type="cellIs" dxfId="834" priority="17" operator="lessThan">
      <formula>1200</formula>
    </cfRule>
  </conditionalFormatting>
  <conditionalFormatting sqref="M130">
    <cfRule type="cellIs" dxfId="833" priority="16" operator="lessThan">
      <formula>3000</formula>
    </cfRule>
  </conditionalFormatting>
  <conditionalFormatting sqref="M136">
    <cfRule type="cellIs" dxfId="832" priority="13" operator="lessThan">
      <formula>500</formula>
    </cfRule>
  </conditionalFormatting>
  <conditionalFormatting sqref="M137">
    <cfRule type="cellIs" dxfId="831" priority="12" operator="lessThan">
      <formula>300</formula>
    </cfRule>
  </conditionalFormatting>
  <conditionalFormatting sqref="M140">
    <cfRule type="cellIs" dxfId="830" priority="11" operator="lessThan">
      <formula>1500</formula>
    </cfRule>
  </conditionalFormatting>
  <conditionalFormatting sqref="M142">
    <cfRule type="cellIs" dxfId="829" priority="10" operator="lessThan">
      <formula>2000</formula>
    </cfRule>
  </conditionalFormatting>
  <conditionalFormatting sqref="M143:M144">
    <cfRule type="cellIs" dxfId="828" priority="14" operator="lessThan">
      <formula>100</formula>
    </cfRule>
  </conditionalFormatting>
  <conditionalFormatting sqref="M146:M147">
    <cfRule type="cellIs" dxfId="827" priority="15" operator="lessThan">
      <formula>700</formula>
    </cfRule>
  </conditionalFormatting>
  <pageMargins left="0.25" right="0.25" top="0.75" bottom="0.75" header="0.3" footer="0.3"/>
  <pageSetup paperSize="9" scale="31" fitToHeight="0" orientation="landscape" verticalDpi="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17FBCB-4A6A-40EB-85B2-7D2D23614F42}">
          <x14:formula1>
            <xm:f>DDL!$A$2:$A$8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82DC-D375-478D-A624-E99B961E343C}">
  <sheetPr codeName="Sheet2">
    <pageSetUpPr fitToPage="1"/>
  </sheetPr>
  <dimension ref="A1:IX58"/>
  <sheetViews>
    <sheetView zoomScale="80" zoomScaleNormal="80" workbookViewId="0">
      <pane xSplit="13" ySplit="1" topLeftCell="W2" activePane="bottomRight" state="frozen"/>
      <selection pane="topRight" activeCell="N1" sqref="N1"/>
      <selection pane="bottomLeft" activeCell="A2" sqref="A2"/>
      <selection pane="bottomRight" activeCell="E23" sqref="E23"/>
    </sheetView>
  </sheetViews>
  <sheetFormatPr defaultRowHeight="14.4" x14ac:dyDescent="0.3"/>
  <cols>
    <col min="1" max="1" width="15.6640625" style="66" bestFit="1" customWidth="1"/>
    <col min="2" max="2" width="13.6640625" style="66" hidden="1" customWidth="1"/>
    <col min="3" max="3" width="7.6640625" style="66" hidden="1" customWidth="1"/>
    <col min="4" max="4" width="13.44140625" style="66" hidden="1" customWidth="1"/>
    <col min="5" max="5" width="93.109375" style="66" bestFit="1" customWidth="1"/>
    <col min="6" max="6" width="18.5546875" style="66" bestFit="1" customWidth="1"/>
    <col min="7" max="7" width="12.88671875" style="66" bestFit="1" customWidth="1"/>
    <col min="8" max="8" width="12.44140625" style="66" bestFit="1" customWidth="1"/>
    <col min="9" max="9" width="12.109375" style="67" bestFit="1" customWidth="1"/>
    <col min="10" max="10" width="20.44140625" style="66" bestFit="1" customWidth="1"/>
    <col min="11" max="11" width="15.44140625" style="66" bestFit="1" customWidth="1"/>
    <col min="12" max="12" width="9.88671875" style="66" bestFit="1" customWidth="1"/>
    <col min="13" max="13" width="11.6640625" style="66" bestFit="1" customWidth="1"/>
    <col min="14" max="15" width="10.109375" style="66" bestFit="1" customWidth="1"/>
    <col min="16" max="42" width="9.33203125" style="66" customWidth="1"/>
    <col min="43" max="44" width="10.109375" style="66" bestFit="1" customWidth="1"/>
    <col min="45" max="74" width="8.44140625" style="66" customWidth="1"/>
    <col min="75" max="105" width="7.88671875" style="66" customWidth="1"/>
    <col min="106" max="136" width="8.88671875" style="66" customWidth="1"/>
    <col min="137" max="166" width="8.77734375" style="66" customWidth="1"/>
    <col min="167" max="197" width="8.44140625" style="66" customWidth="1"/>
    <col min="198" max="227" width="9" style="66" customWidth="1"/>
    <col min="228" max="258" width="8.77734375" style="66" customWidth="1"/>
    <col min="259" max="16384" width="8.88671875" style="66"/>
  </cols>
  <sheetData>
    <row r="1" spans="1:258" s="71" customFormat="1" x14ac:dyDescent="0.3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9" t="s">
        <v>8</v>
      </c>
      <c r="J1" s="68" t="s">
        <v>9</v>
      </c>
      <c r="K1" s="68" t="s">
        <v>539</v>
      </c>
      <c r="L1" s="68" t="s">
        <v>10</v>
      </c>
      <c r="M1" s="68" t="s">
        <v>11</v>
      </c>
      <c r="N1" s="70" t="s">
        <v>545</v>
      </c>
      <c r="O1" s="70" t="s">
        <v>546</v>
      </c>
      <c r="P1" s="70" t="s">
        <v>547</v>
      </c>
      <c r="Q1" s="70" t="s">
        <v>548</v>
      </c>
      <c r="R1" s="70" t="s">
        <v>549</v>
      </c>
      <c r="S1" s="70" t="s">
        <v>550</v>
      </c>
      <c r="T1" s="70" t="s">
        <v>551</v>
      </c>
      <c r="U1" s="70" t="s">
        <v>552</v>
      </c>
      <c r="V1" s="70" t="s">
        <v>553</v>
      </c>
      <c r="W1" s="70" t="s">
        <v>554</v>
      </c>
      <c r="X1" s="70" t="s">
        <v>555</v>
      </c>
      <c r="Y1" s="70" t="s">
        <v>556</v>
      </c>
      <c r="Z1" s="70" t="s">
        <v>557</v>
      </c>
      <c r="AA1" s="70" t="s">
        <v>558</v>
      </c>
      <c r="AB1" s="70" t="s">
        <v>559</v>
      </c>
      <c r="AC1" s="70" t="s">
        <v>560</v>
      </c>
      <c r="AD1" s="70" t="s">
        <v>561</v>
      </c>
      <c r="AE1" s="70" t="s">
        <v>562</v>
      </c>
      <c r="AF1" s="70" t="s">
        <v>563</v>
      </c>
      <c r="AG1" s="70" t="s">
        <v>564</v>
      </c>
      <c r="AH1" s="70" t="s">
        <v>565</v>
      </c>
      <c r="AI1" s="70" t="s">
        <v>566</v>
      </c>
      <c r="AJ1" s="70" t="s">
        <v>567</v>
      </c>
      <c r="AK1" s="70" t="s">
        <v>568</v>
      </c>
      <c r="AL1" s="70" t="s">
        <v>569</v>
      </c>
      <c r="AM1" s="70" t="s">
        <v>570</v>
      </c>
      <c r="AN1" s="70" t="s">
        <v>571</v>
      </c>
      <c r="AO1" s="70" t="s">
        <v>572</v>
      </c>
      <c r="AP1" s="70" t="s">
        <v>573</v>
      </c>
      <c r="AQ1" s="70" t="s">
        <v>574</v>
      </c>
      <c r="AR1" s="70" t="s">
        <v>575</v>
      </c>
      <c r="AS1" s="70" t="s">
        <v>576</v>
      </c>
      <c r="AT1" s="70" t="s">
        <v>577</v>
      </c>
      <c r="AU1" s="70" t="s">
        <v>578</v>
      </c>
      <c r="AV1" s="70" t="s">
        <v>579</v>
      </c>
      <c r="AW1" s="70" t="s">
        <v>580</v>
      </c>
      <c r="AX1" s="70" t="s">
        <v>581</v>
      </c>
      <c r="AY1" s="70" t="s">
        <v>582</v>
      </c>
      <c r="AZ1" s="70" t="s">
        <v>583</v>
      </c>
      <c r="BA1" s="70" t="s">
        <v>584</v>
      </c>
      <c r="BB1" s="70" t="s">
        <v>585</v>
      </c>
      <c r="BC1" s="70" t="s">
        <v>586</v>
      </c>
      <c r="BD1" s="70" t="s">
        <v>587</v>
      </c>
      <c r="BE1" s="70" t="s">
        <v>588</v>
      </c>
      <c r="BF1" s="70" t="s">
        <v>589</v>
      </c>
      <c r="BG1" s="70" t="s">
        <v>590</v>
      </c>
      <c r="BH1" s="70" t="s">
        <v>591</v>
      </c>
      <c r="BI1" s="70" t="s">
        <v>592</v>
      </c>
      <c r="BJ1" s="70" t="s">
        <v>593</v>
      </c>
      <c r="BK1" s="70" t="s">
        <v>594</v>
      </c>
      <c r="BL1" s="70" t="s">
        <v>595</v>
      </c>
      <c r="BM1" s="70" t="s">
        <v>596</v>
      </c>
      <c r="BN1" s="70" t="s">
        <v>597</v>
      </c>
      <c r="BO1" s="70" t="s">
        <v>598</v>
      </c>
      <c r="BP1" s="70" t="s">
        <v>599</v>
      </c>
      <c r="BQ1" s="70" t="s">
        <v>600</v>
      </c>
      <c r="BR1" s="70" t="s">
        <v>601</v>
      </c>
      <c r="BS1" s="70" t="s">
        <v>602</v>
      </c>
      <c r="BT1" s="70" t="s">
        <v>603</v>
      </c>
      <c r="BU1" s="70" t="s">
        <v>604</v>
      </c>
      <c r="BV1" s="70" t="s">
        <v>605</v>
      </c>
      <c r="BW1" s="70" t="s">
        <v>606</v>
      </c>
      <c r="BX1" s="70" t="s">
        <v>607</v>
      </c>
      <c r="BY1" s="70" t="s">
        <v>608</v>
      </c>
      <c r="BZ1" s="70" t="s">
        <v>609</v>
      </c>
      <c r="CA1" s="70" t="s">
        <v>610</v>
      </c>
      <c r="CB1" s="70" t="s">
        <v>611</v>
      </c>
      <c r="CC1" s="70" t="s">
        <v>612</v>
      </c>
      <c r="CD1" s="70" t="s">
        <v>613</v>
      </c>
      <c r="CE1" s="70" t="s">
        <v>614</v>
      </c>
      <c r="CF1" s="70" t="s">
        <v>615</v>
      </c>
      <c r="CG1" s="70" t="s">
        <v>616</v>
      </c>
      <c r="CH1" s="70" t="s">
        <v>617</v>
      </c>
      <c r="CI1" s="70" t="s">
        <v>618</v>
      </c>
      <c r="CJ1" s="70" t="s">
        <v>619</v>
      </c>
      <c r="CK1" s="70" t="s">
        <v>620</v>
      </c>
      <c r="CL1" s="70" t="s">
        <v>621</v>
      </c>
      <c r="CM1" s="70" t="s">
        <v>622</v>
      </c>
      <c r="CN1" s="70" t="s">
        <v>623</v>
      </c>
      <c r="CO1" s="70" t="s">
        <v>624</v>
      </c>
      <c r="CP1" s="70" t="s">
        <v>625</v>
      </c>
      <c r="CQ1" s="70" t="s">
        <v>626</v>
      </c>
      <c r="CR1" s="70" t="s">
        <v>627</v>
      </c>
      <c r="CS1" s="70" t="s">
        <v>628</v>
      </c>
      <c r="CT1" s="70" t="s">
        <v>629</v>
      </c>
      <c r="CU1" s="70" t="s">
        <v>630</v>
      </c>
      <c r="CV1" s="70" t="s">
        <v>631</v>
      </c>
      <c r="CW1" s="70" t="s">
        <v>632</v>
      </c>
      <c r="CX1" s="70" t="s">
        <v>633</v>
      </c>
      <c r="CY1" s="70" t="s">
        <v>634</v>
      </c>
      <c r="CZ1" s="70" t="s">
        <v>635</v>
      </c>
      <c r="DA1" s="70" t="s">
        <v>636</v>
      </c>
      <c r="DB1" s="70" t="s">
        <v>637</v>
      </c>
      <c r="DC1" s="70" t="s">
        <v>638</v>
      </c>
      <c r="DD1" s="70" t="s">
        <v>639</v>
      </c>
      <c r="DE1" s="70" t="s">
        <v>640</v>
      </c>
      <c r="DF1" s="70" t="s">
        <v>641</v>
      </c>
      <c r="DG1" s="70" t="s">
        <v>642</v>
      </c>
      <c r="DH1" s="70" t="s">
        <v>643</v>
      </c>
      <c r="DI1" s="70" t="s">
        <v>644</v>
      </c>
      <c r="DJ1" s="70" t="s">
        <v>645</v>
      </c>
      <c r="DK1" s="70" t="s">
        <v>646</v>
      </c>
      <c r="DL1" s="70" t="s">
        <v>647</v>
      </c>
      <c r="DM1" s="70" t="s">
        <v>648</v>
      </c>
      <c r="DN1" s="70" t="s">
        <v>649</v>
      </c>
      <c r="DO1" s="70" t="s">
        <v>650</v>
      </c>
      <c r="DP1" s="70" t="s">
        <v>651</v>
      </c>
      <c r="DQ1" s="70" t="s">
        <v>652</v>
      </c>
      <c r="DR1" s="70" t="s">
        <v>653</v>
      </c>
      <c r="DS1" s="70" t="s">
        <v>654</v>
      </c>
      <c r="DT1" s="70" t="s">
        <v>655</v>
      </c>
      <c r="DU1" s="70" t="s">
        <v>656</v>
      </c>
      <c r="DV1" s="70" t="s">
        <v>657</v>
      </c>
      <c r="DW1" s="70" t="s">
        <v>658</v>
      </c>
      <c r="DX1" s="70" t="s">
        <v>659</v>
      </c>
      <c r="DY1" s="70" t="s">
        <v>660</v>
      </c>
      <c r="DZ1" s="70" t="s">
        <v>661</v>
      </c>
      <c r="EA1" s="70" t="s">
        <v>662</v>
      </c>
      <c r="EB1" s="70" t="s">
        <v>663</v>
      </c>
      <c r="EC1" s="70" t="s">
        <v>664</v>
      </c>
      <c r="ED1" s="70" t="s">
        <v>665</v>
      </c>
      <c r="EE1" s="70" t="s">
        <v>666</v>
      </c>
      <c r="EF1" s="70" t="s">
        <v>667</v>
      </c>
      <c r="EG1" s="70" t="s">
        <v>668</v>
      </c>
      <c r="EH1" s="70" t="s">
        <v>669</v>
      </c>
      <c r="EI1" s="70" t="s">
        <v>670</v>
      </c>
      <c r="EJ1" s="70" t="s">
        <v>671</v>
      </c>
      <c r="EK1" s="70" t="s">
        <v>672</v>
      </c>
      <c r="EL1" s="70" t="s">
        <v>673</v>
      </c>
      <c r="EM1" s="70" t="s">
        <v>674</v>
      </c>
      <c r="EN1" s="70" t="s">
        <v>675</v>
      </c>
      <c r="EO1" s="70" t="s">
        <v>676</v>
      </c>
      <c r="EP1" s="70" t="s">
        <v>677</v>
      </c>
      <c r="EQ1" s="70" t="s">
        <v>678</v>
      </c>
      <c r="ER1" s="70" t="s">
        <v>679</v>
      </c>
      <c r="ES1" s="70" t="s">
        <v>680</v>
      </c>
      <c r="ET1" s="70" t="s">
        <v>681</v>
      </c>
      <c r="EU1" s="70" t="s">
        <v>682</v>
      </c>
      <c r="EV1" s="70" t="s">
        <v>683</v>
      </c>
      <c r="EW1" s="70" t="s">
        <v>684</v>
      </c>
      <c r="EX1" s="70" t="s">
        <v>685</v>
      </c>
      <c r="EY1" s="70" t="s">
        <v>686</v>
      </c>
      <c r="EZ1" s="70" t="s">
        <v>687</v>
      </c>
      <c r="FA1" s="70" t="s">
        <v>688</v>
      </c>
      <c r="FB1" s="70" t="s">
        <v>689</v>
      </c>
      <c r="FC1" s="70" t="s">
        <v>690</v>
      </c>
      <c r="FD1" s="70" t="s">
        <v>691</v>
      </c>
      <c r="FE1" s="70" t="s">
        <v>692</v>
      </c>
      <c r="FF1" s="70" t="s">
        <v>693</v>
      </c>
      <c r="FG1" s="70" t="s">
        <v>694</v>
      </c>
      <c r="FH1" s="70" t="s">
        <v>695</v>
      </c>
      <c r="FI1" s="70" t="s">
        <v>696</v>
      </c>
      <c r="FJ1" s="70" t="s">
        <v>697</v>
      </c>
      <c r="FK1" s="70" t="s">
        <v>698</v>
      </c>
      <c r="FL1" s="70" t="s">
        <v>699</v>
      </c>
      <c r="FM1" s="70" t="s">
        <v>700</v>
      </c>
      <c r="FN1" s="70" t="s">
        <v>701</v>
      </c>
      <c r="FO1" s="70" t="s">
        <v>702</v>
      </c>
      <c r="FP1" s="70" t="s">
        <v>703</v>
      </c>
      <c r="FQ1" s="70" t="s">
        <v>704</v>
      </c>
      <c r="FR1" s="70" t="s">
        <v>705</v>
      </c>
      <c r="FS1" s="70" t="s">
        <v>706</v>
      </c>
      <c r="FT1" s="70" t="s">
        <v>707</v>
      </c>
      <c r="FU1" s="70" t="s">
        <v>708</v>
      </c>
      <c r="FV1" s="70" t="s">
        <v>709</v>
      </c>
      <c r="FW1" s="70" t="s">
        <v>710</v>
      </c>
      <c r="FX1" s="70" t="s">
        <v>711</v>
      </c>
      <c r="FY1" s="70" t="s">
        <v>712</v>
      </c>
      <c r="FZ1" s="70" t="s">
        <v>713</v>
      </c>
      <c r="GA1" s="70" t="s">
        <v>714</v>
      </c>
      <c r="GB1" s="70" t="s">
        <v>715</v>
      </c>
      <c r="GC1" s="70" t="s">
        <v>716</v>
      </c>
      <c r="GD1" s="70" t="s">
        <v>717</v>
      </c>
      <c r="GE1" s="70" t="s">
        <v>718</v>
      </c>
      <c r="GF1" s="70" t="s">
        <v>719</v>
      </c>
      <c r="GG1" s="70" t="s">
        <v>720</v>
      </c>
      <c r="GH1" s="70" t="s">
        <v>721</v>
      </c>
      <c r="GI1" s="70" t="s">
        <v>722</v>
      </c>
      <c r="GJ1" s="70" t="s">
        <v>723</v>
      </c>
      <c r="GK1" s="70" t="s">
        <v>724</v>
      </c>
      <c r="GL1" s="70" t="s">
        <v>725</v>
      </c>
      <c r="GM1" s="70" t="s">
        <v>726</v>
      </c>
      <c r="GN1" s="70" t="s">
        <v>727</v>
      </c>
      <c r="GO1" s="70" t="s">
        <v>728</v>
      </c>
      <c r="GP1" s="70" t="s">
        <v>729</v>
      </c>
      <c r="GQ1" s="70" t="s">
        <v>730</v>
      </c>
      <c r="GR1" s="70" t="s">
        <v>731</v>
      </c>
      <c r="GS1" s="70" t="s">
        <v>732</v>
      </c>
      <c r="GT1" s="70" t="s">
        <v>733</v>
      </c>
      <c r="GU1" s="70" t="s">
        <v>734</v>
      </c>
      <c r="GV1" s="70" t="s">
        <v>735</v>
      </c>
      <c r="GW1" s="70" t="s">
        <v>736</v>
      </c>
      <c r="GX1" s="70" t="s">
        <v>737</v>
      </c>
      <c r="GY1" s="70" t="s">
        <v>738</v>
      </c>
      <c r="GZ1" s="70" t="s">
        <v>739</v>
      </c>
      <c r="HA1" s="70" t="s">
        <v>740</v>
      </c>
      <c r="HB1" s="70" t="s">
        <v>741</v>
      </c>
      <c r="HC1" s="70" t="s">
        <v>742</v>
      </c>
      <c r="HD1" s="70" t="s">
        <v>743</v>
      </c>
      <c r="HE1" s="70" t="s">
        <v>744</v>
      </c>
      <c r="HF1" s="70" t="s">
        <v>745</v>
      </c>
      <c r="HG1" s="70" t="s">
        <v>746</v>
      </c>
      <c r="HH1" s="70" t="s">
        <v>747</v>
      </c>
      <c r="HI1" s="70" t="s">
        <v>748</v>
      </c>
      <c r="HJ1" s="70" t="s">
        <v>749</v>
      </c>
      <c r="HK1" s="70" t="s">
        <v>750</v>
      </c>
      <c r="HL1" s="70" t="s">
        <v>751</v>
      </c>
      <c r="HM1" s="70" t="s">
        <v>752</v>
      </c>
      <c r="HN1" s="70" t="s">
        <v>753</v>
      </c>
      <c r="HO1" s="70" t="s">
        <v>754</v>
      </c>
      <c r="HP1" s="70" t="s">
        <v>755</v>
      </c>
      <c r="HQ1" s="70" t="s">
        <v>756</v>
      </c>
      <c r="HR1" s="70" t="s">
        <v>757</v>
      </c>
      <c r="HS1" s="70" t="s">
        <v>758</v>
      </c>
      <c r="HT1" s="70" t="s">
        <v>759</v>
      </c>
      <c r="HU1" s="70" t="s">
        <v>760</v>
      </c>
      <c r="HV1" s="70" t="s">
        <v>761</v>
      </c>
      <c r="HW1" s="70" t="s">
        <v>762</v>
      </c>
      <c r="HX1" s="70" t="s">
        <v>763</v>
      </c>
      <c r="HY1" s="70" t="s">
        <v>764</v>
      </c>
      <c r="HZ1" s="70" t="s">
        <v>765</v>
      </c>
      <c r="IA1" s="70" t="s">
        <v>766</v>
      </c>
      <c r="IB1" s="70" t="s">
        <v>767</v>
      </c>
      <c r="IC1" s="70" t="s">
        <v>768</v>
      </c>
      <c r="ID1" s="70" t="s">
        <v>769</v>
      </c>
      <c r="IE1" s="70" t="s">
        <v>770</v>
      </c>
      <c r="IF1" s="70" t="s">
        <v>771</v>
      </c>
      <c r="IG1" s="70" t="s">
        <v>772</v>
      </c>
      <c r="IH1" s="70" t="s">
        <v>773</v>
      </c>
      <c r="II1" s="70" t="s">
        <v>774</v>
      </c>
      <c r="IJ1" s="70" t="s">
        <v>775</v>
      </c>
      <c r="IK1" s="70" t="s">
        <v>776</v>
      </c>
      <c r="IL1" s="70" t="s">
        <v>777</v>
      </c>
      <c r="IM1" s="70" t="s">
        <v>778</v>
      </c>
      <c r="IN1" s="70" t="s">
        <v>779</v>
      </c>
      <c r="IO1" s="70" t="s">
        <v>780</v>
      </c>
      <c r="IP1" s="70" t="s">
        <v>781</v>
      </c>
      <c r="IQ1" s="70" t="s">
        <v>782</v>
      </c>
      <c r="IR1" s="70" t="s">
        <v>783</v>
      </c>
      <c r="IS1" s="70" t="s">
        <v>784</v>
      </c>
      <c r="IT1" s="70" t="s">
        <v>785</v>
      </c>
      <c r="IU1" s="70" t="s">
        <v>786</v>
      </c>
      <c r="IV1" s="70" t="s">
        <v>787</v>
      </c>
      <c r="IW1" s="70" t="s">
        <v>788</v>
      </c>
      <c r="IX1" s="70" t="s">
        <v>789</v>
      </c>
    </row>
    <row r="2" spans="1:258" x14ac:dyDescent="0.3">
      <c r="A2" s="23" t="s">
        <v>141</v>
      </c>
      <c r="B2" s="23" t="s">
        <v>132</v>
      </c>
      <c r="C2" s="23"/>
      <c r="D2" s="23"/>
      <c r="E2" s="23" t="s">
        <v>256</v>
      </c>
      <c r="F2" s="23" t="s">
        <v>135</v>
      </c>
      <c r="G2" s="23" t="s">
        <v>18</v>
      </c>
      <c r="H2" s="23" t="s">
        <v>257</v>
      </c>
      <c r="I2" s="72">
        <v>46813</v>
      </c>
      <c r="J2" s="26">
        <f t="shared" ref="J2:J41" si="0">K2-L2</f>
        <v>5</v>
      </c>
      <c r="K2" s="27">
        <v>67</v>
      </c>
      <c r="L2" s="26">
        <f>SUM(N2:IX2)</f>
        <v>62</v>
      </c>
      <c r="M2" s="28" t="s">
        <v>19</v>
      </c>
      <c r="N2" s="73"/>
      <c r="O2" s="73"/>
      <c r="P2" s="73"/>
      <c r="Q2" s="73"/>
      <c r="R2" s="73"/>
      <c r="S2" s="34">
        <f>12</f>
        <v>12</v>
      </c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74"/>
      <c r="AU2" s="75">
        <f>50</f>
        <v>50</v>
      </c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  <c r="FG2" s="75"/>
      <c r="FH2" s="75"/>
      <c r="FI2" s="75"/>
      <c r="FJ2" s="75"/>
      <c r="FK2" s="75"/>
      <c r="FL2" s="75"/>
      <c r="FM2" s="75"/>
      <c r="FN2" s="75"/>
      <c r="FO2" s="75"/>
      <c r="FP2" s="75"/>
      <c r="FQ2" s="75"/>
      <c r="FR2" s="75"/>
      <c r="FS2" s="75"/>
      <c r="FT2" s="75"/>
      <c r="FU2" s="75"/>
      <c r="FV2" s="75"/>
      <c r="FW2" s="75"/>
      <c r="FX2" s="75"/>
      <c r="FY2" s="75"/>
      <c r="FZ2" s="75"/>
      <c r="GA2" s="75"/>
      <c r="GB2" s="75"/>
      <c r="GC2" s="75"/>
      <c r="GD2" s="75"/>
      <c r="GE2" s="75"/>
      <c r="GF2" s="75"/>
      <c r="GG2" s="75"/>
      <c r="GH2" s="75"/>
      <c r="GI2" s="75"/>
      <c r="GJ2" s="75"/>
      <c r="GK2" s="75"/>
      <c r="GL2" s="75"/>
      <c r="GM2" s="75"/>
      <c r="GN2" s="75"/>
      <c r="GO2" s="75"/>
      <c r="GP2" s="75"/>
      <c r="GQ2" s="75"/>
      <c r="GR2" s="75"/>
      <c r="GS2" s="75"/>
      <c r="GT2" s="75"/>
      <c r="GU2" s="75"/>
      <c r="GV2" s="75"/>
      <c r="GW2" s="75"/>
      <c r="GX2" s="75"/>
      <c r="GY2" s="75"/>
      <c r="GZ2" s="75"/>
      <c r="HA2" s="75"/>
      <c r="HB2" s="75"/>
      <c r="HC2" s="75"/>
      <c r="HD2" s="75"/>
      <c r="HE2" s="75"/>
      <c r="HF2" s="75"/>
      <c r="HG2" s="75"/>
      <c r="HH2" s="75"/>
      <c r="HI2" s="75"/>
      <c r="HJ2" s="75"/>
      <c r="HK2" s="75"/>
      <c r="HL2" s="75"/>
      <c r="HM2" s="75"/>
      <c r="HN2" s="75"/>
      <c r="HO2" s="75"/>
      <c r="HP2" s="75"/>
      <c r="HQ2" s="75"/>
      <c r="HR2" s="75"/>
      <c r="HS2" s="75"/>
      <c r="HT2" s="75"/>
      <c r="HU2" s="75"/>
      <c r="HV2" s="75"/>
      <c r="HW2" s="75"/>
      <c r="HX2" s="75"/>
      <c r="HY2" s="75"/>
      <c r="HZ2" s="75"/>
      <c r="IA2" s="75"/>
      <c r="IB2" s="75"/>
      <c r="IC2" s="75"/>
      <c r="ID2" s="75"/>
      <c r="IE2" s="75"/>
      <c r="IF2" s="75"/>
      <c r="IG2" s="75"/>
      <c r="IH2" s="75"/>
      <c r="II2" s="75"/>
      <c r="IJ2" s="75"/>
      <c r="IK2" s="75"/>
      <c r="IL2" s="75"/>
      <c r="IM2" s="75"/>
      <c r="IN2" s="75"/>
      <c r="IO2" s="75"/>
      <c r="IP2" s="75"/>
      <c r="IQ2" s="75"/>
      <c r="IR2" s="75"/>
      <c r="IS2" s="75"/>
      <c r="IT2" s="75"/>
      <c r="IU2" s="75"/>
      <c r="IV2" s="75"/>
      <c r="IW2" s="75"/>
      <c r="IX2" s="75"/>
    </row>
    <row r="3" spans="1:258" x14ac:dyDescent="0.3">
      <c r="A3" s="23" t="s">
        <v>141</v>
      </c>
      <c r="B3" s="23" t="s">
        <v>132</v>
      </c>
      <c r="C3" s="23" t="s">
        <v>275</v>
      </c>
      <c r="D3" s="23"/>
      <c r="E3" s="23" t="s">
        <v>276</v>
      </c>
      <c r="F3" s="23" t="s">
        <v>135</v>
      </c>
      <c r="G3" s="23" t="s">
        <v>30</v>
      </c>
      <c r="H3" s="23" t="s">
        <v>136</v>
      </c>
      <c r="I3" s="72">
        <v>47178</v>
      </c>
      <c r="J3" s="26">
        <f>K3-L3</f>
        <v>0</v>
      </c>
      <c r="K3" s="27">
        <v>0</v>
      </c>
      <c r="L3" s="26">
        <f t="shared" ref="L3:L58" si="1">SUM(N3:IX3)</f>
        <v>0</v>
      </c>
      <c r="M3" s="28">
        <f>SUM(J2:J3)</f>
        <v>5</v>
      </c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</row>
    <row r="4" spans="1:258" x14ac:dyDescent="0.3">
      <c r="A4" s="23" t="s">
        <v>143</v>
      </c>
      <c r="B4" s="23" t="s">
        <v>132</v>
      </c>
      <c r="C4" s="23" t="s">
        <v>275</v>
      </c>
      <c r="D4" s="23"/>
      <c r="E4" s="23" t="s">
        <v>277</v>
      </c>
      <c r="F4" s="23" t="s">
        <v>135</v>
      </c>
      <c r="G4" s="23" t="s">
        <v>18</v>
      </c>
      <c r="H4" s="23" t="s">
        <v>136</v>
      </c>
      <c r="I4" s="72">
        <v>47178</v>
      </c>
      <c r="J4" s="26">
        <f>K4-L4</f>
        <v>2</v>
      </c>
      <c r="K4" s="27">
        <v>2</v>
      </c>
      <c r="L4" s="26">
        <f t="shared" si="1"/>
        <v>0</v>
      </c>
      <c r="M4" s="28">
        <f>J4</f>
        <v>2</v>
      </c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5"/>
      <c r="GR4" s="75"/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5"/>
      <c r="HG4" s="75"/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5"/>
      <c r="HV4" s="75"/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5"/>
      <c r="IK4" s="75"/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</row>
    <row r="5" spans="1:258" x14ac:dyDescent="0.3">
      <c r="A5" s="23" t="s">
        <v>144</v>
      </c>
      <c r="B5" s="23" t="s">
        <v>132</v>
      </c>
      <c r="C5" s="23"/>
      <c r="D5" s="23"/>
      <c r="E5" s="23" t="s">
        <v>258</v>
      </c>
      <c r="F5" s="23" t="s">
        <v>135</v>
      </c>
      <c r="G5" s="23" t="s">
        <v>18</v>
      </c>
      <c r="H5" s="23" t="s">
        <v>257</v>
      </c>
      <c r="I5" s="72">
        <v>46813</v>
      </c>
      <c r="J5" s="26">
        <f t="shared" si="0"/>
        <v>3</v>
      </c>
      <c r="K5" s="27">
        <v>63</v>
      </c>
      <c r="L5" s="26">
        <f t="shared" si="1"/>
        <v>60</v>
      </c>
      <c r="M5" s="28" t="s">
        <v>19</v>
      </c>
      <c r="N5" s="73"/>
      <c r="O5" s="73"/>
      <c r="P5" s="73"/>
      <c r="Q5" s="73"/>
      <c r="R5" s="73"/>
      <c r="S5" s="34">
        <f>50</f>
        <v>50</v>
      </c>
      <c r="T5" s="73"/>
      <c r="U5" s="34">
        <f>10</f>
        <v>10</v>
      </c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75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75"/>
      <c r="GA5" s="75"/>
      <c r="GB5" s="75"/>
      <c r="GC5" s="75"/>
      <c r="GD5" s="75"/>
      <c r="GE5" s="75"/>
      <c r="GF5" s="75"/>
      <c r="GG5" s="75"/>
      <c r="GH5" s="75"/>
      <c r="GI5" s="75"/>
      <c r="GJ5" s="75"/>
      <c r="GK5" s="75"/>
      <c r="GL5" s="75"/>
      <c r="GM5" s="75"/>
      <c r="GN5" s="75"/>
      <c r="GO5" s="75"/>
      <c r="GP5" s="75"/>
      <c r="GQ5" s="75"/>
      <c r="GR5" s="75"/>
      <c r="GS5" s="75"/>
      <c r="GT5" s="75"/>
      <c r="GU5" s="75"/>
      <c r="GV5" s="75"/>
      <c r="GW5" s="75"/>
      <c r="GX5" s="75"/>
      <c r="GY5" s="75"/>
      <c r="GZ5" s="75"/>
      <c r="HA5" s="75"/>
      <c r="HB5" s="75"/>
      <c r="HC5" s="75"/>
      <c r="HD5" s="75"/>
      <c r="HE5" s="75"/>
      <c r="HF5" s="75"/>
      <c r="HG5" s="75"/>
      <c r="HH5" s="75"/>
      <c r="HI5" s="75"/>
      <c r="HJ5" s="75"/>
      <c r="HK5" s="75"/>
      <c r="HL5" s="75"/>
      <c r="HM5" s="75"/>
      <c r="HN5" s="75"/>
      <c r="HO5" s="75"/>
      <c r="HP5" s="75"/>
      <c r="HQ5" s="75"/>
      <c r="HR5" s="75"/>
      <c r="HS5" s="75"/>
      <c r="HT5" s="75"/>
      <c r="HU5" s="75"/>
      <c r="HV5" s="75"/>
      <c r="HW5" s="75"/>
      <c r="HX5" s="75"/>
      <c r="HY5" s="75"/>
      <c r="HZ5" s="75"/>
      <c r="IA5" s="75"/>
      <c r="IB5" s="75"/>
      <c r="IC5" s="75"/>
      <c r="ID5" s="75"/>
      <c r="IE5" s="75"/>
      <c r="IF5" s="75"/>
      <c r="IG5" s="75"/>
      <c r="IH5" s="75"/>
      <c r="II5" s="75"/>
      <c r="IJ5" s="75"/>
      <c r="IK5" s="75"/>
      <c r="IL5" s="75"/>
      <c r="IM5" s="75"/>
      <c r="IN5" s="75"/>
      <c r="IO5" s="75"/>
      <c r="IP5" s="75"/>
      <c r="IQ5" s="75"/>
      <c r="IR5" s="75"/>
      <c r="IS5" s="75"/>
      <c r="IT5" s="75"/>
      <c r="IU5" s="75"/>
      <c r="IV5" s="75"/>
      <c r="IW5" s="75"/>
      <c r="IX5" s="75"/>
    </row>
    <row r="6" spans="1:258" x14ac:dyDescent="0.3">
      <c r="A6" s="23" t="s">
        <v>144</v>
      </c>
      <c r="B6" s="23" t="s">
        <v>132</v>
      </c>
      <c r="C6" s="23" t="s">
        <v>275</v>
      </c>
      <c r="D6" s="23"/>
      <c r="E6" s="23" t="s">
        <v>280</v>
      </c>
      <c r="F6" s="23" t="s">
        <v>135</v>
      </c>
      <c r="G6" s="23" t="s">
        <v>30</v>
      </c>
      <c r="H6" s="23" t="s">
        <v>136</v>
      </c>
      <c r="I6" s="72">
        <v>47178</v>
      </c>
      <c r="J6" s="26">
        <f>K6-L6</f>
        <v>0</v>
      </c>
      <c r="K6" s="27">
        <v>0</v>
      </c>
      <c r="L6" s="26">
        <f t="shared" si="1"/>
        <v>0</v>
      </c>
      <c r="M6" s="28">
        <f>SUM(J5:J6)</f>
        <v>3</v>
      </c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5"/>
      <c r="GG6" s="75"/>
      <c r="GH6" s="75"/>
      <c r="GI6" s="75"/>
      <c r="GJ6" s="75"/>
      <c r="GK6" s="75"/>
      <c r="GL6" s="75"/>
      <c r="GM6" s="75"/>
      <c r="GN6" s="75"/>
      <c r="GO6" s="75"/>
      <c r="GP6" s="75"/>
      <c r="GQ6" s="75"/>
      <c r="GR6" s="75"/>
      <c r="GS6" s="75"/>
      <c r="GT6" s="75"/>
      <c r="GU6" s="75"/>
      <c r="GV6" s="75"/>
      <c r="GW6" s="75"/>
      <c r="GX6" s="75"/>
      <c r="GY6" s="75"/>
      <c r="GZ6" s="75"/>
      <c r="HA6" s="75"/>
      <c r="HB6" s="75"/>
      <c r="HC6" s="75"/>
      <c r="HD6" s="75"/>
      <c r="HE6" s="75"/>
      <c r="HF6" s="75"/>
      <c r="HG6" s="75"/>
      <c r="HH6" s="75"/>
      <c r="HI6" s="75"/>
      <c r="HJ6" s="75"/>
      <c r="HK6" s="75"/>
      <c r="HL6" s="75"/>
      <c r="HM6" s="75"/>
      <c r="HN6" s="75"/>
      <c r="HO6" s="75"/>
      <c r="HP6" s="75"/>
      <c r="HQ6" s="75"/>
      <c r="HR6" s="75"/>
      <c r="HS6" s="75"/>
      <c r="HT6" s="75"/>
      <c r="HU6" s="75"/>
      <c r="HV6" s="75"/>
      <c r="HW6" s="75"/>
      <c r="HX6" s="75"/>
      <c r="HY6" s="75"/>
      <c r="HZ6" s="75"/>
      <c r="IA6" s="75"/>
      <c r="IB6" s="75"/>
      <c r="IC6" s="75"/>
      <c r="ID6" s="75"/>
      <c r="IE6" s="75"/>
      <c r="IF6" s="75"/>
      <c r="IG6" s="75"/>
      <c r="IH6" s="75"/>
      <c r="II6" s="75"/>
      <c r="IJ6" s="75"/>
      <c r="IK6" s="75"/>
      <c r="IL6" s="75"/>
      <c r="IM6" s="75"/>
      <c r="IN6" s="75"/>
      <c r="IO6" s="75"/>
      <c r="IP6" s="75"/>
      <c r="IQ6" s="75"/>
      <c r="IR6" s="75"/>
      <c r="IS6" s="75"/>
      <c r="IT6" s="75"/>
      <c r="IU6" s="75"/>
      <c r="IV6" s="75"/>
      <c r="IW6" s="75"/>
      <c r="IX6" s="75"/>
    </row>
    <row r="7" spans="1:258" x14ac:dyDescent="0.3">
      <c r="A7" s="23" t="s">
        <v>145</v>
      </c>
      <c r="B7" s="23" t="s">
        <v>132</v>
      </c>
      <c r="C7" s="23" t="s">
        <v>275</v>
      </c>
      <c r="D7" s="23"/>
      <c r="E7" s="23" t="s">
        <v>278</v>
      </c>
      <c r="F7" s="23" t="s">
        <v>279</v>
      </c>
      <c r="G7" s="23" t="s">
        <v>30</v>
      </c>
      <c r="H7" s="23" t="s">
        <v>136</v>
      </c>
      <c r="I7" s="72">
        <v>47178</v>
      </c>
      <c r="J7" s="26">
        <f>K7-L7</f>
        <v>0</v>
      </c>
      <c r="K7" s="27">
        <v>0</v>
      </c>
      <c r="L7" s="26">
        <f t="shared" si="1"/>
        <v>0</v>
      </c>
      <c r="M7" s="28">
        <f>J7</f>
        <v>0</v>
      </c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  <c r="EF7" s="75"/>
      <c r="EG7" s="75"/>
      <c r="EH7" s="75"/>
      <c r="EI7" s="75"/>
      <c r="EJ7" s="75"/>
      <c r="EK7" s="75"/>
      <c r="EL7" s="75"/>
      <c r="EM7" s="75"/>
      <c r="EN7" s="75"/>
      <c r="EO7" s="75"/>
      <c r="EP7" s="75"/>
      <c r="EQ7" s="75"/>
      <c r="ER7" s="75"/>
      <c r="ES7" s="75"/>
      <c r="ET7" s="75"/>
      <c r="EU7" s="75"/>
      <c r="EV7" s="75"/>
      <c r="EW7" s="75"/>
      <c r="EX7" s="75"/>
      <c r="EY7" s="75"/>
      <c r="EZ7" s="75"/>
      <c r="FA7" s="75"/>
      <c r="FB7" s="75"/>
      <c r="FC7" s="75"/>
      <c r="FD7" s="75"/>
      <c r="FE7" s="75"/>
      <c r="FF7" s="75"/>
      <c r="FG7" s="75"/>
      <c r="FH7" s="75"/>
      <c r="FI7" s="75"/>
      <c r="FJ7" s="75"/>
      <c r="FK7" s="75"/>
      <c r="FL7" s="75"/>
      <c r="FM7" s="75"/>
      <c r="FN7" s="75"/>
      <c r="FO7" s="75"/>
      <c r="FP7" s="75"/>
      <c r="FQ7" s="75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/>
      <c r="IL7" s="75"/>
      <c r="IM7" s="75"/>
      <c r="IN7" s="75"/>
      <c r="IO7" s="75"/>
      <c r="IP7" s="75"/>
      <c r="IQ7" s="75"/>
      <c r="IR7" s="75"/>
      <c r="IS7" s="75"/>
      <c r="IT7" s="75"/>
      <c r="IU7" s="75"/>
      <c r="IV7" s="75"/>
      <c r="IW7" s="75"/>
      <c r="IX7" s="75"/>
    </row>
    <row r="8" spans="1:258" x14ac:dyDescent="0.3">
      <c r="A8" s="23" t="s">
        <v>251</v>
      </c>
      <c r="B8" s="23" t="s">
        <v>132</v>
      </c>
      <c r="C8" s="23"/>
      <c r="D8" s="23"/>
      <c r="E8" s="23" t="s">
        <v>259</v>
      </c>
      <c r="F8" s="23" t="s">
        <v>135</v>
      </c>
      <c r="G8" s="23" t="s">
        <v>18</v>
      </c>
      <c r="H8" s="76" t="s">
        <v>136</v>
      </c>
      <c r="I8" s="72">
        <v>47178</v>
      </c>
      <c r="J8" s="26">
        <f t="shared" si="0"/>
        <v>9</v>
      </c>
      <c r="K8" s="27">
        <v>9</v>
      </c>
      <c r="L8" s="26">
        <f t="shared" si="1"/>
        <v>0</v>
      </c>
      <c r="M8" s="28">
        <f>J8</f>
        <v>9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</row>
    <row r="9" spans="1:258" x14ac:dyDescent="0.3">
      <c r="A9" s="23" t="s">
        <v>287</v>
      </c>
      <c r="B9" s="23" t="s">
        <v>132</v>
      </c>
      <c r="C9" s="23"/>
      <c r="D9" s="23"/>
      <c r="E9" s="22" t="s">
        <v>260</v>
      </c>
      <c r="F9" s="23" t="s">
        <v>135</v>
      </c>
      <c r="G9" s="23" t="s">
        <v>18</v>
      </c>
      <c r="H9" s="76" t="s">
        <v>136</v>
      </c>
      <c r="I9" s="72">
        <v>47178</v>
      </c>
      <c r="J9" s="26">
        <f t="shared" si="0"/>
        <v>9</v>
      </c>
      <c r="K9" s="27">
        <v>9</v>
      </c>
      <c r="L9" s="26">
        <f t="shared" si="1"/>
        <v>0</v>
      </c>
      <c r="M9" s="28">
        <f>J9</f>
        <v>9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75"/>
      <c r="EO9" s="75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75"/>
      <c r="GK9" s="75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75"/>
      <c r="GW9" s="75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75"/>
      <c r="IF9" s="75"/>
      <c r="IG9" s="75"/>
      <c r="IH9" s="75"/>
      <c r="II9" s="75"/>
      <c r="IJ9" s="75"/>
      <c r="IK9" s="75"/>
      <c r="IL9" s="75"/>
      <c r="IM9" s="75"/>
      <c r="IN9" s="75"/>
      <c r="IO9" s="75"/>
      <c r="IP9" s="75"/>
      <c r="IQ9" s="75"/>
      <c r="IR9" s="75"/>
      <c r="IS9" s="75"/>
      <c r="IT9" s="75"/>
      <c r="IU9" s="75"/>
      <c r="IV9" s="75"/>
      <c r="IW9" s="75"/>
      <c r="IX9" s="75"/>
    </row>
    <row r="10" spans="1:258" x14ac:dyDescent="0.3">
      <c r="A10" s="23" t="s">
        <v>137</v>
      </c>
      <c r="B10" s="23" t="s">
        <v>132</v>
      </c>
      <c r="C10" s="23" t="s">
        <v>275</v>
      </c>
      <c r="D10" s="23"/>
      <c r="E10" s="22" t="s">
        <v>138</v>
      </c>
      <c r="F10" s="23" t="s">
        <v>135</v>
      </c>
      <c r="G10" s="23" t="s">
        <v>30</v>
      </c>
      <c r="H10" s="76" t="s">
        <v>136</v>
      </c>
      <c r="I10" s="72">
        <v>47178</v>
      </c>
      <c r="J10" s="26">
        <f>K10-L10</f>
        <v>0</v>
      </c>
      <c r="K10" s="27">
        <v>0</v>
      </c>
      <c r="L10" s="26">
        <f t="shared" si="1"/>
        <v>0</v>
      </c>
      <c r="M10" s="28">
        <f>J10</f>
        <v>0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  <c r="EF10" s="75"/>
      <c r="EG10" s="75"/>
      <c r="EH10" s="75"/>
      <c r="EI10" s="75"/>
      <c r="EJ10" s="75"/>
      <c r="EK10" s="75"/>
      <c r="EL10" s="75"/>
      <c r="EM10" s="75"/>
      <c r="EN10" s="75"/>
      <c r="EO10" s="75"/>
      <c r="EP10" s="75"/>
      <c r="EQ10" s="75"/>
      <c r="ER10" s="75"/>
      <c r="ES10" s="75"/>
      <c r="ET10" s="75"/>
      <c r="EU10" s="75"/>
      <c r="EV10" s="75"/>
      <c r="EW10" s="75"/>
      <c r="EX10" s="75"/>
      <c r="EY10" s="75"/>
      <c r="EZ10" s="75"/>
      <c r="FA10" s="75"/>
      <c r="FB10" s="75"/>
      <c r="FC10" s="75"/>
      <c r="FD10" s="75"/>
      <c r="FE10" s="75"/>
      <c r="FF10" s="75"/>
      <c r="FG10" s="75"/>
      <c r="FH10" s="75"/>
      <c r="FI10" s="75"/>
      <c r="FJ10" s="75"/>
      <c r="FK10" s="75"/>
      <c r="FL10" s="75"/>
      <c r="FM10" s="75"/>
      <c r="FN10" s="75"/>
      <c r="FO10" s="75"/>
      <c r="FP10" s="75"/>
      <c r="FQ10" s="75"/>
      <c r="FR10" s="75"/>
      <c r="FS10" s="75"/>
      <c r="FT10" s="75"/>
      <c r="FU10" s="75"/>
      <c r="FV10" s="75"/>
      <c r="FW10" s="75"/>
      <c r="FX10" s="75"/>
      <c r="FY10" s="75"/>
      <c r="FZ10" s="75"/>
      <c r="GA10" s="75"/>
      <c r="GB10" s="75"/>
      <c r="GC10" s="75"/>
      <c r="GD10" s="75"/>
      <c r="GE10" s="75"/>
      <c r="GF10" s="75"/>
      <c r="GG10" s="75"/>
      <c r="GH10" s="75"/>
      <c r="GI10" s="75"/>
      <c r="GJ10" s="75"/>
      <c r="GK10" s="75"/>
      <c r="GL10" s="75"/>
      <c r="GM10" s="75"/>
      <c r="GN10" s="75"/>
      <c r="GO10" s="75"/>
      <c r="GP10" s="75"/>
      <c r="GQ10" s="75"/>
      <c r="GR10" s="75"/>
      <c r="GS10" s="75"/>
      <c r="GT10" s="75"/>
      <c r="GU10" s="75"/>
      <c r="GV10" s="75"/>
      <c r="GW10" s="75"/>
      <c r="GX10" s="75"/>
      <c r="GY10" s="75"/>
      <c r="GZ10" s="75"/>
      <c r="HA10" s="75"/>
      <c r="HB10" s="75"/>
      <c r="HC10" s="75"/>
      <c r="HD10" s="75"/>
      <c r="HE10" s="75"/>
      <c r="HF10" s="75"/>
      <c r="HG10" s="75"/>
      <c r="HH10" s="75"/>
      <c r="HI10" s="75"/>
      <c r="HJ10" s="75"/>
      <c r="HK10" s="75"/>
      <c r="HL10" s="75"/>
      <c r="HM10" s="75"/>
      <c r="HN10" s="75"/>
      <c r="HO10" s="75"/>
      <c r="HP10" s="75"/>
      <c r="HQ10" s="75"/>
      <c r="HR10" s="75"/>
      <c r="HS10" s="75"/>
      <c r="HT10" s="75"/>
      <c r="HU10" s="75"/>
      <c r="HV10" s="75"/>
      <c r="HW10" s="75"/>
      <c r="HX10" s="75"/>
      <c r="HY10" s="75"/>
      <c r="HZ10" s="75"/>
      <c r="IA10" s="75"/>
      <c r="IB10" s="75"/>
      <c r="IC10" s="75"/>
      <c r="ID10" s="75"/>
      <c r="IE10" s="75"/>
      <c r="IF10" s="75"/>
      <c r="IG10" s="75"/>
      <c r="IH10" s="75"/>
      <c r="II10" s="75"/>
      <c r="IJ10" s="75"/>
      <c r="IK10" s="75"/>
      <c r="IL10" s="75"/>
      <c r="IM10" s="75"/>
      <c r="IN10" s="75"/>
      <c r="IO10" s="75"/>
      <c r="IP10" s="75"/>
      <c r="IQ10" s="75"/>
      <c r="IR10" s="75"/>
      <c r="IS10" s="75"/>
      <c r="IT10" s="75"/>
      <c r="IU10" s="75"/>
      <c r="IV10" s="75"/>
      <c r="IW10" s="75"/>
      <c r="IX10" s="75"/>
    </row>
    <row r="11" spans="1:258" x14ac:dyDescent="0.3">
      <c r="A11" s="23" t="s">
        <v>131</v>
      </c>
      <c r="B11" s="23" t="s">
        <v>132</v>
      </c>
      <c r="C11" s="23" t="s">
        <v>275</v>
      </c>
      <c r="D11" s="23"/>
      <c r="E11" s="22" t="s">
        <v>134</v>
      </c>
      <c r="F11" s="23" t="s">
        <v>135</v>
      </c>
      <c r="G11" s="23" t="s">
        <v>30</v>
      </c>
      <c r="H11" s="76" t="s">
        <v>257</v>
      </c>
      <c r="I11" s="72">
        <v>46813</v>
      </c>
      <c r="J11" s="26">
        <f>K11-L11</f>
        <v>0</v>
      </c>
      <c r="K11" s="27">
        <v>0</v>
      </c>
      <c r="L11" s="26">
        <f t="shared" si="1"/>
        <v>0</v>
      </c>
      <c r="M11" s="28">
        <f>J11</f>
        <v>0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75"/>
      <c r="EC11" s="75"/>
      <c r="ED11" s="75"/>
      <c r="EE11" s="75"/>
      <c r="EF11" s="75"/>
      <c r="EG11" s="75"/>
      <c r="EH11" s="75"/>
      <c r="EI11" s="75"/>
      <c r="EJ11" s="75"/>
      <c r="EK11" s="75"/>
      <c r="EL11" s="75"/>
      <c r="EM11" s="75"/>
      <c r="EN11" s="75"/>
      <c r="EO11" s="75"/>
      <c r="EP11" s="75"/>
      <c r="EQ11" s="75"/>
      <c r="ER11" s="75"/>
      <c r="ES11" s="75"/>
      <c r="ET11" s="75"/>
      <c r="EU11" s="75"/>
      <c r="EV11" s="75"/>
      <c r="EW11" s="75"/>
      <c r="EX11" s="75"/>
      <c r="EY11" s="75"/>
      <c r="EZ11" s="75"/>
      <c r="FA11" s="75"/>
      <c r="FB11" s="75"/>
      <c r="FC11" s="75"/>
      <c r="FD11" s="75"/>
      <c r="FE11" s="75"/>
      <c r="FF11" s="75"/>
      <c r="FG11" s="75"/>
      <c r="FH11" s="75"/>
      <c r="FI11" s="75"/>
      <c r="FJ11" s="75"/>
      <c r="FK11" s="75"/>
      <c r="FL11" s="75"/>
      <c r="FM11" s="75"/>
      <c r="FN11" s="75"/>
      <c r="FO11" s="75"/>
      <c r="FP11" s="75"/>
      <c r="FQ11" s="75"/>
      <c r="FR11" s="75"/>
      <c r="FS11" s="75"/>
      <c r="FT11" s="75"/>
      <c r="FU11" s="75"/>
      <c r="FV11" s="75"/>
      <c r="FW11" s="75"/>
      <c r="FX11" s="75"/>
      <c r="FY11" s="75"/>
      <c r="FZ11" s="75"/>
      <c r="GA11" s="75"/>
      <c r="GB11" s="75"/>
      <c r="GC11" s="75"/>
      <c r="GD11" s="75"/>
      <c r="GE11" s="75"/>
      <c r="GF11" s="75"/>
      <c r="GG11" s="75"/>
      <c r="GH11" s="75"/>
      <c r="GI11" s="75"/>
      <c r="GJ11" s="75"/>
      <c r="GK11" s="75"/>
      <c r="GL11" s="75"/>
      <c r="GM11" s="75"/>
      <c r="GN11" s="75"/>
      <c r="GO11" s="75"/>
      <c r="GP11" s="75"/>
      <c r="GQ11" s="75"/>
      <c r="GR11" s="75"/>
      <c r="GS11" s="75"/>
      <c r="GT11" s="75"/>
      <c r="GU11" s="75"/>
      <c r="GV11" s="75"/>
      <c r="GW11" s="75"/>
      <c r="GX11" s="75"/>
      <c r="GY11" s="75"/>
      <c r="GZ11" s="75"/>
      <c r="HA11" s="75"/>
      <c r="HB11" s="75"/>
      <c r="HC11" s="75"/>
      <c r="HD11" s="75"/>
      <c r="HE11" s="75"/>
      <c r="HF11" s="75"/>
      <c r="HG11" s="75"/>
      <c r="HH11" s="75"/>
      <c r="HI11" s="75"/>
      <c r="HJ11" s="75"/>
      <c r="HK11" s="75"/>
      <c r="HL11" s="75"/>
      <c r="HM11" s="75"/>
      <c r="HN11" s="75"/>
      <c r="HO11" s="75"/>
      <c r="HP11" s="75"/>
      <c r="HQ11" s="75"/>
      <c r="HR11" s="75"/>
      <c r="HS11" s="75"/>
      <c r="HT11" s="75"/>
      <c r="HU11" s="75"/>
      <c r="HV11" s="75"/>
      <c r="HW11" s="75"/>
      <c r="HX11" s="75"/>
      <c r="HY11" s="75"/>
      <c r="HZ11" s="75"/>
      <c r="IA11" s="75"/>
      <c r="IB11" s="75"/>
      <c r="IC11" s="75"/>
      <c r="ID11" s="75"/>
      <c r="IE11" s="75"/>
      <c r="IF11" s="75"/>
      <c r="IG11" s="75"/>
      <c r="IH11" s="75"/>
      <c r="II11" s="75"/>
      <c r="IJ11" s="75"/>
      <c r="IK11" s="75"/>
      <c r="IL11" s="75"/>
      <c r="IM11" s="75"/>
      <c r="IN11" s="75"/>
      <c r="IO11" s="75"/>
      <c r="IP11" s="75"/>
      <c r="IQ11" s="75"/>
      <c r="IR11" s="75"/>
      <c r="IS11" s="75"/>
      <c r="IT11" s="75"/>
      <c r="IU11" s="75"/>
      <c r="IV11" s="75"/>
      <c r="IW11" s="75"/>
      <c r="IX11" s="75"/>
    </row>
    <row r="12" spans="1:258" x14ac:dyDescent="0.3">
      <c r="A12" s="23" t="s">
        <v>114</v>
      </c>
      <c r="B12" s="23"/>
      <c r="C12" s="23"/>
      <c r="D12" s="23"/>
      <c r="E12" s="23" t="s">
        <v>116</v>
      </c>
      <c r="F12" s="23" t="s">
        <v>117</v>
      </c>
      <c r="G12" s="23" t="s">
        <v>33</v>
      </c>
      <c r="H12" s="23" t="s">
        <v>261</v>
      </c>
      <c r="I12" s="72">
        <v>45872</v>
      </c>
      <c r="J12" s="26">
        <f t="shared" si="0"/>
        <v>38</v>
      </c>
      <c r="K12" s="27">
        <v>38</v>
      </c>
      <c r="L12" s="26">
        <f t="shared" si="1"/>
        <v>0</v>
      </c>
      <c r="M12" s="28">
        <f t="shared" ref="M12:M46" si="2">J12</f>
        <v>38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75"/>
      <c r="DH12" s="75"/>
      <c r="DI12" s="75"/>
      <c r="DJ12" s="75"/>
      <c r="DK12" s="75"/>
      <c r="DL12" s="75"/>
      <c r="DM12" s="75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75"/>
      <c r="EC12" s="75"/>
      <c r="ED12" s="75"/>
      <c r="EE12" s="75"/>
      <c r="EF12" s="75"/>
      <c r="EG12" s="75"/>
      <c r="EH12" s="75"/>
      <c r="EI12" s="75"/>
      <c r="EJ12" s="75"/>
      <c r="EK12" s="75"/>
      <c r="EL12" s="75"/>
      <c r="EM12" s="75"/>
      <c r="EN12" s="75"/>
      <c r="EO12" s="75"/>
      <c r="EP12" s="75"/>
      <c r="EQ12" s="75"/>
      <c r="ER12" s="75"/>
      <c r="ES12" s="75"/>
      <c r="ET12" s="75"/>
      <c r="EU12" s="75"/>
      <c r="EV12" s="75"/>
      <c r="EW12" s="75"/>
      <c r="EX12" s="75"/>
      <c r="EY12" s="75"/>
      <c r="EZ12" s="75"/>
      <c r="FA12" s="75"/>
      <c r="FB12" s="75"/>
      <c r="FC12" s="75"/>
      <c r="FD12" s="75"/>
      <c r="FE12" s="75"/>
      <c r="FF12" s="75"/>
      <c r="FG12" s="75"/>
      <c r="FH12" s="75"/>
      <c r="FI12" s="75"/>
      <c r="FJ12" s="75"/>
      <c r="FK12" s="75"/>
      <c r="FL12" s="75"/>
      <c r="FM12" s="75"/>
      <c r="FN12" s="75"/>
      <c r="FO12" s="75"/>
      <c r="FP12" s="75"/>
      <c r="FQ12" s="75"/>
      <c r="FR12" s="75"/>
      <c r="FS12" s="75"/>
      <c r="FT12" s="75"/>
      <c r="FU12" s="75"/>
      <c r="FV12" s="75"/>
      <c r="FW12" s="75"/>
      <c r="FX12" s="75"/>
      <c r="FY12" s="75"/>
      <c r="FZ12" s="75"/>
      <c r="GA12" s="75"/>
      <c r="GB12" s="75"/>
      <c r="GC12" s="75"/>
      <c r="GD12" s="75"/>
      <c r="GE12" s="75"/>
      <c r="GF12" s="75"/>
      <c r="GG12" s="75"/>
      <c r="GH12" s="75"/>
      <c r="GI12" s="75"/>
      <c r="GJ12" s="75"/>
      <c r="GK12" s="75"/>
      <c r="GL12" s="75"/>
      <c r="GM12" s="75"/>
      <c r="GN12" s="75"/>
      <c r="GO12" s="75"/>
      <c r="GP12" s="75"/>
      <c r="GQ12" s="75"/>
      <c r="GR12" s="75"/>
      <c r="GS12" s="75"/>
      <c r="GT12" s="75"/>
      <c r="GU12" s="75"/>
      <c r="GV12" s="75"/>
      <c r="GW12" s="75"/>
      <c r="GX12" s="75"/>
      <c r="GY12" s="75"/>
      <c r="GZ12" s="75"/>
      <c r="HA12" s="75"/>
      <c r="HB12" s="75"/>
      <c r="HC12" s="75"/>
      <c r="HD12" s="75"/>
      <c r="HE12" s="75"/>
      <c r="HF12" s="75"/>
      <c r="HG12" s="75"/>
      <c r="HH12" s="75"/>
      <c r="HI12" s="75"/>
      <c r="HJ12" s="75"/>
      <c r="HK12" s="75"/>
      <c r="HL12" s="75"/>
      <c r="HM12" s="75"/>
      <c r="HN12" s="75"/>
      <c r="HO12" s="75"/>
      <c r="HP12" s="75"/>
      <c r="HQ12" s="75"/>
      <c r="HR12" s="75"/>
      <c r="HS12" s="75"/>
      <c r="HT12" s="75"/>
      <c r="HU12" s="75"/>
      <c r="HV12" s="75"/>
      <c r="HW12" s="75"/>
      <c r="HX12" s="75"/>
      <c r="HY12" s="75"/>
      <c r="HZ12" s="75"/>
      <c r="IA12" s="75"/>
      <c r="IB12" s="75"/>
      <c r="IC12" s="75"/>
      <c r="ID12" s="75"/>
      <c r="IE12" s="75"/>
      <c r="IF12" s="75"/>
      <c r="IG12" s="75"/>
      <c r="IH12" s="75"/>
      <c r="II12" s="75"/>
      <c r="IJ12" s="75"/>
      <c r="IK12" s="75"/>
      <c r="IL12" s="75"/>
      <c r="IM12" s="75"/>
      <c r="IN12" s="75"/>
      <c r="IO12" s="75"/>
      <c r="IP12" s="75"/>
      <c r="IQ12" s="75"/>
      <c r="IR12" s="75"/>
      <c r="IS12" s="75"/>
      <c r="IT12" s="75"/>
      <c r="IU12" s="75"/>
      <c r="IV12" s="75"/>
      <c r="IW12" s="75"/>
      <c r="IX12" s="75"/>
    </row>
    <row r="13" spans="1:258" x14ac:dyDescent="0.3">
      <c r="A13" s="23" t="s">
        <v>119</v>
      </c>
      <c r="B13" s="23"/>
      <c r="C13" s="23"/>
      <c r="D13" s="23"/>
      <c r="E13" s="23" t="s">
        <v>122</v>
      </c>
      <c r="F13" s="23" t="s">
        <v>123</v>
      </c>
      <c r="G13" s="23" t="s">
        <v>33</v>
      </c>
      <c r="H13" s="23"/>
      <c r="I13" s="72">
        <v>45294</v>
      </c>
      <c r="J13" s="26">
        <f t="shared" si="0"/>
        <v>25</v>
      </c>
      <c r="K13" s="27">
        <v>25</v>
      </c>
      <c r="L13" s="26">
        <f t="shared" si="1"/>
        <v>0</v>
      </c>
      <c r="M13" s="28" t="s">
        <v>19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75"/>
      <c r="DH13" s="75"/>
      <c r="DI13" s="75"/>
      <c r="DJ13" s="75"/>
      <c r="DK13" s="75"/>
      <c r="DL13" s="75"/>
      <c r="DM13" s="75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  <c r="FU13" s="75"/>
      <c r="FV13" s="75"/>
      <c r="FW13" s="75"/>
      <c r="FX13" s="75"/>
      <c r="FY13" s="75"/>
      <c r="FZ13" s="75"/>
      <c r="GA13" s="75"/>
      <c r="GB13" s="75"/>
      <c r="GC13" s="75"/>
      <c r="GD13" s="75"/>
      <c r="GE13" s="75"/>
      <c r="GF13" s="75"/>
      <c r="GG13" s="75"/>
      <c r="GH13" s="75"/>
      <c r="GI13" s="75"/>
      <c r="GJ13" s="75"/>
      <c r="GK13" s="75"/>
      <c r="GL13" s="75"/>
      <c r="GM13" s="75"/>
      <c r="GN13" s="75"/>
      <c r="GO13" s="75"/>
      <c r="GP13" s="75"/>
      <c r="GQ13" s="75"/>
      <c r="GR13" s="75"/>
      <c r="GS13" s="75"/>
      <c r="GT13" s="75"/>
      <c r="GU13" s="75"/>
      <c r="GV13" s="75"/>
      <c r="GW13" s="75"/>
      <c r="GX13" s="75"/>
      <c r="GY13" s="75"/>
      <c r="GZ13" s="75"/>
      <c r="HA13" s="75"/>
      <c r="HB13" s="75"/>
      <c r="HC13" s="75"/>
      <c r="HD13" s="75"/>
      <c r="HE13" s="75"/>
      <c r="HF13" s="75"/>
      <c r="HG13" s="75"/>
      <c r="HH13" s="75"/>
      <c r="HI13" s="75"/>
      <c r="HJ13" s="75"/>
      <c r="HK13" s="75"/>
      <c r="HL13" s="75"/>
      <c r="HM13" s="75"/>
      <c r="HN13" s="75"/>
      <c r="HO13" s="75"/>
      <c r="HP13" s="75"/>
      <c r="HQ13" s="75"/>
      <c r="HR13" s="75"/>
      <c r="HS13" s="75"/>
      <c r="HT13" s="75"/>
      <c r="HU13" s="75"/>
      <c r="HV13" s="75"/>
      <c r="HW13" s="75"/>
      <c r="HX13" s="75"/>
      <c r="HY13" s="75"/>
      <c r="HZ13" s="75"/>
      <c r="IA13" s="75"/>
      <c r="IB13" s="75"/>
      <c r="IC13" s="75"/>
      <c r="ID13" s="75"/>
      <c r="IE13" s="75"/>
      <c r="IF13" s="75"/>
      <c r="IG13" s="75"/>
      <c r="IH13" s="75"/>
      <c r="II13" s="75"/>
      <c r="IJ13" s="75"/>
      <c r="IK13" s="75"/>
      <c r="IL13" s="75"/>
      <c r="IM13" s="75"/>
      <c r="IN13" s="75"/>
      <c r="IO13" s="75"/>
      <c r="IP13" s="75"/>
      <c r="IQ13" s="75"/>
      <c r="IR13" s="75"/>
      <c r="IS13" s="75"/>
      <c r="IT13" s="75"/>
      <c r="IU13" s="75"/>
      <c r="IV13" s="75"/>
      <c r="IW13" s="75"/>
      <c r="IX13" s="75"/>
    </row>
    <row r="14" spans="1:258" x14ac:dyDescent="0.3">
      <c r="A14" s="23" t="s">
        <v>119</v>
      </c>
      <c r="B14" s="23"/>
      <c r="C14" s="23"/>
      <c r="D14" s="23"/>
      <c r="E14" s="23" t="s">
        <v>122</v>
      </c>
      <c r="F14" s="23" t="s">
        <v>123</v>
      </c>
      <c r="G14" s="23" t="s">
        <v>18</v>
      </c>
      <c r="H14" s="23"/>
      <c r="I14" s="72"/>
      <c r="J14" s="26">
        <f t="shared" si="0"/>
        <v>3</v>
      </c>
      <c r="K14" s="27">
        <v>3</v>
      </c>
      <c r="L14" s="26">
        <f t="shared" si="1"/>
        <v>0</v>
      </c>
      <c r="M14" s="28" t="s">
        <v>19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75"/>
      <c r="FG14" s="75"/>
      <c r="FH14" s="75"/>
      <c r="FI14" s="75"/>
      <c r="FJ14" s="75"/>
      <c r="FK14" s="75"/>
      <c r="FL14" s="75"/>
      <c r="FM14" s="75"/>
      <c r="FN14" s="75"/>
      <c r="FO14" s="75"/>
      <c r="FP14" s="75"/>
      <c r="FQ14" s="75"/>
      <c r="FR14" s="75"/>
      <c r="FS14" s="75"/>
      <c r="FT14" s="75"/>
      <c r="FU14" s="75"/>
      <c r="FV14" s="75"/>
      <c r="FW14" s="75"/>
      <c r="FX14" s="75"/>
      <c r="FY14" s="75"/>
      <c r="FZ14" s="75"/>
      <c r="GA14" s="75"/>
      <c r="GB14" s="75"/>
      <c r="GC14" s="75"/>
      <c r="GD14" s="75"/>
      <c r="GE14" s="75"/>
      <c r="GF14" s="75"/>
      <c r="GG14" s="75"/>
      <c r="GH14" s="75"/>
      <c r="GI14" s="75"/>
      <c r="GJ14" s="75"/>
      <c r="GK14" s="75"/>
      <c r="GL14" s="75"/>
      <c r="GM14" s="75"/>
      <c r="GN14" s="75"/>
      <c r="GO14" s="75"/>
      <c r="GP14" s="75"/>
      <c r="GQ14" s="75"/>
      <c r="GR14" s="75"/>
      <c r="GS14" s="75"/>
      <c r="GT14" s="75"/>
      <c r="GU14" s="75"/>
      <c r="GV14" s="75"/>
      <c r="GW14" s="75"/>
      <c r="GX14" s="75"/>
      <c r="GY14" s="75"/>
      <c r="GZ14" s="75"/>
      <c r="HA14" s="75"/>
      <c r="HB14" s="75"/>
      <c r="HC14" s="75"/>
      <c r="HD14" s="75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  <c r="IU14" s="75"/>
      <c r="IV14" s="75"/>
      <c r="IW14" s="75"/>
      <c r="IX14" s="75"/>
    </row>
    <row r="15" spans="1:258" x14ac:dyDescent="0.3">
      <c r="A15" s="23" t="s">
        <v>119</v>
      </c>
      <c r="B15" s="23"/>
      <c r="C15" s="23" t="s">
        <v>275</v>
      </c>
      <c r="D15" s="23"/>
      <c r="E15" s="23" t="s">
        <v>122</v>
      </c>
      <c r="F15" s="23" t="s">
        <v>123</v>
      </c>
      <c r="G15" s="23" t="s">
        <v>18</v>
      </c>
      <c r="H15" s="23">
        <v>2024021802</v>
      </c>
      <c r="I15" s="72">
        <v>46443</v>
      </c>
      <c r="J15" s="26">
        <f>K15-L15</f>
        <v>10</v>
      </c>
      <c r="K15" s="27">
        <v>10</v>
      </c>
      <c r="L15" s="26">
        <f t="shared" si="1"/>
        <v>0</v>
      </c>
      <c r="M15" s="28">
        <f>SUM(J13:J15)</f>
        <v>38</v>
      </c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  <c r="IX15" s="75"/>
    </row>
    <row r="16" spans="1:258" x14ac:dyDescent="0.3">
      <c r="A16" s="23" t="s">
        <v>124</v>
      </c>
      <c r="B16" s="23"/>
      <c r="C16" s="23"/>
      <c r="D16" s="23"/>
      <c r="E16" s="23" t="s">
        <v>126</v>
      </c>
      <c r="F16" s="23" t="s">
        <v>123</v>
      </c>
      <c r="G16" s="23" t="s">
        <v>33</v>
      </c>
      <c r="H16" s="23"/>
      <c r="I16" s="72">
        <v>45294</v>
      </c>
      <c r="J16" s="26">
        <f t="shared" si="0"/>
        <v>8</v>
      </c>
      <c r="K16" s="27">
        <v>8</v>
      </c>
      <c r="L16" s="26">
        <f t="shared" si="1"/>
        <v>0</v>
      </c>
      <c r="M16" s="28">
        <f t="shared" si="2"/>
        <v>8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  <c r="IU16" s="75"/>
      <c r="IV16" s="75"/>
      <c r="IW16" s="75"/>
      <c r="IX16" s="75"/>
    </row>
    <row r="17" spans="1:258" x14ac:dyDescent="0.3">
      <c r="A17" s="23" t="s">
        <v>174</v>
      </c>
      <c r="B17" s="23"/>
      <c r="C17" s="23"/>
      <c r="D17" s="23"/>
      <c r="E17" s="23" t="s">
        <v>289</v>
      </c>
      <c r="F17" s="23"/>
      <c r="G17" s="23" t="s">
        <v>18</v>
      </c>
      <c r="H17" s="23" t="s">
        <v>262</v>
      </c>
      <c r="I17" s="72">
        <v>46134</v>
      </c>
      <c r="J17" s="26">
        <f t="shared" si="0"/>
        <v>12</v>
      </c>
      <c r="K17" s="27">
        <v>12</v>
      </c>
      <c r="L17" s="26">
        <f t="shared" si="1"/>
        <v>0</v>
      </c>
      <c r="M17" s="28">
        <f t="shared" si="2"/>
        <v>12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</row>
    <row r="18" spans="1:258" x14ac:dyDescent="0.3">
      <c r="A18" s="23" t="s">
        <v>91</v>
      </c>
      <c r="B18" s="23"/>
      <c r="C18" s="23"/>
      <c r="D18" s="23"/>
      <c r="E18" s="23" t="s">
        <v>263</v>
      </c>
      <c r="F18" s="23" t="s">
        <v>73</v>
      </c>
      <c r="G18" s="23" t="s">
        <v>30</v>
      </c>
      <c r="H18" s="23" t="s">
        <v>264</v>
      </c>
      <c r="I18" s="72">
        <v>46235</v>
      </c>
      <c r="J18" s="26">
        <f t="shared" si="0"/>
        <v>0</v>
      </c>
      <c r="K18" s="27">
        <v>0</v>
      </c>
      <c r="L18" s="26">
        <f t="shared" si="1"/>
        <v>0</v>
      </c>
      <c r="M18" s="28">
        <f t="shared" si="2"/>
        <v>0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  <c r="IU18" s="75"/>
      <c r="IV18" s="75"/>
      <c r="IW18" s="75"/>
      <c r="IX18" s="75"/>
    </row>
    <row r="19" spans="1:258" x14ac:dyDescent="0.3">
      <c r="A19" s="23" t="s">
        <v>84</v>
      </c>
      <c r="B19" s="23"/>
      <c r="C19" s="23" t="s">
        <v>275</v>
      </c>
      <c r="D19" s="23"/>
      <c r="E19" s="23" t="s">
        <v>282</v>
      </c>
      <c r="F19" s="23" t="s">
        <v>73</v>
      </c>
      <c r="G19" s="23" t="s">
        <v>18</v>
      </c>
      <c r="H19" s="23" t="s">
        <v>283</v>
      </c>
      <c r="I19" s="72">
        <v>46235</v>
      </c>
      <c r="J19" s="26">
        <f t="shared" si="0"/>
        <v>0</v>
      </c>
      <c r="K19" s="27">
        <v>0</v>
      </c>
      <c r="L19" s="26">
        <f t="shared" si="1"/>
        <v>0</v>
      </c>
      <c r="M19" s="28" t="s">
        <v>19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  <c r="IU19" s="75"/>
      <c r="IV19" s="75"/>
      <c r="IW19" s="75"/>
      <c r="IX19" s="75"/>
    </row>
    <row r="20" spans="1:258" x14ac:dyDescent="0.3">
      <c r="A20" s="23" t="s">
        <v>84</v>
      </c>
      <c r="B20" s="23"/>
      <c r="C20" s="23" t="s">
        <v>275</v>
      </c>
      <c r="D20" s="23"/>
      <c r="E20" s="23" t="s">
        <v>282</v>
      </c>
      <c r="F20" s="23" t="s">
        <v>73</v>
      </c>
      <c r="G20" s="23" t="s">
        <v>18</v>
      </c>
      <c r="H20" s="23" t="s">
        <v>284</v>
      </c>
      <c r="I20" s="72">
        <v>47088</v>
      </c>
      <c r="J20" s="26">
        <f t="shared" si="0"/>
        <v>5</v>
      </c>
      <c r="K20" s="27">
        <v>5</v>
      </c>
      <c r="L20" s="26">
        <f t="shared" si="1"/>
        <v>0</v>
      </c>
      <c r="M20" s="28">
        <f>SUM(J19:J20)</f>
        <v>5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  <c r="IU20" s="75"/>
      <c r="IV20" s="75"/>
      <c r="IW20" s="75"/>
      <c r="IX20" s="75"/>
    </row>
    <row r="21" spans="1:258" x14ac:dyDescent="0.3">
      <c r="A21" s="23" t="s">
        <v>79</v>
      </c>
      <c r="B21" s="23"/>
      <c r="C21" s="23"/>
      <c r="D21" s="23"/>
      <c r="E21" s="23" t="s">
        <v>265</v>
      </c>
      <c r="F21" s="23" t="s">
        <v>73</v>
      </c>
      <c r="G21" s="23" t="s">
        <v>30</v>
      </c>
      <c r="H21" s="23" t="s">
        <v>80</v>
      </c>
      <c r="I21" s="72">
        <v>47027</v>
      </c>
      <c r="J21" s="26">
        <f t="shared" si="0"/>
        <v>0</v>
      </c>
      <c r="K21" s="27">
        <v>0</v>
      </c>
      <c r="L21" s="26">
        <f t="shared" si="1"/>
        <v>0</v>
      </c>
      <c r="M21" s="28" t="s">
        <v>19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  <c r="FV21" s="75"/>
      <c r="FW21" s="75"/>
      <c r="FX21" s="75"/>
      <c r="FY21" s="75"/>
      <c r="FZ21" s="75"/>
      <c r="GA21" s="75"/>
      <c r="GB21" s="75"/>
      <c r="GC21" s="75"/>
      <c r="GD21" s="75"/>
      <c r="GE21" s="75"/>
      <c r="GF21" s="75"/>
      <c r="GG21" s="75"/>
      <c r="GH21" s="75"/>
      <c r="GI21" s="75"/>
      <c r="GJ21" s="75"/>
      <c r="GK21" s="75"/>
      <c r="GL21" s="75"/>
      <c r="GM21" s="75"/>
      <c r="GN21" s="75"/>
      <c r="GO21" s="75"/>
      <c r="GP21" s="75"/>
      <c r="GQ21" s="75"/>
      <c r="GR21" s="75"/>
      <c r="GS21" s="75"/>
      <c r="GT21" s="75"/>
      <c r="GU21" s="75"/>
      <c r="GV21" s="75"/>
      <c r="GW21" s="75"/>
      <c r="GX21" s="75"/>
      <c r="GY21" s="75"/>
      <c r="GZ21" s="75"/>
      <c r="HA21" s="75"/>
      <c r="HB21" s="75"/>
      <c r="HC21" s="75"/>
      <c r="HD21" s="75"/>
      <c r="HE21" s="75"/>
      <c r="HF21" s="75"/>
      <c r="HG21" s="75"/>
      <c r="HH21" s="75"/>
      <c r="HI21" s="75"/>
      <c r="HJ21" s="75"/>
      <c r="HK21" s="75"/>
      <c r="HL21" s="75"/>
      <c r="HM21" s="75"/>
      <c r="HN21" s="75"/>
      <c r="HO21" s="75"/>
      <c r="HP21" s="75"/>
      <c r="HQ21" s="75"/>
      <c r="HR21" s="75"/>
      <c r="HS21" s="75"/>
      <c r="HT21" s="75"/>
      <c r="HU21" s="75"/>
      <c r="HV21" s="75"/>
      <c r="HW21" s="75"/>
      <c r="HX21" s="75"/>
      <c r="HY21" s="75"/>
      <c r="HZ21" s="75"/>
      <c r="IA21" s="75"/>
      <c r="IB21" s="75"/>
      <c r="IC21" s="75"/>
      <c r="ID21" s="75"/>
      <c r="IE21" s="75"/>
      <c r="IF21" s="75"/>
      <c r="IG21" s="75"/>
      <c r="IH21" s="75"/>
      <c r="II21" s="75"/>
      <c r="IJ21" s="75"/>
      <c r="IK21" s="75"/>
      <c r="IL21" s="75"/>
      <c r="IM21" s="75"/>
      <c r="IN21" s="75"/>
      <c r="IO21" s="75"/>
      <c r="IP21" s="75"/>
      <c r="IQ21" s="75"/>
      <c r="IR21" s="75"/>
      <c r="IS21" s="75"/>
      <c r="IT21" s="75"/>
      <c r="IU21" s="75"/>
      <c r="IV21" s="75"/>
      <c r="IW21" s="75"/>
      <c r="IX21" s="75"/>
    </row>
    <row r="22" spans="1:258" x14ac:dyDescent="0.3">
      <c r="A22" s="23" t="s">
        <v>79</v>
      </c>
      <c r="B22" s="23"/>
      <c r="C22" s="23" t="s">
        <v>275</v>
      </c>
      <c r="D22" s="23"/>
      <c r="E22" s="23" t="s">
        <v>265</v>
      </c>
      <c r="F22" s="23" t="s">
        <v>73</v>
      </c>
      <c r="G22" s="23" t="s">
        <v>30</v>
      </c>
      <c r="H22" s="23" t="s">
        <v>83</v>
      </c>
      <c r="I22" s="72">
        <v>46235</v>
      </c>
      <c r="J22" s="26">
        <f t="shared" si="0"/>
        <v>0</v>
      </c>
      <c r="K22" s="27">
        <v>0</v>
      </c>
      <c r="L22" s="26">
        <f t="shared" si="1"/>
        <v>0</v>
      </c>
      <c r="M22" s="28">
        <f>SUM(J21:J22)</f>
        <v>0</v>
      </c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5"/>
      <c r="GM22" s="75"/>
      <c r="GN22" s="75"/>
      <c r="GO22" s="75"/>
      <c r="GP22" s="75"/>
      <c r="GQ22" s="75"/>
      <c r="GR22" s="75"/>
      <c r="GS22" s="75"/>
      <c r="GT22" s="75"/>
      <c r="GU22" s="75"/>
      <c r="GV22" s="75"/>
      <c r="GW22" s="75"/>
      <c r="GX22" s="75"/>
      <c r="GY22" s="75"/>
      <c r="GZ22" s="75"/>
      <c r="HA22" s="75"/>
      <c r="HB22" s="75"/>
      <c r="HC22" s="75"/>
      <c r="HD22" s="75"/>
      <c r="HE22" s="75"/>
      <c r="HF22" s="75"/>
      <c r="HG22" s="75"/>
      <c r="HH22" s="75"/>
      <c r="HI22" s="75"/>
      <c r="HJ22" s="75"/>
      <c r="HK22" s="75"/>
      <c r="HL22" s="75"/>
      <c r="HM22" s="75"/>
      <c r="HN22" s="75"/>
      <c r="HO22" s="75"/>
      <c r="HP22" s="75"/>
      <c r="HQ22" s="75"/>
      <c r="HR22" s="75"/>
      <c r="HS22" s="75"/>
      <c r="HT22" s="75"/>
      <c r="HU22" s="75"/>
      <c r="HV22" s="75"/>
      <c r="HW22" s="75"/>
      <c r="HX22" s="75"/>
      <c r="HY22" s="75"/>
      <c r="HZ22" s="75"/>
      <c r="IA22" s="75"/>
      <c r="IB22" s="75"/>
      <c r="IC22" s="75"/>
      <c r="ID22" s="75"/>
      <c r="IE22" s="75"/>
      <c r="IF22" s="75"/>
      <c r="IG22" s="75"/>
      <c r="IH22" s="75"/>
      <c r="II22" s="75"/>
      <c r="IJ22" s="75"/>
      <c r="IK22" s="75"/>
      <c r="IL22" s="75"/>
      <c r="IM22" s="75"/>
      <c r="IN22" s="75"/>
      <c r="IO22" s="75"/>
      <c r="IP22" s="75"/>
      <c r="IQ22" s="75"/>
      <c r="IR22" s="75"/>
      <c r="IS22" s="75"/>
      <c r="IT22" s="75"/>
      <c r="IU22" s="75"/>
      <c r="IV22" s="75"/>
      <c r="IW22" s="75"/>
      <c r="IX22" s="75"/>
    </row>
    <row r="23" spans="1:258" x14ac:dyDescent="0.3">
      <c r="A23" s="23" t="s">
        <v>75</v>
      </c>
      <c r="B23" s="23"/>
      <c r="C23" s="23" t="s">
        <v>275</v>
      </c>
      <c r="D23" s="23"/>
      <c r="E23" s="23" t="s">
        <v>281</v>
      </c>
      <c r="F23" s="23" t="s">
        <v>73</v>
      </c>
      <c r="G23" s="23" t="s">
        <v>18</v>
      </c>
      <c r="H23" s="23" t="s">
        <v>78</v>
      </c>
      <c r="I23" s="72">
        <v>46508</v>
      </c>
      <c r="J23" s="26">
        <f>K23-L23</f>
        <v>6</v>
      </c>
      <c r="K23" s="27">
        <v>6</v>
      </c>
      <c r="L23" s="26">
        <f t="shared" si="1"/>
        <v>0</v>
      </c>
      <c r="M23" s="28">
        <f t="shared" si="2"/>
        <v>6</v>
      </c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5"/>
      <c r="GM23" s="75"/>
      <c r="GN23" s="75"/>
      <c r="GO23" s="75"/>
      <c r="GP23" s="75"/>
      <c r="GQ23" s="75"/>
      <c r="GR23" s="75"/>
      <c r="GS23" s="75"/>
      <c r="GT23" s="75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75"/>
      <c r="HJ23" s="75"/>
      <c r="HK23" s="75"/>
      <c r="HL23" s="75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75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  <c r="IT23" s="75"/>
      <c r="IU23" s="75"/>
      <c r="IV23" s="75"/>
      <c r="IW23" s="75"/>
      <c r="IX23" s="75"/>
    </row>
    <row r="24" spans="1:258" x14ac:dyDescent="0.3">
      <c r="A24" s="23" t="s">
        <v>105</v>
      </c>
      <c r="B24" s="23"/>
      <c r="C24" s="23" t="s">
        <v>275</v>
      </c>
      <c r="D24" s="23"/>
      <c r="E24" s="23" t="s">
        <v>286</v>
      </c>
      <c r="F24" s="23" t="s">
        <v>73</v>
      </c>
      <c r="G24" s="23" t="s">
        <v>18</v>
      </c>
      <c r="H24" s="23" t="s">
        <v>107</v>
      </c>
      <c r="I24" s="72">
        <v>47027</v>
      </c>
      <c r="J24" s="26">
        <f>K24-L24</f>
        <v>6</v>
      </c>
      <c r="K24" s="27">
        <v>6</v>
      </c>
      <c r="L24" s="26">
        <f t="shared" si="1"/>
        <v>0</v>
      </c>
      <c r="M24" s="28">
        <f>J24</f>
        <v>6</v>
      </c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  <c r="IU24" s="75"/>
      <c r="IV24" s="75"/>
      <c r="IW24" s="75"/>
      <c r="IX24" s="75"/>
    </row>
    <row r="25" spans="1:258" x14ac:dyDescent="0.3">
      <c r="A25" s="23" t="s">
        <v>103</v>
      </c>
      <c r="B25" s="22"/>
      <c r="C25" s="23"/>
      <c r="D25" s="23"/>
      <c r="E25" s="23" t="s">
        <v>266</v>
      </c>
      <c r="F25" s="23" t="s">
        <v>73</v>
      </c>
      <c r="G25" s="23" t="s">
        <v>18</v>
      </c>
      <c r="H25" s="24" t="s">
        <v>235</v>
      </c>
      <c r="I25" s="25">
        <v>47027</v>
      </c>
      <c r="J25" s="26">
        <f t="shared" si="0"/>
        <v>2</v>
      </c>
      <c r="K25" s="27">
        <v>2</v>
      </c>
      <c r="L25" s="26">
        <f t="shared" si="1"/>
        <v>0</v>
      </c>
      <c r="M25" s="28" t="s">
        <v>19</v>
      </c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  <c r="IU25" s="75"/>
      <c r="IV25" s="75"/>
      <c r="IW25" s="75"/>
      <c r="IX25" s="75"/>
    </row>
    <row r="26" spans="1:258" x14ac:dyDescent="0.3">
      <c r="A26" s="23" t="s">
        <v>103</v>
      </c>
      <c r="B26" s="22"/>
      <c r="C26" s="23" t="s">
        <v>275</v>
      </c>
      <c r="D26" s="23"/>
      <c r="E26" s="23" t="s">
        <v>266</v>
      </c>
      <c r="F26" s="23" t="s">
        <v>73</v>
      </c>
      <c r="G26" s="23" t="s">
        <v>18</v>
      </c>
      <c r="H26" s="24" t="s">
        <v>235</v>
      </c>
      <c r="I26" s="25">
        <v>47027</v>
      </c>
      <c r="J26" s="26">
        <f t="shared" si="0"/>
        <v>4</v>
      </c>
      <c r="K26" s="27">
        <v>4</v>
      </c>
      <c r="L26" s="26">
        <f t="shared" si="1"/>
        <v>0</v>
      </c>
      <c r="M26" s="28">
        <f>SUM(J25:J26)</f>
        <v>6</v>
      </c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  <c r="IU26" s="75"/>
      <c r="IV26" s="75"/>
      <c r="IW26" s="75"/>
      <c r="IX26" s="75"/>
    </row>
    <row r="27" spans="1:258" x14ac:dyDescent="0.3">
      <c r="A27" s="23" t="s">
        <v>101</v>
      </c>
      <c r="B27" s="23"/>
      <c r="C27" s="23" t="s">
        <v>275</v>
      </c>
      <c r="D27" s="23"/>
      <c r="E27" s="23" t="s">
        <v>267</v>
      </c>
      <c r="F27" s="23" t="s">
        <v>73</v>
      </c>
      <c r="G27" s="23" t="s">
        <v>18</v>
      </c>
      <c r="H27" s="24" t="s">
        <v>268</v>
      </c>
      <c r="I27" s="72">
        <v>46143</v>
      </c>
      <c r="J27" s="26">
        <f t="shared" si="0"/>
        <v>5</v>
      </c>
      <c r="K27" s="27">
        <v>5</v>
      </c>
      <c r="L27" s="26">
        <f t="shared" si="1"/>
        <v>0</v>
      </c>
      <c r="M27" s="28" t="s">
        <v>19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  <c r="IU27" s="75"/>
      <c r="IV27" s="75"/>
      <c r="IW27" s="75"/>
      <c r="IX27" s="75"/>
    </row>
    <row r="28" spans="1:258" x14ac:dyDescent="0.3">
      <c r="A28" s="23" t="s">
        <v>101</v>
      </c>
      <c r="B28" s="23"/>
      <c r="C28" s="23"/>
      <c r="D28" s="23"/>
      <c r="E28" s="23" t="s">
        <v>267</v>
      </c>
      <c r="F28" s="23" t="s">
        <v>73</v>
      </c>
      <c r="G28" s="23" t="s">
        <v>18</v>
      </c>
      <c r="H28" s="24" t="s">
        <v>268</v>
      </c>
      <c r="I28" s="72">
        <v>46143</v>
      </c>
      <c r="J28" s="26">
        <f t="shared" si="0"/>
        <v>3</v>
      </c>
      <c r="K28" s="27">
        <v>3</v>
      </c>
      <c r="L28" s="26">
        <f t="shared" si="1"/>
        <v>0</v>
      </c>
      <c r="M28" s="28">
        <f>SUM(J27:J28)</f>
        <v>8</v>
      </c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  <c r="IU28" s="75"/>
      <c r="IV28" s="75"/>
      <c r="IW28" s="75"/>
      <c r="IX28" s="75"/>
    </row>
    <row r="29" spans="1:258" x14ac:dyDescent="0.3">
      <c r="A29" s="23" t="s">
        <v>98</v>
      </c>
      <c r="B29" s="23"/>
      <c r="C29" s="23" t="s">
        <v>275</v>
      </c>
      <c r="D29" s="23"/>
      <c r="E29" s="23" t="s">
        <v>285</v>
      </c>
      <c r="F29" s="23" t="s">
        <v>73</v>
      </c>
      <c r="G29" s="23" t="s">
        <v>18</v>
      </c>
      <c r="H29" s="23" t="s">
        <v>99</v>
      </c>
      <c r="I29" s="72">
        <v>47027</v>
      </c>
      <c r="J29" s="26">
        <f t="shared" si="0"/>
        <v>5</v>
      </c>
      <c r="K29" s="27">
        <v>5</v>
      </c>
      <c r="L29" s="26">
        <f t="shared" si="1"/>
        <v>0</v>
      </c>
      <c r="M29" s="28">
        <f>SUM(J29)</f>
        <v>5</v>
      </c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  <c r="IU29" s="75"/>
      <c r="IV29" s="75"/>
      <c r="IW29" s="75"/>
      <c r="IX29" s="75"/>
    </row>
    <row r="30" spans="1:258" x14ac:dyDescent="0.3">
      <c r="A30" s="23" t="s">
        <v>22</v>
      </c>
      <c r="B30" s="22"/>
      <c r="C30" s="23"/>
      <c r="D30" s="23"/>
      <c r="E30" s="23" t="s">
        <v>24</v>
      </c>
      <c r="F30" s="23" t="s">
        <v>17</v>
      </c>
      <c r="G30" s="23" t="s">
        <v>18</v>
      </c>
      <c r="H30" s="23" t="s">
        <v>200</v>
      </c>
      <c r="I30" s="72">
        <v>46187</v>
      </c>
      <c r="J30" s="26">
        <f t="shared" si="0"/>
        <v>20</v>
      </c>
      <c r="K30" s="27">
        <v>20</v>
      </c>
      <c r="L30" s="26">
        <f t="shared" si="1"/>
        <v>0</v>
      </c>
      <c r="M30" s="28" t="s">
        <v>19</v>
      </c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  <c r="IU30" s="75"/>
      <c r="IV30" s="75"/>
      <c r="IW30" s="75"/>
      <c r="IX30" s="75"/>
    </row>
    <row r="31" spans="1:258" x14ac:dyDescent="0.3">
      <c r="A31" s="23" t="s">
        <v>22</v>
      </c>
      <c r="B31" s="22"/>
      <c r="C31" s="23"/>
      <c r="D31" s="23"/>
      <c r="E31" s="23" t="s">
        <v>24</v>
      </c>
      <c r="F31" s="23" t="s">
        <v>17</v>
      </c>
      <c r="G31" s="23" t="s">
        <v>33</v>
      </c>
      <c r="H31" s="23" t="s">
        <v>269</v>
      </c>
      <c r="I31" s="72">
        <v>46018</v>
      </c>
      <c r="J31" s="26">
        <f t="shared" si="0"/>
        <v>1</v>
      </c>
      <c r="K31" s="27">
        <v>1</v>
      </c>
      <c r="L31" s="26">
        <f t="shared" si="1"/>
        <v>0</v>
      </c>
      <c r="M31" s="28">
        <f>SUM(J30:J31)</f>
        <v>21</v>
      </c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  <c r="IU31" s="75"/>
      <c r="IV31" s="75"/>
      <c r="IW31" s="75"/>
      <c r="IX31" s="75"/>
    </row>
    <row r="32" spans="1:258" x14ac:dyDescent="0.3">
      <c r="A32" s="23" t="s">
        <v>53</v>
      </c>
      <c r="B32" s="22"/>
      <c r="C32" s="23"/>
      <c r="D32" s="23"/>
      <c r="E32" s="23" t="s">
        <v>219</v>
      </c>
      <c r="F32" s="23" t="s">
        <v>17</v>
      </c>
      <c r="G32" s="23" t="s">
        <v>30</v>
      </c>
      <c r="H32" s="23" t="s">
        <v>270</v>
      </c>
      <c r="I32" s="72">
        <v>45838</v>
      </c>
      <c r="J32" s="26">
        <f t="shared" si="0"/>
        <v>0</v>
      </c>
      <c r="K32" s="27">
        <v>0</v>
      </c>
      <c r="L32" s="26">
        <f t="shared" si="1"/>
        <v>0</v>
      </c>
      <c r="M32" s="28">
        <f t="shared" si="2"/>
        <v>0</v>
      </c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  <c r="IU32" s="75"/>
      <c r="IV32" s="75"/>
      <c r="IW32" s="75"/>
      <c r="IX32" s="75"/>
    </row>
    <row r="33" spans="1:258" x14ac:dyDescent="0.3">
      <c r="A33" s="23" t="s">
        <v>49</v>
      </c>
      <c r="B33" s="22"/>
      <c r="C33" s="23"/>
      <c r="D33" s="23"/>
      <c r="E33" s="23" t="s">
        <v>52</v>
      </c>
      <c r="F33" s="23" t="s">
        <v>17</v>
      </c>
      <c r="G33" s="23" t="s">
        <v>33</v>
      </c>
      <c r="H33" s="23">
        <v>20220620</v>
      </c>
      <c r="I33" s="72">
        <v>45462</v>
      </c>
      <c r="J33" s="26">
        <f t="shared" si="0"/>
        <v>1</v>
      </c>
      <c r="K33" s="27">
        <v>1</v>
      </c>
      <c r="L33" s="26">
        <f t="shared" si="1"/>
        <v>0</v>
      </c>
      <c r="M33" s="28">
        <f t="shared" si="2"/>
        <v>1</v>
      </c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  <c r="IW33" s="75"/>
      <c r="IX33" s="75"/>
    </row>
    <row r="34" spans="1:258" x14ac:dyDescent="0.3">
      <c r="A34" s="23" t="s">
        <v>271</v>
      </c>
      <c r="B34" s="22"/>
      <c r="C34" s="23"/>
      <c r="D34" s="23"/>
      <c r="E34" s="23" t="s">
        <v>16</v>
      </c>
      <c r="F34" s="23" t="s">
        <v>17</v>
      </c>
      <c r="G34" s="23" t="s">
        <v>33</v>
      </c>
      <c r="H34" s="23" t="s">
        <v>272</v>
      </c>
      <c r="I34" s="72">
        <v>45589</v>
      </c>
      <c r="J34" s="26">
        <f t="shared" si="0"/>
        <v>1</v>
      </c>
      <c r="K34" s="27">
        <v>1</v>
      </c>
      <c r="L34" s="26">
        <f t="shared" si="1"/>
        <v>0</v>
      </c>
      <c r="M34" s="28">
        <f t="shared" si="2"/>
        <v>1</v>
      </c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  <c r="IU34" s="75"/>
      <c r="IV34" s="75"/>
      <c r="IW34" s="75"/>
      <c r="IX34" s="75"/>
    </row>
    <row r="35" spans="1:258" x14ac:dyDescent="0.3">
      <c r="A35" s="23" t="s">
        <v>45</v>
      </c>
      <c r="B35" s="22"/>
      <c r="C35" s="23"/>
      <c r="D35" s="23"/>
      <c r="E35" s="22" t="s">
        <v>47</v>
      </c>
      <c r="F35" s="23" t="s">
        <v>17</v>
      </c>
      <c r="G35" s="23" t="s">
        <v>18</v>
      </c>
      <c r="H35" s="23" t="s">
        <v>48</v>
      </c>
      <c r="I35" s="72">
        <v>46625</v>
      </c>
      <c r="J35" s="26">
        <f t="shared" si="0"/>
        <v>1</v>
      </c>
      <c r="K35" s="27">
        <v>1</v>
      </c>
      <c r="L35" s="26">
        <f t="shared" si="1"/>
        <v>0</v>
      </c>
      <c r="M35" s="28">
        <f t="shared" si="2"/>
        <v>1</v>
      </c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  <c r="IU35" s="75"/>
      <c r="IV35" s="75"/>
      <c r="IW35" s="75"/>
      <c r="IX35" s="75"/>
    </row>
    <row r="36" spans="1:258" x14ac:dyDescent="0.3">
      <c r="A36" s="23" t="s">
        <v>273</v>
      </c>
      <c r="B36" s="22"/>
      <c r="C36" s="23"/>
      <c r="D36" s="23"/>
      <c r="E36" s="22" t="s">
        <v>36</v>
      </c>
      <c r="F36" s="23" t="s">
        <v>17</v>
      </c>
      <c r="G36" s="23" t="s">
        <v>33</v>
      </c>
      <c r="H36" s="23" t="s">
        <v>274</v>
      </c>
      <c r="I36" s="72">
        <v>45940</v>
      </c>
      <c r="J36" s="26">
        <f t="shared" si="0"/>
        <v>2</v>
      </c>
      <c r="K36" s="27">
        <v>2</v>
      </c>
      <c r="L36" s="26">
        <f t="shared" si="1"/>
        <v>0</v>
      </c>
      <c r="M36" s="28" t="s">
        <v>19</v>
      </c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  <c r="HM36" s="75"/>
      <c r="HN36" s="75"/>
      <c r="HO36" s="75"/>
      <c r="HP36" s="75"/>
      <c r="HQ36" s="75"/>
      <c r="HR36" s="75"/>
      <c r="HS36" s="75"/>
      <c r="HT36" s="75"/>
      <c r="HU36" s="75"/>
      <c r="HV36" s="75"/>
      <c r="HW36" s="75"/>
      <c r="HX36" s="75"/>
      <c r="HY36" s="75"/>
      <c r="HZ36" s="75"/>
      <c r="IA36" s="75"/>
      <c r="IB36" s="75"/>
      <c r="IC36" s="75"/>
      <c r="ID36" s="75"/>
      <c r="IE36" s="75"/>
      <c r="IF36" s="75"/>
      <c r="IG36" s="75"/>
      <c r="IH36" s="75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75"/>
      <c r="IT36" s="75"/>
      <c r="IU36" s="75"/>
      <c r="IV36" s="75"/>
      <c r="IW36" s="75"/>
      <c r="IX36" s="75"/>
    </row>
    <row r="37" spans="1:258" x14ac:dyDescent="0.3">
      <c r="A37" s="23" t="s">
        <v>273</v>
      </c>
      <c r="B37" s="22"/>
      <c r="C37" s="23"/>
      <c r="D37" s="23"/>
      <c r="E37" s="22" t="s">
        <v>36</v>
      </c>
      <c r="F37" s="23" t="s">
        <v>17</v>
      </c>
      <c r="G37" s="23" t="s">
        <v>30</v>
      </c>
      <c r="H37" s="23" t="s">
        <v>201</v>
      </c>
      <c r="I37" s="72">
        <v>46189</v>
      </c>
      <c r="J37" s="26">
        <f t="shared" si="0"/>
        <v>0</v>
      </c>
      <c r="K37" s="27">
        <v>0</v>
      </c>
      <c r="L37" s="26">
        <f t="shared" si="1"/>
        <v>0</v>
      </c>
      <c r="M37" s="28">
        <f>SUM(J36:J37)</f>
        <v>2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  <c r="FV37" s="75"/>
      <c r="FW37" s="75"/>
      <c r="FX37" s="75"/>
      <c r="FY37" s="75"/>
      <c r="FZ37" s="75"/>
      <c r="GA37" s="75"/>
      <c r="GB37" s="75"/>
      <c r="GC37" s="75"/>
      <c r="GD37" s="75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5"/>
      <c r="GQ37" s="75"/>
      <c r="GR37" s="75"/>
      <c r="GS37" s="75"/>
      <c r="GT37" s="75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75"/>
      <c r="HF37" s="75"/>
      <c r="HG37" s="75"/>
      <c r="HH37" s="75"/>
      <c r="HI37" s="75"/>
      <c r="HJ37" s="75"/>
      <c r="HK37" s="75"/>
      <c r="HL37" s="75"/>
      <c r="HM37" s="75"/>
      <c r="HN37" s="75"/>
      <c r="HO37" s="75"/>
      <c r="HP37" s="75"/>
      <c r="HQ37" s="75"/>
      <c r="HR37" s="75"/>
      <c r="HS37" s="75"/>
      <c r="HT37" s="75"/>
      <c r="HU37" s="75"/>
      <c r="HV37" s="75"/>
      <c r="HW37" s="75"/>
      <c r="HX37" s="75"/>
      <c r="HY37" s="75"/>
      <c r="HZ37" s="75"/>
      <c r="IA37" s="75"/>
      <c r="IB37" s="75"/>
      <c r="IC37" s="75"/>
      <c r="ID37" s="75"/>
      <c r="IE37" s="75"/>
      <c r="IF37" s="75"/>
      <c r="IG37" s="75"/>
      <c r="IH37" s="75"/>
      <c r="II37" s="75"/>
      <c r="IJ37" s="75"/>
      <c r="IK37" s="75"/>
      <c r="IL37" s="75"/>
      <c r="IM37" s="75"/>
      <c r="IN37" s="75"/>
      <c r="IO37" s="75"/>
      <c r="IP37" s="75"/>
      <c r="IQ37" s="75"/>
      <c r="IR37" s="75"/>
      <c r="IS37" s="75"/>
      <c r="IT37" s="75"/>
      <c r="IU37" s="75"/>
      <c r="IV37" s="75"/>
      <c r="IW37" s="75"/>
      <c r="IX37" s="75"/>
    </row>
    <row r="38" spans="1:258" x14ac:dyDescent="0.3">
      <c r="A38" s="23" t="s">
        <v>244</v>
      </c>
      <c r="B38" s="22"/>
      <c r="C38" s="23"/>
      <c r="D38" s="23"/>
      <c r="E38" s="22" t="s">
        <v>248</v>
      </c>
      <c r="F38" s="23" t="s">
        <v>60</v>
      </c>
      <c r="G38" s="23" t="s">
        <v>18</v>
      </c>
      <c r="H38" s="77">
        <v>250615</v>
      </c>
      <c r="I38" s="78">
        <v>46905</v>
      </c>
      <c r="J38" s="26">
        <f t="shared" si="0"/>
        <v>4</v>
      </c>
      <c r="K38" s="27">
        <v>4</v>
      </c>
      <c r="L38" s="26">
        <f t="shared" si="1"/>
        <v>0</v>
      </c>
      <c r="M38" s="28">
        <f t="shared" si="2"/>
        <v>4</v>
      </c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  <c r="FU38" s="75"/>
      <c r="FV38" s="75"/>
      <c r="FW38" s="75"/>
      <c r="FX38" s="75"/>
      <c r="FY38" s="75"/>
      <c r="FZ38" s="75"/>
      <c r="GA38" s="75"/>
      <c r="GB38" s="75"/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5"/>
      <c r="GQ38" s="75"/>
      <c r="GR38" s="75"/>
      <c r="GS38" s="75"/>
      <c r="GT38" s="75"/>
      <c r="GU38" s="75"/>
      <c r="GV38" s="75"/>
      <c r="GW38" s="75"/>
      <c r="GX38" s="75"/>
      <c r="GY38" s="75"/>
      <c r="GZ38" s="75"/>
      <c r="HA38" s="75"/>
      <c r="HB38" s="75"/>
      <c r="HC38" s="75"/>
      <c r="HD38" s="75"/>
      <c r="HE38" s="75"/>
      <c r="HF38" s="75"/>
      <c r="HG38" s="75"/>
      <c r="HH38" s="75"/>
      <c r="HI38" s="75"/>
      <c r="HJ38" s="75"/>
      <c r="HK38" s="75"/>
      <c r="HL38" s="75"/>
      <c r="HM38" s="75"/>
      <c r="HN38" s="75"/>
      <c r="HO38" s="75"/>
      <c r="HP38" s="75"/>
      <c r="HQ38" s="75"/>
      <c r="HR38" s="75"/>
      <c r="HS38" s="75"/>
      <c r="HT38" s="75"/>
      <c r="HU38" s="75"/>
      <c r="HV38" s="75"/>
      <c r="HW38" s="75"/>
      <c r="HX38" s="75"/>
      <c r="HY38" s="75"/>
      <c r="HZ38" s="75"/>
      <c r="IA38" s="75"/>
      <c r="IB38" s="75"/>
      <c r="IC38" s="75"/>
      <c r="ID38" s="75"/>
      <c r="IE38" s="75"/>
      <c r="IF38" s="75"/>
      <c r="IG38" s="75"/>
      <c r="IH38" s="75"/>
      <c r="II38" s="75"/>
      <c r="IJ38" s="75"/>
      <c r="IK38" s="75"/>
      <c r="IL38" s="75"/>
      <c r="IM38" s="75"/>
      <c r="IN38" s="75"/>
      <c r="IO38" s="75"/>
      <c r="IP38" s="75"/>
      <c r="IQ38" s="75"/>
      <c r="IR38" s="75"/>
      <c r="IS38" s="75"/>
      <c r="IT38" s="75"/>
      <c r="IU38" s="75"/>
      <c r="IV38" s="75"/>
      <c r="IW38" s="75"/>
      <c r="IX38" s="75"/>
    </row>
    <row r="39" spans="1:258" x14ac:dyDescent="0.3">
      <c r="A39" s="23" t="s">
        <v>194</v>
      </c>
      <c r="B39" s="22"/>
      <c r="C39" s="23"/>
      <c r="D39" s="23"/>
      <c r="E39" s="22" t="s">
        <v>247</v>
      </c>
      <c r="F39" s="23" t="s">
        <v>60</v>
      </c>
      <c r="G39" s="23" t="s">
        <v>18</v>
      </c>
      <c r="H39" s="77">
        <v>250615</v>
      </c>
      <c r="I39" s="78">
        <v>46905</v>
      </c>
      <c r="J39" s="26">
        <f t="shared" si="0"/>
        <v>3</v>
      </c>
      <c r="K39" s="27">
        <v>3</v>
      </c>
      <c r="L39" s="26">
        <f t="shared" si="1"/>
        <v>0</v>
      </c>
      <c r="M39" s="28">
        <f t="shared" si="2"/>
        <v>3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75"/>
      <c r="FF39" s="75"/>
      <c r="FG39" s="75"/>
      <c r="FH39" s="75"/>
      <c r="FI39" s="75"/>
      <c r="FJ39" s="75"/>
      <c r="FK39" s="75"/>
      <c r="FL39" s="75"/>
      <c r="FM39" s="75"/>
      <c r="FN39" s="75"/>
      <c r="FO39" s="75"/>
      <c r="FP39" s="75"/>
      <c r="FQ39" s="75"/>
      <c r="FR39" s="75"/>
      <c r="FS39" s="75"/>
      <c r="FT39" s="75"/>
      <c r="FU39" s="75"/>
      <c r="FV39" s="75"/>
      <c r="FW39" s="75"/>
      <c r="FX39" s="75"/>
      <c r="FY39" s="75"/>
      <c r="FZ39" s="75"/>
      <c r="GA39" s="75"/>
      <c r="GB39" s="75"/>
      <c r="GC39" s="75"/>
      <c r="GD39" s="75"/>
      <c r="GE39" s="75"/>
      <c r="GF39" s="75"/>
      <c r="GG39" s="75"/>
      <c r="GH39" s="75"/>
      <c r="GI39" s="75"/>
      <c r="GJ39" s="75"/>
      <c r="GK39" s="75"/>
      <c r="GL39" s="75"/>
      <c r="GM39" s="75"/>
      <c r="GN39" s="75"/>
      <c r="GO39" s="75"/>
      <c r="GP39" s="75"/>
      <c r="GQ39" s="75"/>
      <c r="GR39" s="75"/>
      <c r="GS39" s="75"/>
      <c r="GT39" s="75"/>
      <c r="GU39" s="75"/>
      <c r="GV39" s="75"/>
      <c r="GW39" s="75"/>
      <c r="GX39" s="75"/>
      <c r="GY39" s="75"/>
      <c r="GZ39" s="75"/>
      <c r="HA39" s="75"/>
      <c r="HB39" s="75"/>
      <c r="HC39" s="75"/>
      <c r="HD39" s="75"/>
      <c r="HE39" s="75"/>
      <c r="HF39" s="75"/>
      <c r="HG39" s="75"/>
      <c r="HH39" s="75"/>
      <c r="HI39" s="75"/>
      <c r="HJ39" s="75"/>
      <c r="HK39" s="75"/>
      <c r="HL39" s="75"/>
      <c r="HM39" s="75"/>
      <c r="HN39" s="75"/>
      <c r="HO39" s="75"/>
      <c r="HP39" s="75"/>
      <c r="HQ39" s="75"/>
      <c r="HR39" s="75"/>
      <c r="HS39" s="75"/>
      <c r="HT39" s="75"/>
      <c r="HU39" s="75"/>
      <c r="HV39" s="75"/>
      <c r="HW39" s="75"/>
      <c r="HX39" s="75"/>
      <c r="HY39" s="75"/>
      <c r="HZ39" s="75"/>
      <c r="IA39" s="75"/>
      <c r="IB39" s="75"/>
      <c r="IC39" s="75"/>
      <c r="ID39" s="75"/>
      <c r="IE39" s="75"/>
      <c r="IF39" s="75"/>
      <c r="IG39" s="75"/>
      <c r="IH39" s="75"/>
      <c r="II39" s="75"/>
      <c r="IJ39" s="75"/>
      <c r="IK39" s="75"/>
      <c r="IL39" s="75"/>
      <c r="IM39" s="75"/>
      <c r="IN39" s="75"/>
      <c r="IO39" s="75"/>
      <c r="IP39" s="75"/>
      <c r="IQ39" s="75"/>
      <c r="IR39" s="75"/>
      <c r="IS39" s="75"/>
      <c r="IT39" s="75"/>
      <c r="IU39" s="75"/>
      <c r="IV39" s="75"/>
      <c r="IW39" s="75"/>
      <c r="IX39" s="75"/>
    </row>
    <row r="40" spans="1:258" x14ac:dyDescent="0.3">
      <c r="A40" s="23" t="s">
        <v>243</v>
      </c>
      <c r="B40" s="22"/>
      <c r="C40" s="23"/>
      <c r="D40" s="23"/>
      <c r="E40" s="22" t="s">
        <v>246</v>
      </c>
      <c r="F40" s="23" t="s">
        <v>60</v>
      </c>
      <c r="G40" s="23" t="s">
        <v>18</v>
      </c>
      <c r="H40" s="77">
        <v>250615</v>
      </c>
      <c r="I40" s="78">
        <v>46905</v>
      </c>
      <c r="J40" s="26">
        <f t="shared" si="0"/>
        <v>4</v>
      </c>
      <c r="K40" s="27">
        <v>4</v>
      </c>
      <c r="L40" s="26">
        <f t="shared" si="1"/>
        <v>0</v>
      </c>
      <c r="M40" s="28">
        <f t="shared" si="2"/>
        <v>4</v>
      </c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75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75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75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75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</row>
    <row r="41" spans="1:258" x14ac:dyDescent="0.3">
      <c r="A41" s="23" t="s">
        <v>245</v>
      </c>
      <c r="B41" s="22"/>
      <c r="C41" s="23"/>
      <c r="D41" s="22"/>
      <c r="E41" s="22" t="s">
        <v>249</v>
      </c>
      <c r="F41" s="23" t="s">
        <v>60</v>
      </c>
      <c r="G41" s="23" t="s">
        <v>18</v>
      </c>
      <c r="H41" s="77">
        <v>250615</v>
      </c>
      <c r="I41" s="78">
        <v>46905</v>
      </c>
      <c r="J41" s="26">
        <f t="shared" si="0"/>
        <v>4</v>
      </c>
      <c r="K41" s="27">
        <v>4</v>
      </c>
      <c r="L41" s="26">
        <f t="shared" si="1"/>
        <v>0</v>
      </c>
      <c r="M41" s="28">
        <f t="shared" si="2"/>
        <v>4</v>
      </c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5"/>
      <c r="FF41" s="75"/>
      <c r="FG41" s="75"/>
      <c r="FH41" s="75"/>
      <c r="FI41" s="75"/>
      <c r="FJ41" s="75"/>
      <c r="FK41" s="75"/>
      <c r="FL41" s="75"/>
      <c r="FM41" s="75"/>
      <c r="FN41" s="75"/>
      <c r="FO41" s="75"/>
      <c r="FP41" s="75"/>
      <c r="FQ41" s="75"/>
      <c r="FR41" s="75"/>
      <c r="FS41" s="75"/>
      <c r="FT41" s="75"/>
      <c r="FU41" s="75"/>
      <c r="FV41" s="75"/>
      <c r="FW41" s="75"/>
      <c r="FX41" s="75"/>
      <c r="FY41" s="75"/>
      <c r="FZ41" s="75"/>
      <c r="GA41" s="75"/>
      <c r="GB41" s="75"/>
      <c r="GC41" s="75"/>
      <c r="GD41" s="75"/>
      <c r="GE41" s="75"/>
      <c r="GF41" s="75"/>
      <c r="GG41" s="75"/>
      <c r="GH41" s="75"/>
      <c r="GI41" s="75"/>
      <c r="GJ41" s="75"/>
      <c r="GK41" s="75"/>
      <c r="GL41" s="75"/>
      <c r="GM41" s="75"/>
      <c r="GN41" s="75"/>
      <c r="GO41" s="75"/>
      <c r="GP41" s="75"/>
      <c r="GQ41" s="75"/>
      <c r="GR41" s="75"/>
      <c r="GS41" s="75"/>
      <c r="GT41" s="75"/>
      <c r="GU41" s="75"/>
      <c r="GV41" s="75"/>
      <c r="GW41" s="75"/>
      <c r="GX41" s="75"/>
      <c r="GY41" s="75"/>
      <c r="GZ41" s="75"/>
      <c r="HA41" s="75"/>
      <c r="HB41" s="75"/>
      <c r="HC41" s="75"/>
      <c r="HD41" s="75"/>
      <c r="HE41" s="75"/>
      <c r="HF41" s="75"/>
      <c r="HG41" s="75"/>
      <c r="HH41" s="75"/>
      <c r="HI41" s="75"/>
      <c r="HJ41" s="75"/>
      <c r="HK41" s="75"/>
      <c r="HL41" s="75"/>
      <c r="HM41" s="75"/>
      <c r="HN41" s="75"/>
      <c r="HO41" s="75"/>
      <c r="HP41" s="75"/>
      <c r="HQ41" s="75"/>
      <c r="HR41" s="75"/>
      <c r="HS41" s="75"/>
      <c r="HT41" s="75"/>
      <c r="HU41" s="75"/>
      <c r="HV41" s="75"/>
      <c r="HW41" s="75"/>
      <c r="HX41" s="75"/>
      <c r="HY41" s="75"/>
      <c r="HZ41" s="75"/>
      <c r="IA41" s="75"/>
      <c r="IB41" s="75"/>
      <c r="IC41" s="75"/>
      <c r="ID41" s="75"/>
      <c r="IE41" s="75"/>
      <c r="IF41" s="75"/>
      <c r="IG41" s="75"/>
      <c r="IH41" s="75"/>
      <c r="II41" s="75"/>
      <c r="IJ41" s="75"/>
      <c r="IK41" s="75"/>
      <c r="IL41" s="75"/>
      <c r="IM41" s="75"/>
      <c r="IN41" s="75"/>
      <c r="IO41" s="75"/>
      <c r="IP41" s="75"/>
      <c r="IQ41" s="75"/>
      <c r="IR41" s="75"/>
      <c r="IS41" s="75"/>
      <c r="IT41" s="75"/>
      <c r="IU41" s="75"/>
      <c r="IV41" s="75"/>
      <c r="IW41" s="75"/>
      <c r="IX41" s="75"/>
    </row>
    <row r="42" spans="1:258" x14ac:dyDescent="0.3">
      <c r="A42" s="23" t="s">
        <v>62</v>
      </c>
      <c r="B42" s="23"/>
      <c r="C42" s="23"/>
      <c r="D42" s="23"/>
      <c r="E42" s="22" t="s">
        <v>218</v>
      </c>
      <c r="F42" s="23" t="s">
        <v>60</v>
      </c>
      <c r="G42" s="23" t="s">
        <v>18</v>
      </c>
      <c r="H42" s="23">
        <v>230910</v>
      </c>
      <c r="I42" s="72">
        <v>46997</v>
      </c>
      <c r="J42" s="26">
        <f>(K42-L42)</f>
        <v>3</v>
      </c>
      <c r="K42" s="27">
        <v>3</v>
      </c>
      <c r="L42" s="26">
        <f t="shared" si="1"/>
        <v>0</v>
      </c>
      <c r="M42" s="28">
        <f t="shared" si="2"/>
        <v>3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75"/>
      <c r="FF42" s="75"/>
      <c r="FG42" s="75"/>
      <c r="FH42" s="75"/>
      <c r="FI42" s="75"/>
      <c r="FJ42" s="75"/>
      <c r="FK42" s="75"/>
      <c r="FL42" s="75"/>
      <c r="FM42" s="75"/>
      <c r="FN42" s="75"/>
      <c r="FO42" s="75"/>
      <c r="FP42" s="75"/>
      <c r="FQ42" s="75"/>
      <c r="FR42" s="75"/>
      <c r="FS42" s="75"/>
      <c r="FT42" s="75"/>
      <c r="FU42" s="75"/>
      <c r="FV42" s="75"/>
      <c r="FW42" s="75"/>
      <c r="FX42" s="75"/>
      <c r="FY42" s="75"/>
      <c r="FZ42" s="75"/>
      <c r="GA42" s="75"/>
      <c r="GB42" s="75"/>
      <c r="GC42" s="75"/>
      <c r="GD42" s="75"/>
      <c r="GE42" s="75"/>
      <c r="GF42" s="75"/>
      <c r="GG42" s="75"/>
      <c r="GH42" s="75"/>
      <c r="GI42" s="75"/>
      <c r="GJ42" s="75"/>
      <c r="GK42" s="75"/>
      <c r="GL42" s="75"/>
      <c r="GM42" s="75"/>
      <c r="GN42" s="75"/>
      <c r="GO42" s="75"/>
      <c r="GP42" s="75"/>
      <c r="GQ42" s="75"/>
      <c r="GR42" s="75"/>
      <c r="GS42" s="75"/>
      <c r="GT42" s="75"/>
      <c r="GU42" s="75"/>
      <c r="GV42" s="75"/>
      <c r="GW42" s="75"/>
      <c r="GX42" s="75"/>
      <c r="GY42" s="75"/>
      <c r="GZ42" s="75"/>
      <c r="HA42" s="75"/>
      <c r="HB42" s="75"/>
      <c r="HC42" s="75"/>
      <c r="HD42" s="75"/>
      <c r="HE42" s="75"/>
      <c r="HF42" s="75"/>
      <c r="HG42" s="75"/>
      <c r="HH42" s="75"/>
      <c r="HI42" s="75"/>
      <c r="HJ42" s="75"/>
      <c r="HK42" s="75"/>
      <c r="HL42" s="75"/>
      <c r="HM42" s="75"/>
      <c r="HN42" s="75"/>
      <c r="HO42" s="75"/>
      <c r="HP42" s="75"/>
      <c r="HQ42" s="75"/>
      <c r="HR42" s="75"/>
      <c r="HS42" s="75"/>
      <c r="HT42" s="75"/>
      <c r="HU42" s="75"/>
      <c r="HV42" s="75"/>
      <c r="HW42" s="75"/>
      <c r="HX42" s="75"/>
      <c r="HY42" s="75"/>
      <c r="HZ42" s="75"/>
      <c r="IA42" s="75"/>
      <c r="IB42" s="75"/>
      <c r="IC42" s="75"/>
      <c r="ID42" s="75"/>
      <c r="IE42" s="75"/>
      <c r="IF42" s="75"/>
      <c r="IG42" s="75"/>
      <c r="IH42" s="75"/>
      <c r="II42" s="75"/>
      <c r="IJ42" s="75"/>
      <c r="IK42" s="75"/>
      <c r="IL42" s="75"/>
      <c r="IM42" s="75"/>
      <c r="IN42" s="75"/>
      <c r="IO42" s="75"/>
      <c r="IP42" s="75"/>
      <c r="IQ42" s="75"/>
      <c r="IR42" s="75"/>
      <c r="IS42" s="75"/>
      <c r="IT42" s="75"/>
      <c r="IU42" s="75"/>
      <c r="IV42" s="75"/>
      <c r="IW42" s="75"/>
      <c r="IX42" s="75"/>
    </row>
    <row r="43" spans="1:258" x14ac:dyDescent="0.3">
      <c r="A43" s="23" t="s">
        <v>68</v>
      </c>
      <c r="B43" s="23"/>
      <c r="C43" s="23"/>
      <c r="D43" s="23"/>
      <c r="E43" s="22" t="s">
        <v>239</v>
      </c>
      <c r="F43" s="23" t="s">
        <v>60</v>
      </c>
      <c r="G43" s="23" t="s">
        <v>30</v>
      </c>
      <c r="H43" s="23">
        <v>230410</v>
      </c>
      <c r="I43" s="72">
        <v>46844</v>
      </c>
      <c r="J43" s="26">
        <f>(K43-L43)</f>
        <v>0</v>
      </c>
      <c r="K43" s="27">
        <v>0</v>
      </c>
      <c r="L43" s="26">
        <f t="shared" si="1"/>
        <v>0</v>
      </c>
      <c r="M43" s="28">
        <f t="shared" si="2"/>
        <v>0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  <c r="FU43" s="75"/>
      <c r="FV43" s="75"/>
      <c r="FW43" s="75"/>
      <c r="FX43" s="75"/>
      <c r="FY43" s="75"/>
      <c r="FZ43" s="75"/>
      <c r="GA43" s="75"/>
      <c r="GB43" s="75"/>
      <c r="GC43" s="75"/>
      <c r="GD43" s="75"/>
      <c r="GE43" s="75"/>
      <c r="GF43" s="75"/>
      <c r="GG43" s="75"/>
      <c r="GH43" s="75"/>
      <c r="GI43" s="75"/>
      <c r="GJ43" s="75"/>
      <c r="GK43" s="75"/>
      <c r="GL43" s="75"/>
      <c r="GM43" s="75"/>
      <c r="GN43" s="75"/>
      <c r="GO43" s="75"/>
      <c r="GP43" s="75"/>
      <c r="GQ43" s="75"/>
      <c r="GR43" s="75"/>
      <c r="GS43" s="75"/>
      <c r="GT43" s="75"/>
      <c r="GU43" s="75"/>
      <c r="GV43" s="75"/>
      <c r="GW43" s="75"/>
      <c r="GX43" s="75"/>
      <c r="GY43" s="75"/>
      <c r="GZ43" s="75"/>
      <c r="HA43" s="75"/>
      <c r="HB43" s="75"/>
      <c r="HC43" s="75"/>
      <c r="HD43" s="75"/>
      <c r="HE43" s="75"/>
      <c r="HF43" s="75"/>
      <c r="HG43" s="75"/>
      <c r="HH43" s="75"/>
      <c r="HI43" s="75"/>
      <c r="HJ43" s="75"/>
      <c r="HK43" s="75"/>
      <c r="HL43" s="75"/>
      <c r="HM43" s="75"/>
      <c r="HN43" s="75"/>
      <c r="HO43" s="75"/>
      <c r="HP43" s="75"/>
      <c r="HQ43" s="75"/>
      <c r="HR43" s="75"/>
      <c r="HS43" s="75"/>
      <c r="HT43" s="75"/>
      <c r="HU43" s="75"/>
      <c r="HV43" s="75"/>
      <c r="HW43" s="75"/>
      <c r="HX43" s="75"/>
      <c r="HY43" s="75"/>
      <c r="HZ43" s="75"/>
      <c r="IA43" s="75"/>
      <c r="IB43" s="75"/>
      <c r="IC43" s="75"/>
      <c r="ID43" s="75"/>
      <c r="IE43" s="75"/>
      <c r="IF43" s="75"/>
      <c r="IG43" s="75"/>
      <c r="IH43" s="75"/>
      <c r="II43" s="75"/>
      <c r="IJ43" s="75"/>
      <c r="IK43" s="75"/>
      <c r="IL43" s="75"/>
      <c r="IM43" s="75"/>
      <c r="IN43" s="75"/>
      <c r="IO43" s="75"/>
      <c r="IP43" s="75"/>
      <c r="IQ43" s="75"/>
      <c r="IR43" s="75"/>
      <c r="IS43" s="75"/>
      <c r="IT43" s="75"/>
      <c r="IU43" s="75"/>
      <c r="IV43" s="75"/>
      <c r="IW43" s="75"/>
      <c r="IX43" s="75"/>
    </row>
    <row r="44" spans="1:258" x14ac:dyDescent="0.3">
      <c r="A44" s="23" t="s">
        <v>66</v>
      </c>
      <c r="B44" s="23"/>
      <c r="C44" s="23"/>
      <c r="D44" s="23"/>
      <c r="E44" s="22" t="s">
        <v>237</v>
      </c>
      <c r="F44" s="23" t="s">
        <v>60</v>
      </c>
      <c r="G44" s="23" t="s">
        <v>18</v>
      </c>
      <c r="H44" s="23">
        <v>230410</v>
      </c>
      <c r="I44" s="72">
        <v>46844</v>
      </c>
      <c r="J44" s="26">
        <f t="shared" ref="J44:J48" si="3">K44-L44</f>
        <v>5</v>
      </c>
      <c r="K44" s="27">
        <v>5</v>
      </c>
      <c r="L44" s="26">
        <f t="shared" si="1"/>
        <v>0</v>
      </c>
      <c r="M44" s="28">
        <f t="shared" si="2"/>
        <v>5</v>
      </c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5"/>
      <c r="DH44" s="75"/>
      <c r="DI44" s="75"/>
      <c r="DJ44" s="75"/>
      <c r="DK44" s="75"/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5"/>
      <c r="FE44" s="75"/>
      <c r="FF44" s="75"/>
      <c r="FG44" s="75"/>
      <c r="FH44" s="75"/>
      <c r="FI44" s="75"/>
      <c r="FJ44" s="75"/>
      <c r="FK44" s="75"/>
      <c r="FL44" s="75"/>
      <c r="FM44" s="75"/>
      <c r="FN44" s="75"/>
      <c r="FO44" s="75"/>
      <c r="FP44" s="75"/>
      <c r="FQ44" s="75"/>
      <c r="FR44" s="75"/>
      <c r="FS44" s="75"/>
      <c r="FT44" s="75"/>
      <c r="FU44" s="75"/>
      <c r="FV44" s="75"/>
      <c r="FW44" s="75"/>
      <c r="FX44" s="75"/>
      <c r="FY44" s="75"/>
      <c r="FZ44" s="75"/>
      <c r="GA44" s="75"/>
      <c r="GB44" s="75"/>
      <c r="GC44" s="75"/>
      <c r="GD44" s="75"/>
      <c r="GE44" s="75"/>
      <c r="GF44" s="75"/>
      <c r="GG44" s="75"/>
      <c r="GH44" s="75"/>
      <c r="GI44" s="75"/>
      <c r="GJ44" s="75"/>
      <c r="GK44" s="75"/>
      <c r="GL44" s="75"/>
      <c r="GM44" s="75"/>
      <c r="GN44" s="75"/>
      <c r="GO44" s="75"/>
      <c r="GP44" s="75"/>
      <c r="GQ44" s="75"/>
      <c r="GR44" s="75"/>
      <c r="GS44" s="75"/>
      <c r="GT44" s="75"/>
      <c r="GU44" s="75"/>
      <c r="GV44" s="75"/>
      <c r="GW44" s="75"/>
      <c r="GX44" s="75"/>
      <c r="GY44" s="75"/>
      <c r="GZ44" s="75"/>
      <c r="HA44" s="75"/>
      <c r="HB44" s="75"/>
      <c r="HC44" s="75"/>
      <c r="HD44" s="75"/>
      <c r="HE44" s="75"/>
      <c r="HF44" s="75"/>
      <c r="HG44" s="75"/>
      <c r="HH44" s="75"/>
      <c r="HI44" s="75"/>
      <c r="HJ44" s="75"/>
      <c r="HK44" s="75"/>
      <c r="HL44" s="75"/>
      <c r="HM44" s="75"/>
      <c r="HN44" s="75"/>
      <c r="HO44" s="75"/>
      <c r="HP44" s="75"/>
      <c r="HQ44" s="75"/>
      <c r="HR44" s="75"/>
      <c r="HS44" s="75"/>
      <c r="HT44" s="75"/>
      <c r="HU44" s="75"/>
      <c r="HV44" s="75"/>
      <c r="HW44" s="75"/>
      <c r="HX44" s="75"/>
      <c r="HY44" s="75"/>
      <c r="HZ44" s="75"/>
      <c r="IA44" s="75"/>
      <c r="IB44" s="75"/>
      <c r="IC44" s="75"/>
      <c r="ID44" s="75"/>
      <c r="IE44" s="75"/>
      <c r="IF44" s="75"/>
      <c r="IG44" s="75"/>
      <c r="IH44" s="75"/>
      <c r="II44" s="75"/>
      <c r="IJ44" s="75"/>
      <c r="IK44" s="75"/>
      <c r="IL44" s="75"/>
      <c r="IM44" s="75"/>
      <c r="IN44" s="75"/>
      <c r="IO44" s="75"/>
      <c r="IP44" s="75"/>
      <c r="IQ44" s="75"/>
      <c r="IR44" s="75"/>
      <c r="IS44" s="75"/>
      <c r="IT44" s="75"/>
      <c r="IU44" s="75"/>
      <c r="IV44" s="75"/>
      <c r="IW44" s="75"/>
      <c r="IX44" s="75"/>
    </row>
    <row r="45" spans="1:258" x14ac:dyDescent="0.3">
      <c r="A45" s="23" t="s">
        <v>67</v>
      </c>
      <c r="B45" s="23"/>
      <c r="C45" s="23"/>
      <c r="D45" s="23"/>
      <c r="E45" s="22" t="s">
        <v>238</v>
      </c>
      <c r="F45" s="23" t="s">
        <v>60</v>
      </c>
      <c r="G45" s="23" t="s">
        <v>30</v>
      </c>
      <c r="H45" s="23">
        <v>221020</v>
      </c>
      <c r="I45" s="72">
        <v>46661</v>
      </c>
      <c r="J45" s="26">
        <f t="shared" si="3"/>
        <v>0</v>
      </c>
      <c r="K45" s="27">
        <v>0</v>
      </c>
      <c r="L45" s="26">
        <f t="shared" si="1"/>
        <v>0</v>
      </c>
      <c r="M45" s="28">
        <f t="shared" si="2"/>
        <v>0</v>
      </c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7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75"/>
      <c r="EC45" s="75"/>
      <c r="ED45" s="75"/>
      <c r="EE45" s="75"/>
      <c r="EF45" s="75"/>
      <c r="EG45" s="75"/>
      <c r="EH45" s="75"/>
      <c r="EI45" s="75"/>
      <c r="EJ45" s="75"/>
      <c r="EK45" s="75"/>
      <c r="EL45" s="75"/>
      <c r="EM45" s="75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75"/>
      <c r="FF45" s="75"/>
      <c r="FG45" s="75"/>
      <c r="FH45" s="75"/>
      <c r="FI45" s="75"/>
      <c r="FJ45" s="75"/>
      <c r="FK45" s="75"/>
      <c r="FL45" s="75"/>
      <c r="FM45" s="75"/>
      <c r="FN45" s="75"/>
      <c r="FO45" s="75"/>
      <c r="FP45" s="75"/>
      <c r="FQ45" s="75"/>
      <c r="FR45" s="75"/>
      <c r="FS45" s="75"/>
      <c r="FT45" s="75"/>
      <c r="FU45" s="75"/>
      <c r="FV45" s="75"/>
      <c r="FW45" s="75"/>
      <c r="FX45" s="75"/>
      <c r="FY45" s="75"/>
      <c r="FZ45" s="75"/>
      <c r="GA45" s="75"/>
      <c r="GB45" s="75"/>
      <c r="GC45" s="75"/>
      <c r="GD45" s="75"/>
      <c r="GE45" s="75"/>
      <c r="GF45" s="75"/>
      <c r="GG45" s="75"/>
      <c r="GH45" s="75"/>
      <c r="GI45" s="75"/>
      <c r="GJ45" s="75"/>
      <c r="GK45" s="75"/>
      <c r="GL45" s="75"/>
      <c r="GM45" s="75"/>
      <c r="GN45" s="75"/>
      <c r="GO45" s="75"/>
      <c r="GP45" s="75"/>
      <c r="GQ45" s="75"/>
      <c r="GR45" s="75"/>
      <c r="GS45" s="75"/>
      <c r="GT45" s="75"/>
      <c r="GU45" s="75"/>
      <c r="GV45" s="75"/>
      <c r="GW45" s="75"/>
      <c r="GX45" s="75"/>
      <c r="GY45" s="75"/>
      <c r="GZ45" s="75"/>
      <c r="HA45" s="75"/>
      <c r="HB45" s="75"/>
      <c r="HC45" s="75"/>
      <c r="HD45" s="75"/>
      <c r="HE45" s="75"/>
      <c r="HF45" s="75"/>
      <c r="HG45" s="75"/>
      <c r="HH45" s="75"/>
      <c r="HI45" s="75"/>
      <c r="HJ45" s="75"/>
      <c r="HK45" s="75"/>
      <c r="HL45" s="75"/>
      <c r="HM45" s="75"/>
      <c r="HN45" s="75"/>
      <c r="HO45" s="75"/>
      <c r="HP45" s="75"/>
      <c r="HQ45" s="75"/>
      <c r="HR45" s="75"/>
      <c r="HS45" s="75"/>
      <c r="HT45" s="75"/>
      <c r="HU45" s="75"/>
      <c r="HV45" s="75"/>
      <c r="HW45" s="75"/>
      <c r="HX45" s="75"/>
      <c r="HY45" s="75"/>
      <c r="HZ45" s="75"/>
      <c r="IA45" s="75"/>
      <c r="IB45" s="75"/>
      <c r="IC45" s="75"/>
      <c r="ID45" s="75"/>
      <c r="IE45" s="75"/>
      <c r="IF45" s="75"/>
      <c r="IG45" s="75"/>
      <c r="IH45" s="75"/>
      <c r="II45" s="75"/>
      <c r="IJ45" s="75"/>
      <c r="IK45" s="75"/>
      <c r="IL45" s="75"/>
      <c r="IM45" s="75"/>
      <c r="IN45" s="75"/>
      <c r="IO45" s="75"/>
      <c r="IP45" s="75"/>
      <c r="IQ45" s="75"/>
      <c r="IR45" s="75"/>
      <c r="IS45" s="75"/>
      <c r="IT45" s="75"/>
      <c r="IU45" s="75"/>
      <c r="IV45" s="75"/>
      <c r="IW45" s="75"/>
      <c r="IX45" s="75"/>
    </row>
    <row r="46" spans="1:258" x14ac:dyDescent="0.3">
      <c r="A46" s="23" t="s">
        <v>108</v>
      </c>
      <c r="B46" s="23"/>
      <c r="C46" s="23" t="s">
        <v>275</v>
      </c>
      <c r="D46" s="23"/>
      <c r="E46" s="22" t="s">
        <v>216</v>
      </c>
      <c r="F46" s="23" t="s">
        <v>111</v>
      </c>
      <c r="G46" s="23" t="s">
        <v>33</v>
      </c>
      <c r="H46" s="23">
        <v>23042301</v>
      </c>
      <c r="I46" s="72">
        <v>46134</v>
      </c>
      <c r="J46" s="26">
        <f t="shared" si="3"/>
        <v>10</v>
      </c>
      <c r="K46" s="38">
        <v>10</v>
      </c>
      <c r="L46" s="26">
        <f t="shared" si="1"/>
        <v>0</v>
      </c>
      <c r="M46" s="28">
        <f t="shared" si="2"/>
        <v>10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  <c r="DE46" s="75"/>
      <c r="DF46" s="75"/>
      <c r="DG46" s="75"/>
      <c r="DH46" s="75"/>
      <c r="DI46" s="75"/>
      <c r="DJ46" s="75"/>
      <c r="DK46" s="75"/>
      <c r="DL46" s="75"/>
      <c r="DM46" s="7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75"/>
      <c r="EF46" s="75"/>
      <c r="EG46" s="75"/>
      <c r="EH46" s="75"/>
      <c r="EI46" s="75"/>
      <c r="EJ46" s="75"/>
      <c r="EK46" s="75"/>
      <c r="EL46" s="75"/>
      <c r="EM46" s="75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75"/>
      <c r="FF46" s="75"/>
      <c r="FG46" s="75"/>
      <c r="FH46" s="75"/>
      <c r="FI46" s="75"/>
      <c r="FJ46" s="75"/>
      <c r="FK46" s="75"/>
      <c r="FL46" s="75"/>
      <c r="FM46" s="75"/>
      <c r="FN46" s="75"/>
      <c r="FO46" s="75"/>
      <c r="FP46" s="75"/>
      <c r="FQ46" s="75"/>
      <c r="FR46" s="75"/>
      <c r="FS46" s="75"/>
      <c r="FT46" s="75"/>
      <c r="FU46" s="75"/>
      <c r="FV46" s="75"/>
      <c r="FW46" s="75"/>
      <c r="FX46" s="75"/>
      <c r="FY46" s="75"/>
      <c r="FZ46" s="75"/>
      <c r="GA46" s="75"/>
      <c r="GB46" s="75"/>
      <c r="GC46" s="75"/>
      <c r="GD46" s="75"/>
      <c r="GE46" s="75"/>
      <c r="GF46" s="75"/>
      <c r="GG46" s="75"/>
      <c r="GH46" s="75"/>
      <c r="GI46" s="75"/>
      <c r="GJ46" s="75"/>
      <c r="GK46" s="75"/>
      <c r="GL46" s="75"/>
      <c r="GM46" s="75"/>
      <c r="GN46" s="75"/>
      <c r="GO46" s="75"/>
      <c r="GP46" s="75"/>
      <c r="GQ46" s="75"/>
      <c r="GR46" s="75"/>
      <c r="GS46" s="75"/>
      <c r="GT46" s="75"/>
      <c r="GU46" s="75"/>
      <c r="GV46" s="75"/>
      <c r="GW46" s="75"/>
      <c r="GX46" s="75"/>
      <c r="GY46" s="75"/>
      <c r="GZ46" s="75"/>
      <c r="HA46" s="75"/>
      <c r="HB46" s="75"/>
      <c r="HC46" s="75"/>
      <c r="HD46" s="75"/>
      <c r="HE46" s="75"/>
      <c r="HF46" s="75"/>
      <c r="HG46" s="75"/>
      <c r="HH46" s="75"/>
      <c r="HI46" s="75"/>
      <c r="HJ46" s="75"/>
      <c r="HK46" s="75"/>
      <c r="HL46" s="75"/>
      <c r="HM46" s="75"/>
      <c r="HN46" s="75"/>
      <c r="HO46" s="75"/>
      <c r="HP46" s="75"/>
      <c r="HQ46" s="75"/>
      <c r="HR46" s="75"/>
      <c r="HS46" s="75"/>
      <c r="HT46" s="75"/>
      <c r="HU46" s="75"/>
      <c r="HV46" s="75"/>
      <c r="HW46" s="75"/>
      <c r="HX46" s="75"/>
      <c r="HY46" s="75"/>
      <c r="HZ46" s="75"/>
      <c r="IA46" s="75"/>
      <c r="IB46" s="75"/>
      <c r="IC46" s="75"/>
      <c r="ID46" s="75"/>
      <c r="IE46" s="75"/>
      <c r="IF46" s="75"/>
      <c r="IG46" s="75"/>
      <c r="IH46" s="75"/>
      <c r="II46" s="75"/>
      <c r="IJ46" s="75"/>
      <c r="IK46" s="75"/>
      <c r="IL46" s="75"/>
      <c r="IM46" s="75"/>
      <c r="IN46" s="75"/>
      <c r="IO46" s="75"/>
      <c r="IP46" s="75"/>
      <c r="IQ46" s="75"/>
      <c r="IR46" s="75"/>
      <c r="IS46" s="75"/>
      <c r="IT46" s="75"/>
      <c r="IU46" s="75"/>
      <c r="IV46" s="75"/>
      <c r="IW46" s="75"/>
      <c r="IX46" s="75"/>
    </row>
    <row r="47" spans="1:258" x14ac:dyDescent="0.3">
      <c r="A47" s="23" t="s">
        <v>112</v>
      </c>
      <c r="B47" s="23"/>
      <c r="C47" s="23" t="s">
        <v>275</v>
      </c>
      <c r="D47" s="23"/>
      <c r="E47" s="22" t="s">
        <v>217</v>
      </c>
      <c r="F47" s="23" t="s">
        <v>111</v>
      </c>
      <c r="G47" s="23" t="s">
        <v>30</v>
      </c>
      <c r="H47" s="23">
        <v>24040701</v>
      </c>
      <c r="I47" s="72">
        <v>46483</v>
      </c>
      <c r="J47" s="26">
        <f t="shared" si="3"/>
        <v>0</v>
      </c>
      <c r="K47" s="38">
        <v>0</v>
      </c>
      <c r="L47" s="26">
        <f t="shared" si="1"/>
        <v>0</v>
      </c>
      <c r="M47" s="28" t="s">
        <v>19</v>
      </c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7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75"/>
      <c r="EC47" s="75"/>
      <c r="ED47" s="75"/>
      <c r="EE47" s="75"/>
      <c r="EF47" s="75"/>
      <c r="EG47" s="75"/>
      <c r="EH47" s="75"/>
      <c r="EI47" s="75"/>
      <c r="EJ47" s="75"/>
      <c r="EK47" s="75"/>
      <c r="EL47" s="75"/>
      <c r="EM47" s="75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75"/>
      <c r="FF47" s="75"/>
      <c r="FG47" s="75"/>
      <c r="FH47" s="75"/>
      <c r="FI47" s="75"/>
      <c r="FJ47" s="75"/>
      <c r="FK47" s="75"/>
      <c r="FL47" s="75"/>
      <c r="FM47" s="75"/>
      <c r="FN47" s="75"/>
      <c r="FO47" s="75"/>
      <c r="FP47" s="75"/>
      <c r="FQ47" s="75"/>
      <c r="FR47" s="75"/>
      <c r="FS47" s="75"/>
      <c r="FT47" s="75"/>
      <c r="FU47" s="75"/>
      <c r="FV47" s="75"/>
      <c r="FW47" s="75"/>
      <c r="FX47" s="75"/>
      <c r="FY47" s="75"/>
      <c r="FZ47" s="75"/>
      <c r="GA47" s="75"/>
      <c r="GB47" s="75"/>
      <c r="GC47" s="75"/>
      <c r="GD47" s="75"/>
      <c r="GE47" s="75"/>
      <c r="GF47" s="75"/>
      <c r="GG47" s="75"/>
      <c r="GH47" s="75"/>
      <c r="GI47" s="75"/>
      <c r="GJ47" s="75"/>
      <c r="GK47" s="75"/>
      <c r="GL47" s="75"/>
      <c r="GM47" s="75"/>
      <c r="GN47" s="75"/>
      <c r="GO47" s="75"/>
      <c r="GP47" s="75"/>
      <c r="GQ47" s="75"/>
      <c r="GR47" s="75"/>
      <c r="GS47" s="75"/>
      <c r="GT47" s="75"/>
      <c r="GU47" s="75"/>
      <c r="GV47" s="75"/>
      <c r="GW47" s="75"/>
      <c r="GX47" s="75"/>
      <c r="GY47" s="75"/>
      <c r="GZ47" s="75"/>
      <c r="HA47" s="75"/>
      <c r="HB47" s="75"/>
      <c r="HC47" s="75"/>
      <c r="HD47" s="75"/>
      <c r="HE47" s="75"/>
      <c r="HF47" s="75"/>
      <c r="HG47" s="75"/>
      <c r="HH47" s="75"/>
      <c r="HI47" s="75"/>
      <c r="HJ47" s="75"/>
      <c r="HK47" s="75"/>
      <c r="HL47" s="75"/>
      <c r="HM47" s="75"/>
      <c r="HN47" s="75"/>
      <c r="HO47" s="75"/>
      <c r="HP47" s="75"/>
      <c r="HQ47" s="75"/>
      <c r="HR47" s="75"/>
      <c r="HS47" s="75"/>
      <c r="HT47" s="75"/>
      <c r="HU47" s="75"/>
      <c r="HV47" s="75"/>
      <c r="HW47" s="75"/>
      <c r="HX47" s="75"/>
      <c r="HY47" s="75"/>
      <c r="HZ47" s="75"/>
      <c r="IA47" s="75"/>
      <c r="IB47" s="75"/>
      <c r="IC47" s="75"/>
      <c r="ID47" s="75"/>
      <c r="IE47" s="75"/>
      <c r="IF47" s="75"/>
      <c r="IG47" s="75"/>
      <c r="IH47" s="75"/>
      <c r="II47" s="75"/>
      <c r="IJ47" s="75"/>
      <c r="IK47" s="75"/>
      <c r="IL47" s="75"/>
      <c r="IM47" s="75"/>
      <c r="IN47" s="75"/>
      <c r="IO47" s="75"/>
      <c r="IP47" s="75"/>
      <c r="IQ47" s="75"/>
      <c r="IR47" s="75"/>
      <c r="IS47" s="75"/>
      <c r="IT47" s="75"/>
      <c r="IU47" s="75"/>
      <c r="IV47" s="75"/>
      <c r="IW47" s="75"/>
      <c r="IX47" s="75"/>
    </row>
    <row r="48" spans="1:258" x14ac:dyDescent="0.3">
      <c r="A48" s="23" t="s">
        <v>112</v>
      </c>
      <c r="B48" s="23"/>
      <c r="C48" s="23" t="s">
        <v>275</v>
      </c>
      <c r="D48" s="23"/>
      <c r="E48" s="22" t="s">
        <v>217</v>
      </c>
      <c r="F48" s="23" t="s">
        <v>111</v>
      </c>
      <c r="G48" s="23" t="s">
        <v>30</v>
      </c>
      <c r="H48" s="23">
        <v>23101701</v>
      </c>
      <c r="I48" s="72">
        <v>46311</v>
      </c>
      <c r="J48" s="26">
        <f t="shared" si="3"/>
        <v>0</v>
      </c>
      <c r="K48" s="38">
        <v>0</v>
      </c>
      <c r="L48" s="26">
        <f t="shared" si="1"/>
        <v>0</v>
      </c>
      <c r="M48" s="28">
        <f>SUM(J47:J48)</f>
        <v>0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  <c r="DD48" s="75"/>
      <c r="DE48" s="75"/>
      <c r="DF48" s="75"/>
      <c r="DG48" s="75"/>
      <c r="DH48" s="75"/>
      <c r="DI48" s="75"/>
      <c r="DJ48" s="75"/>
      <c r="DK48" s="75"/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  <c r="EF48" s="75"/>
      <c r="EG48" s="75"/>
      <c r="EH48" s="75"/>
      <c r="EI48" s="75"/>
      <c r="EJ48" s="75"/>
      <c r="EK48" s="75"/>
      <c r="EL48" s="75"/>
      <c r="EM48" s="75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75"/>
      <c r="FF48" s="75"/>
      <c r="FG48" s="75"/>
      <c r="FH48" s="75"/>
      <c r="FI48" s="75"/>
      <c r="FJ48" s="75"/>
      <c r="FK48" s="75"/>
      <c r="FL48" s="75"/>
      <c r="FM48" s="75"/>
      <c r="FN48" s="75"/>
      <c r="FO48" s="75"/>
      <c r="FP48" s="75"/>
      <c r="FQ48" s="75"/>
      <c r="FR48" s="75"/>
      <c r="FS48" s="75"/>
      <c r="FT48" s="75"/>
      <c r="FU48" s="75"/>
      <c r="FV48" s="75"/>
      <c r="FW48" s="75"/>
      <c r="FX48" s="75"/>
      <c r="FY48" s="75"/>
      <c r="FZ48" s="75"/>
      <c r="GA48" s="75"/>
      <c r="GB48" s="75"/>
      <c r="GC48" s="75"/>
      <c r="GD48" s="75"/>
      <c r="GE48" s="75"/>
      <c r="GF48" s="75"/>
      <c r="GG48" s="75"/>
      <c r="GH48" s="75"/>
      <c r="GI48" s="75"/>
      <c r="GJ48" s="75"/>
      <c r="GK48" s="75"/>
      <c r="GL48" s="75"/>
      <c r="GM48" s="75"/>
      <c r="GN48" s="75"/>
      <c r="GO48" s="75"/>
      <c r="GP48" s="75"/>
      <c r="GQ48" s="75"/>
      <c r="GR48" s="75"/>
      <c r="GS48" s="75"/>
      <c r="GT48" s="75"/>
      <c r="GU48" s="75"/>
      <c r="GV48" s="75"/>
      <c r="GW48" s="75"/>
      <c r="GX48" s="75"/>
      <c r="GY48" s="75"/>
      <c r="GZ48" s="75"/>
      <c r="HA48" s="75"/>
      <c r="HB48" s="75"/>
      <c r="HC48" s="75"/>
      <c r="HD48" s="75"/>
      <c r="HE48" s="75"/>
      <c r="HF48" s="75"/>
      <c r="HG48" s="75"/>
      <c r="HH48" s="75"/>
      <c r="HI48" s="75"/>
      <c r="HJ48" s="75"/>
      <c r="HK48" s="75"/>
      <c r="HL48" s="75"/>
      <c r="HM48" s="75"/>
      <c r="HN48" s="75"/>
      <c r="HO48" s="75"/>
      <c r="HP48" s="75"/>
      <c r="HQ48" s="75"/>
      <c r="HR48" s="75"/>
      <c r="HS48" s="75"/>
      <c r="HT48" s="75"/>
      <c r="HU48" s="75"/>
      <c r="HV48" s="75"/>
      <c r="HW48" s="75"/>
      <c r="HX48" s="75"/>
      <c r="HY48" s="75"/>
      <c r="HZ48" s="75"/>
      <c r="IA48" s="75"/>
      <c r="IB48" s="75"/>
      <c r="IC48" s="75"/>
      <c r="ID48" s="75"/>
      <c r="IE48" s="75"/>
      <c r="IF48" s="75"/>
      <c r="IG48" s="75"/>
      <c r="IH48" s="75"/>
      <c r="II48" s="75"/>
      <c r="IJ48" s="75"/>
      <c r="IK48" s="75"/>
      <c r="IL48" s="75"/>
      <c r="IM48" s="75"/>
      <c r="IN48" s="75"/>
      <c r="IO48" s="75"/>
      <c r="IP48" s="75"/>
      <c r="IQ48" s="75"/>
      <c r="IR48" s="75"/>
      <c r="IS48" s="75"/>
      <c r="IT48" s="75"/>
      <c r="IU48" s="75"/>
      <c r="IV48" s="75"/>
      <c r="IW48" s="75"/>
      <c r="IX48" s="75"/>
    </row>
    <row r="49" spans="1:258" x14ac:dyDescent="0.3">
      <c r="A49" s="75" t="s">
        <v>506</v>
      </c>
      <c r="B49" s="75" t="s">
        <v>521</v>
      </c>
      <c r="C49" s="75"/>
      <c r="D49" s="75"/>
      <c r="E49" s="75" t="s">
        <v>507</v>
      </c>
      <c r="F49" s="75" t="s">
        <v>523</v>
      </c>
      <c r="G49" s="23" t="s">
        <v>30</v>
      </c>
      <c r="H49" s="23"/>
      <c r="I49" s="72"/>
      <c r="J49" s="26">
        <f t="shared" ref="J49:J58" si="4">K49-L49</f>
        <v>0</v>
      </c>
      <c r="K49" s="38">
        <v>0</v>
      </c>
      <c r="L49" s="26">
        <f t="shared" si="1"/>
        <v>0</v>
      </c>
      <c r="M49" s="28">
        <f>SUM(J49)</f>
        <v>0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5"/>
      <c r="DC49" s="75"/>
      <c r="DD49" s="75"/>
      <c r="DE49" s="75"/>
      <c r="DF49" s="75"/>
      <c r="DG49" s="75"/>
      <c r="DH49" s="75"/>
      <c r="DI49" s="75"/>
      <c r="DJ49" s="75"/>
      <c r="DK49" s="75"/>
      <c r="DL49" s="75"/>
      <c r="DM49" s="75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75"/>
      <c r="EC49" s="75"/>
      <c r="ED49" s="75"/>
      <c r="EE49" s="75"/>
      <c r="EF49" s="75"/>
      <c r="EG49" s="75"/>
      <c r="EH49" s="75"/>
      <c r="EI49" s="75"/>
      <c r="EJ49" s="75"/>
      <c r="EK49" s="75"/>
      <c r="EL49" s="75"/>
      <c r="EM49" s="75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75"/>
      <c r="FF49" s="75"/>
      <c r="FG49" s="75"/>
      <c r="FH49" s="75"/>
      <c r="FI49" s="75"/>
      <c r="FJ49" s="75"/>
      <c r="FK49" s="75"/>
      <c r="FL49" s="75"/>
      <c r="FM49" s="75"/>
      <c r="FN49" s="75"/>
      <c r="FO49" s="75"/>
      <c r="FP49" s="75"/>
      <c r="FQ49" s="75"/>
      <c r="FR49" s="75"/>
      <c r="FS49" s="75"/>
      <c r="FT49" s="75"/>
      <c r="FU49" s="75"/>
      <c r="FV49" s="75"/>
      <c r="FW49" s="75"/>
      <c r="FX49" s="75"/>
      <c r="FY49" s="75"/>
      <c r="FZ49" s="75"/>
      <c r="GA49" s="75"/>
      <c r="GB49" s="75"/>
      <c r="GC49" s="75"/>
      <c r="GD49" s="75"/>
      <c r="GE49" s="75"/>
      <c r="GF49" s="75"/>
      <c r="GG49" s="75"/>
      <c r="GH49" s="75"/>
      <c r="GI49" s="75"/>
      <c r="GJ49" s="75"/>
      <c r="GK49" s="75"/>
      <c r="GL49" s="75"/>
      <c r="GM49" s="75"/>
      <c r="GN49" s="75"/>
      <c r="GO49" s="75"/>
      <c r="GP49" s="75"/>
      <c r="GQ49" s="75"/>
      <c r="GR49" s="75"/>
      <c r="GS49" s="75"/>
      <c r="GT49" s="75"/>
      <c r="GU49" s="75"/>
      <c r="GV49" s="75"/>
      <c r="GW49" s="75"/>
      <c r="GX49" s="75"/>
      <c r="GY49" s="75"/>
      <c r="GZ49" s="75"/>
      <c r="HA49" s="75"/>
      <c r="HB49" s="75"/>
      <c r="HC49" s="75"/>
      <c r="HD49" s="75"/>
      <c r="HE49" s="75"/>
      <c r="HF49" s="75"/>
      <c r="HG49" s="75"/>
      <c r="HH49" s="75"/>
      <c r="HI49" s="75"/>
      <c r="HJ49" s="75"/>
      <c r="HK49" s="75"/>
      <c r="HL49" s="75"/>
      <c r="HM49" s="75"/>
      <c r="HN49" s="75"/>
      <c r="HO49" s="75"/>
      <c r="HP49" s="75"/>
      <c r="HQ49" s="75"/>
      <c r="HR49" s="75"/>
      <c r="HS49" s="75"/>
      <c r="HT49" s="75"/>
      <c r="HU49" s="75"/>
      <c r="HV49" s="75"/>
      <c r="HW49" s="75"/>
      <c r="HX49" s="75"/>
      <c r="HY49" s="75"/>
      <c r="HZ49" s="75"/>
      <c r="IA49" s="75"/>
      <c r="IB49" s="75"/>
      <c r="IC49" s="75"/>
      <c r="ID49" s="75"/>
      <c r="IE49" s="75"/>
      <c r="IF49" s="75"/>
      <c r="IG49" s="75"/>
      <c r="IH49" s="75"/>
      <c r="II49" s="75"/>
      <c r="IJ49" s="75"/>
      <c r="IK49" s="75"/>
      <c r="IL49" s="75"/>
      <c r="IM49" s="75"/>
      <c r="IN49" s="75"/>
      <c r="IO49" s="75"/>
      <c r="IP49" s="75"/>
      <c r="IQ49" s="75"/>
      <c r="IR49" s="75"/>
      <c r="IS49" s="75"/>
      <c r="IT49" s="75"/>
      <c r="IU49" s="75"/>
      <c r="IV49" s="75"/>
      <c r="IW49" s="75"/>
      <c r="IX49" s="75"/>
    </row>
    <row r="50" spans="1:258" x14ac:dyDescent="0.3">
      <c r="A50" s="75" t="s">
        <v>508</v>
      </c>
      <c r="B50" s="75" t="s">
        <v>521</v>
      </c>
      <c r="C50" s="75"/>
      <c r="D50" s="75"/>
      <c r="E50" s="75" t="s">
        <v>509</v>
      </c>
      <c r="F50" s="75" t="s">
        <v>523</v>
      </c>
      <c r="G50" s="23" t="s">
        <v>30</v>
      </c>
      <c r="H50" s="23"/>
      <c r="I50" s="72"/>
      <c r="J50" s="26">
        <f t="shared" si="4"/>
        <v>0</v>
      </c>
      <c r="K50" s="38">
        <v>0</v>
      </c>
      <c r="L50" s="26">
        <f t="shared" si="1"/>
        <v>0</v>
      </c>
      <c r="M50" s="28">
        <f t="shared" ref="M50:M58" si="5">SUM(J50)</f>
        <v>0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  <c r="DD50" s="75"/>
      <c r="DE50" s="75"/>
      <c r="DF50" s="75"/>
      <c r="DG50" s="75"/>
      <c r="DH50" s="75"/>
      <c r="DI50" s="75"/>
      <c r="DJ50" s="75"/>
      <c r="DK50" s="75"/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  <c r="FU50" s="75"/>
      <c r="FV50" s="75"/>
      <c r="FW50" s="75"/>
      <c r="FX50" s="75"/>
      <c r="FY50" s="75"/>
      <c r="FZ50" s="75"/>
      <c r="GA50" s="75"/>
      <c r="GB50" s="75"/>
      <c r="GC50" s="75"/>
      <c r="GD50" s="75"/>
      <c r="GE50" s="75"/>
      <c r="GF50" s="75"/>
      <c r="GG50" s="75"/>
      <c r="GH50" s="75"/>
      <c r="GI50" s="75"/>
      <c r="GJ50" s="75"/>
      <c r="GK50" s="75"/>
      <c r="GL50" s="75"/>
      <c r="GM50" s="75"/>
      <c r="GN50" s="75"/>
      <c r="GO50" s="75"/>
      <c r="GP50" s="75"/>
      <c r="GQ50" s="75"/>
      <c r="GR50" s="75"/>
      <c r="GS50" s="75"/>
      <c r="GT50" s="75"/>
      <c r="GU50" s="75"/>
      <c r="GV50" s="75"/>
      <c r="GW50" s="75"/>
      <c r="GX50" s="75"/>
      <c r="GY50" s="75"/>
      <c r="GZ50" s="75"/>
      <c r="HA50" s="75"/>
      <c r="HB50" s="75"/>
      <c r="HC50" s="75"/>
      <c r="HD50" s="75"/>
      <c r="HE50" s="75"/>
      <c r="HF50" s="75"/>
      <c r="HG50" s="75"/>
      <c r="HH50" s="75"/>
      <c r="HI50" s="75"/>
      <c r="HJ50" s="75"/>
      <c r="HK50" s="75"/>
      <c r="HL50" s="75"/>
      <c r="HM50" s="75"/>
      <c r="HN50" s="75"/>
      <c r="HO50" s="75"/>
      <c r="HP50" s="75"/>
      <c r="HQ50" s="75"/>
      <c r="HR50" s="75"/>
      <c r="HS50" s="75"/>
      <c r="HT50" s="75"/>
      <c r="HU50" s="75"/>
      <c r="HV50" s="75"/>
      <c r="HW50" s="75"/>
      <c r="HX50" s="75"/>
      <c r="HY50" s="75"/>
      <c r="HZ50" s="75"/>
      <c r="IA50" s="75"/>
      <c r="IB50" s="75"/>
      <c r="IC50" s="75"/>
      <c r="ID50" s="75"/>
      <c r="IE50" s="75"/>
      <c r="IF50" s="75"/>
      <c r="IG50" s="75"/>
      <c r="IH50" s="75"/>
      <c r="II50" s="75"/>
      <c r="IJ50" s="75"/>
      <c r="IK50" s="75"/>
      <c r="IL50" s="75"/>
      <c r="IM50" s="75"/>
      <c r="IN50" s="75"/>
      <c r="IO50" s="75"/>
      <c r="IP50" s="75"/>
      <c r="IQ50" s="75"/>
      <c r="IR50" s="75"/>
      <c r="IS50" s="75"/>
      <c r="IT50" s="75"/>
      <c r="IU50" s="75"/>
      <c r="IV50" s="75"/>
      <c r="IW50" s="75"/>
      <c r="IX50" s="75"/>
    </row>
    <row r="51" spans="1:258" x14ac:dyDescent="0.3">
      <c r="A51" s="75" t="s">
        <v>510</v>
      </c>
      <c r="B51" s="75" t="s">
        <v>521</v>
      </c>
      <c r="C51" s="75"/>
      <c r="D51" s="75"/>
      <c r="E51" s="75" t="s">
        <v>511</v>
      </c>
      <c r="F51" s="75" t="s">
        <v>523</v>
      </c>
      <c r="G51" s="23" t="s">
        <v>30</v>
      </c>
      <c r="H51" s="23"/>
      <c r="I51" s="72"/>
      <c r="J51" s="26">
        <f t="shared" si="4"/>
        <v>0</v>
      </c>
      <c r="K51" s="38">
        <v>0</v>
      </c>
      <c r="L51" s="26">
        <f t="shared" si="1"/>
        <v>0</v>
      </c>
      <c r="M51" s="28">
        <f t="shared" si="5"/>
        <v>0</v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  <c r="CX51" s="75"/>
      <c r="CY51" s="75"/>
      <c r="CZ51" s="75"/>
      <c r="DA51" s="75"/>
      <c r="DB51" s="75"/>
      <c r="DC51" s="75"/>
      <c r="DD51" s="75"/>
      <c r="DE51" s="75"/>
      <c r="DF51" s="75"/>
      <c r="DG51" s="75"/>
      <c r="DH51" s="75"/>
      <c r="DI51" s="75"/>
      <c r="DJ51" s="75"/>
      <c r="DK51" s="75"/>
      <c r="DL51" s="75"/>
      <c r="DM51" s="75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75"/>
      <c r="EC51" s="75"/>
      <c r="ED51" s="75"/>
      <c r="EE51" s="75"/>
      <c r="EF51" s="75"/>
      <c r="EG51" s="75"/>
      <c r="EH51" s="75"/>
      <c r="EI51" s="75"/>
      <c r="EJ51" s="75"/>
      <c r="EK51" s="75"/>
      <c r="EL51" s="75"/>
      <c r="EM51" s="75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75"/>
      <c r="FF51" s="75"/>
      <c r="FG51" s="75"/>
      <c r="FH51" s="75"/>
      <c r="FI51" s="75"/>
      <c r="FJ51" s="75"/>
      <c r="FK51" s="75"/>
      <c r="FL51" s="75"/>
      <c r="FM51" s="75"/>
      <c r="FN51" s="75"/>
      <c r="FO51" s="75"/>
      <c r="FP51" s="75"/>
      <c r="FQ51" s="75"/>
      <c r="FR51" s="75"/>
      <c r="FS51" s="75"/>
      <c r="FT51" s="75"/>
      <c r="FU51" s="75"/>
      <c r="FV51" s="75"/>
      <c r="FW51" s="75"/>
      <c r="FX51" s="75"/>
      <c r="FY51" s="75"/>
      <c r="FZ51" s="75"/>
      <c r="GA51" s="75"/>
      <c r="GB51" s="75"/>
      <c r="GC51" s="75"/>
      <c r="GD51" s="75"/>
      <c r="GE51" s="75"/>
      <c r="GF51" s="75"/>
      <c r="GG51" s="75"/>
      <c r="GH51" s="75"/>
      <c r="GI51" s="75"/>
      <c r="GJ51" s="75"/>
      <c r="GK51" s="75"/>
      <c r="GL51" s="75"/>
      <c r="GM51" s="75"/>
      <c r="GN51" s="75"/>
      <c r="GO51" s="75"/>
      <c r="GP51" s="75"/>
      <c r="GQ51" s="75"/>
      <c r="GR51" s="75"/>
      <c r="GS51" s="75"/>
      <c r="GT51" s="75"/>
      <c r="GU51" s="75"/>
      <c r="GV51" s="75"/>
      <c r="GW51" s="75"/>
      <c r="GX51" s="75"/>
      <c r="GY51" s="75"/>
      <c r="GZ51" s="75"/>
      <c r="HA51" s="75"/>
      <c r="HB51" s="75"/>
      <c r="HC51" s="75"/>
      <c r="HD51" s="75"/>
      <c r="HE51" s="75"/>
      <c r="HF51" s="75"/>
      <c r="HG51" s="75"/>
      <c r="HH51" s="75"/>
      <c r="HI51" s="75"/>
      <c r="HJ51" s="75"/>
      <c r="HK51" s="75"/>
      <c r="HL51" s="75"/>
      <c r="HM51" s="75"/>
      <c r="HN51" s="75"/>
      <c r="HO51" s="75"/>
      <c r="HP51" s="75"/>
      <c r="HQ51" s="75"/>
      <c r="HR51" s="75"/>
      <c r="HS51" s="75"/>
      <c r="HT51" s="75"/>
      <c r="HU51" s="75"/>
      <c r="HV51" s="75"/>
      <c r="HW51" s="75"/>
      <c r="HX51" s="75"/>
      <c r="HY51" s="75"/>
      <c r="HZ51" s="75"/>
      <c r="IA51" s="75"/>
      <c r="IB51" s="75"/>
      <c r="IC51" s="75"/>
      <c r="ID51" s="75"/>
      <c r="IE51" s="75"/>
      <c r="IF51" s="75"/>
      <c r="IG51" s="75"/>
      <c r="IH51" s="75"/>
      <c r="II51" s="75"/>
      <c r="IJ51" s="75"/>
      <c r="IK51" s="75"/>
      <c r="IL51" s="75"/>
      <c r="IM51" s="75"/>
      <c r="IN51" s="75"/>
      <c r="IO51" s="75"/>
      <c r="IP51" s="75"/>
      <c r="IQ51" s="75"/>
      <c r="IR51" s="75"/>
      <c r="IS51" s="75"/>
      <c r="IT51" s="75"/>
      <c r="IU51" s="75"/>
      <c r="IV51" s="75"/>
      <c r="IW51" s="75"/>
      <c r="IX51" s="75"/>
    </row>
    <row r="52" spans="1:258" x14ac:dyDescent="0.3">
      <c r="A52" s="75" t="s">
        <v>512</v>
      </c>
      <c r="B52" s="75" t="s">
        <v>521</v>
      </c>
      <c r="C52" s="75"/>
      <c r="D52" s="75"/>
      <c r="E52" s="75" t="s">
        <v>513</v>
      </c>
      <c r="F52" s="75" t="s">
        <v>523</v>
      </c>
      <c r="G52" s="23" t="s">
        <v>30</v>
      </c>
      <c r="H52" s="23"/>
      <c r="I52" s="72"/>
      <c r="J52" s="26">
        <f t="shared" si="4"/>
        <v>0</v>
      </c>
      <c r="K52" s="38">
        <v>0</v>
      </c>
      <c r="L52" s="26">
        <f t="shared" si="1"/>
        <v>0</v>
      </c>
      <c r="M52" s="28">
        <f t="shared" si="5"/>
        <v>0</v>
      </c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75"/>
      <c r="DE52" s="75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  <c r="EF52" s="75"/>
      <c r="EG52" s="75"/>
      <c r="EH52" s="75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75"/>
      <c r="FM52" s="75"/>
      <c r="FN52" s="75"/>
      <c r="FO52" s="75"/>
      <c r="FP52" s="75"/>
      <c r="FQ52" s="75"/>
      <c r="FR52" s="75"/>
      <c r="FS52" s="75"/>
      <c r="FT52" s="75"/>
      <c r="FU52" s="75"/>
      <c r="FV52" s="75"/>
      <c r="FW52" s="75"/>
      <c r="FX52" s="75"/>
      <c r="FY52" s="75"/>
      <c r="FZ52" s="75"/>
      <c r="GA52" s="75"/>
      <c r="GB52" s="75"/>
      <c r="GC52" s="75"/>
      <c r="GD52" s="75"/>
      <c r="GE52" s="75"/>
      <c r="GF52" s="75"/>
      <c r="GG52" s="75"/>
      <c r="GH52" s="75"/>
      <c r="GI52" s="75"/>
      <c r="GJ52" s="75"/>
      <c r="GK52" s="75"/>
      <c r="GL52" s="75"/>
      <c r="GM52" s="75"/>
      <c r="GN52" s="75"/>
      <c r="GO52" s="75"/>
      <c r="GP52" s="75"/>
      <c r="GQ52" s="75"/>
      <c r="GR52" s="75"/>
      <c r="GS52" s="75"/>
      <c r="GT52" s="75"/>
      <c r="GU52" s="75"/>
      <c r="GV52" s="75"/>
      <c r="GW52" s="75"/>
      <c r="GX52" s="75"/>
      <c r="GY52" s="75"/>
      <c r="GZ52" s="75"/>
      <c r="HA52" s="75"/>
      <c r="HB52" s="75"/>
      <c r="HC52" s="75"/>
      <c r="HD52" s="75"/>
      <c r="HE52" s="75"/>
      <c r="HF52" s="75"/>
      <c r="HG52" s="75"/>
      <c r="HH52" s="75"/>
      <c r="HI52" s="75"/>
      <c r="HJ52" s="75"/>
      <c r="HK52" s="75"/>
      <c r="HL52" s="75"/>
      <c r="HM52" s="75"/>
      <c r="HN52" s="75"/>
      <c r="HO52" s="75"/>
      <c r="HP52" s="75"/>
      <c r="HQ52" s="75"/>
      <c r="HR52" s="75"/>
      <c r="HS52" s="75"/>
      <c r="HT52" s="75"/>
      <c r="HU52" s="75"/>
      <c r="HV52" s="75"/>
      <c r="HW52" s="75"/>
      <c r="HX52" s="75"/>
      <c r="HY52" s="75"/>
      <c r="HZ52" s="75"/>
      <c r="IA52" s="75"/>
      <c r="IB52" s="75"/>
      <c r="IC52" s="75"/>
      <c r="ID52" s="75"/>
      <c r="IE52" s="75"/>
      <c r="IF52" s="75"/>
      <c r="IG52" s="75"/>
      <c r="IH52" s="75"/>
      <c r="II52" s="75"/>
      <c r="IJ52" s="75"/>
      <c r="IK52" s="75"/>
      <c r="IL52" s="75"/>
      <c r="IM52" s="75"/>
      <c r="IN52" s="75"/>
      <c r="IO52" s="75"/>
      <c r="IP52" s="75"/>
      <c r="IQ52" s="75"/>
      <c r="IR52" s="75"/>
      <c r="IS52" s="75"/>
      <c r="IT52" s="75"/>
      <c r="IU52" s="75"/>
      <c r="IV52" s="75"/>
      <c r="IW52" s="75"/>
      <c r="IX52" s="75"/>
    </row>
    <row r="53" spans="1:258" x14ac:dyDescent="0.3">
      <c r="A53" s="75" t="s">
        <v>514</v>
      </c>
      <c r="B53" s="75" t="s">
        <v>521</v>
      </c>
      <c r="C53" s="75"/>
      <c r="D53" s="75"/>
      <c r="E53" s="75" t="s">
        <v>515</v>
      </c>
      <c r="F53" s="75" t="s">
        <v>523</v>
      </c>
      <c r="G53" s="23" t="s">
        <v>30</v>
      </c>
      <c r="H53" s="23"/>
      <c r="I53" s="72"/>
      <c r="J53" s="26">
        <f t="shared" si="4"/>
        <v>0</v>
      </c>
      <c r="K53" s="38">
        <v>0</v>
      </c>
      <c r="L53" s="26">
        <f t="shared" si="1"/>
        <v>0</v>
      </c>
      <c r="M53" s="28">
        <f t="shared" si="5"/>
        <v>0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  <c r="EF53" s="75"/>
      <c r="EG53" s="75"/>
      <c r="EH53" s="75"/>
      <c r="EI53" s="75"/>
      <c r="EJ53" s="75"/>
      <c r="EK53" s="75"/>
      <c r="EL53" s="75"/>
      <c r="EM53" s="75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75"/>
      <c r="FF53" s="75"/>
      <c r="FG53" s="75"/>
      <c r="FH53" s="75"/>
      <c r="FI53" s="75"/>
      <c r="FJ53" s="75"/>
      <c r="FK53" s="75"/>
      <c r="FL53" s="75"/>
      <c r="FM53" s="75"/>
      <c r="FN53" s="75"/>
      <c r="FO53" s="75"/>
      <c r="FP53" s="75"/>
      <c r="FQ53" s="75"/>
      <c r="FR53" s="75"/>
      <c r="FS53" s="75"/>
      <c r="FT53" s="75"/>
      <c r="FU53" s="75"/>
      <c r="FV53" s="75"/>
      <c r="FW53" s="75"/>
      <c r="FX53" s="75"/>
      <c r="FY53" s="75"/>
      <c r="FZ53" s="75"/>
      <c r="GA53" s="75"/>
      <c r="GB53" s="75"/>
      <c r="GC53" s="75"/>
      <c r="GD53" s="75"/>
      <c r="GE53" s="75"/>
      <c r="GF53" s="75"/>
      <c r="GG53" s="75"/>
      <c r="GH53" s="75"/>
      <c r="GI53" s="75"/>
      <c r="GJ53" s="75"/>
      <c r="GK53" s="75"/>
      <c r="GL53" s="75"/>
      <c r="GM53" s="75"/>
      <c r="GN53" s="75"/>
      <c r="GO53" s="75"/>
      <c r="GP53" s="75"/>
      <c r="GQ53" s="75"/>
      <c r="GR53" s="75"/>
      <c r="GS53" s="75"/>
      <c r="GT53" s="75"/>
      <c r="GU53" s="75"/>
      <c r="GV53" s="75"/>
      <c r="GW53" s="75"/>
      <c r="GX53" s="75"/>
      <c r="GY53" s="75"/>
      <c r="GZ53" s="75"/>
      <c r="HA53" s="75"/>
      <c r="HB53" s="75"/>
      <c r="HC53" s="75"/>
      <c r="HD53" s="75"/>
      <c r="HE53" s="75"/>
      <c r="HF53" s="75"/>
      <c r="HG53" s="75"/>
      <c r="HH53" s="75"/>
      <c r="HI53" s="75"/>
      <c r="HJ53" s="75"/>
      <c r="HK53" s="75"/>
      <c r="HL53" s="75"/>
      <c r="HM53" s="75"/>
      <c r="HN53" s="75"/>
      <c r="HO53" s="75"/>
      <c r="HP53" s="75"/>
      <c r="HQ53" s="75"/>
      <c r="HR53" s="75"/>
      <c r="HS53" s="75"/>
      <c r="HT53" s="75"/>
      <c r="HU53" s="75"/>
      <c r="HV53" s="75"/>
      <c r="HW53" s="75"/>
      <c r="HX53" s="75"/>
      <c r="HY53" s="75"/>
      <c r="HZ53" s="75"/>
      <c r="IA53" s="75"/>
      <c r="IB53" s="75"/>
      <c r="IC53" s="75"/>
      <c r="ID53" s="75"/>
      <c r="IE53" s="75"/>
      <c r="IF53" s="75"/>
      <c r="IG53" s="75"/>
      <c r="IH53" s="75"/>
      <c r="II53" s="75"/>
      <c r="IJ53" s="75"/>
      <c r="IK53" s="75"/>
      <c r="IL53" s="75"/>
      <c r="IM53" s="75"/>
      <c r="IN53" s="75"/>
      <c r="IO53" s="75"/>
      <c r="IP53" s="75"/>
      <c r="IQ53" s="75"/>
      <c r="IR53" s="75"/>
      <c r="IS53" s="75"/>
      <c r="IT53" s="75"/>
      <c r="IU53" s="75"/>
      <c r="IV53" s="75"/>
      <c r="IW53" s="75"/>
      <c r="IX53" s="75"/>
    </row>
    <row r="54" spans="1:258" x14ac:dyDescent="0.3">
      <c r="A54" s="75" t="s">
        <v>514</v>
      </c>
      <c r="B54" s="75" t="s">
        <v>522</v>
      </c>
      <c r="C54" s="75"/>
      <c r="D54" s="75"/>
      <c r="E54" s="75" t="s">
        <v>516</v>
      </c>
      <c r="F54" s="75" t="s">
        <v>523</v>
      </c>
      <c r="G54" s="23" t="s">
        <v>30</v>
      </c>
      <c r="H54" s="23"/>
      <c r="I54" s="72"/>
      <c r="J54" s="26">
        <f t="shared" si="4"/>
        <v>0</v>
      </c>
      <c r="K54" s="38">
        <v>0</v>
      </c>
      <c r="L54" s="26">
        <f t="shared" si="1"/>
        <v>0</v>
      </c>
      <c r="M54" s="28">
        <f t="shared" si="5"/>
        <v>0</v>
      </c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  <c r="FU54" s="75"/>
      <c r="FV54" s="75"/>
      <c r="FW54" s="75"/>
      <c r="FX54" s="75"/>
      <c r="FY54" s="75"/>
      <c r="FZ54" s="75"/>
      <c r="GA54" s="75"/>
      <c r="GB54" s="75"/>
      <c r="GC54" s="75"/>
      <c r="GD54" s="75"/>
      <c r="GE54" s="75"/>
      <c r="GF54" s="75"/>
      <c r="GG54" s="75"/>
      <c r="GH54" s="75"/>
      <c r="GI54" s="75"/>
      <c r="GJ54" s="75"/>
      <c r="GK54" s="75"/>
      <c r="GL54" s="75"/>
      <c r="GM54" s="75"/>
      <c r="GN54" s="75"/>
      <c r="GO54" s="75"/>
      <c r="GP54" s="75"/>
      <c r="GQ54" s="75"/>
      <c r="GR54" s="75"/>
      <c r="GS54" s="75"/>
      <c r="GT54" s="75"/>
      <c r="GU54" s="75"/>
      <c r="GV54" s="75"/>
      <c r="GW54" s="75"/>
      <c r="GX54" s="75"/>
      <c r="GY54" s="75"/>
      <c r="GZ54" s="75"/>
      <c r="HA54" s="75"/>
      <c r="HB54" s="75"/>
      <c r="HC54" s="75"/>
      <c r="HD54" s="75"/>
      <c r="HE54" s="75"/>
      <c r="HF54" s="75"/>
      <c r="HG54" s="75"/>
      <c r="HH54" s="75"/>
      <c r="HI54" s="75"/>
      <c r="HJ54" s="75"/>
      <c r="HK54" s="75"/>
      <c r="HL54" s="75"/>
      <c r="HM54" s="75"/>
      <c r="HN54" s="75"/>
      <c r="HO54" s="75"/>
      <c r="HP54" s="75"/>
      <c r="HQ54" s="75"/>
      <c r="HR54" s="75"/>
      <c r="HS54" s="75"/>
      <c r="HT54" s="75"/>
      <c r="HU54" s="75"/>
      <c r="HV54" s="75"/>
      <c r="HW54" s="75"/>
      <c r="HX54" s="75"/>
      <c r="HY54" s="75"/>
      <c r="HZ54" s="75"/>
      <c r="IA54" s="75"/>
      <c r="IB54" s="75"/>
      <c r="IC54" s="75"/>
      <c r="ID54" s="75"/>
      <c r="IE54" s="75"/>
      <c r="IF54" s="75"/>
      <c r="IG54" s="75"/>
      <c r="IH54" s="75"/>
      <c r="II54" s="75"/>
      <c r="IJ54" s="75"/>
      <c r="IK54" s="75"/>
      <c r="IL54" s="75"/>
      <c r="IM54" s="75"/>
      <c r="IN54" s="75"/>
      <c r="IO54" s="75"/>
      <c r="IP54" s="75"/>
      <c r="IQ54" s="75"/>
      <c r="IR54" s="75"/>
      <c r="IS54" s="75"/>
      <c r="IT54" s="75"/>
      <c r="IU54" s="75"/>
      <c r="IV54" s="75"/>
      <c r="IW54" s="75"/>
      <c r="IX54" s="75"/>
    </row>
    <row r="55" spans="1:258" x14ac:dyDescent="0.3">
      <c r="A55" s="75" t="s">
        <v>508</v>
      </c>
      <c r="B55" s="75" t="s">
        <v>522</v>
      </c>
      <c r="C55" s="75"/>
      <c r="D55" s="75"/>
      <c r="E55" s="75" t="s">
        <v>517</v>
      </c>
      <c r="F55" s="75" t="s">
        <v>523</v>
      </c>
      <c r="G55" s="23" t="s">
        <v>30</v>
      </c>
      <c r="H55" s="23"/>
      <c r="I55" s="72"/>
      <c r="J55" s="26">
        <f t="shared" si="4"/>
        <v>0</v>
      </c>
      <c r="K55" s="38">
        <v>0</v>
      </c>
      <c r="L55" s="26">
        <f t="shared" si="1"/>
        <v>0</v>
      </c>
      <c r="M55" s="28">
        <f t="shared" si="5"/>
        <v>0</v>
      </c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5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7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  <c r="EF55" s="75"/>
      <c r="EG55" s="75"/>
      <c r="EH55" s="75"/>
      <c r="EI55" s="75"/>
      <c r="EJ55" s="75"/>
      <c r="EK55" s="75"/>
      <c r="EL55" s="75"/>
      <c r="EM55" s="75"/>
      <c r="EN55" s="75"/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75"/>
      <c r="EZ55" s="75"/>
      <c r="FA55" s="75"/>
      <c r="FB55" s="75"/>
      <c r="FC55" s="75"/>
      <c r="FD55" s="75"/>
      <c r="FE55" s="75"/>
      <c r="FF55" s="75"/>
      <c r="FG55" s="75"/>
      <c r="FH55" s="75"/>
      <c r="FI55" s="75"/>
      <c r="FJ55" s="75"/>
      <c r="FK55" s="75"/>
      <c r="FL55" s="75"/>
      <c r="FM55" s="75"/>
      <c r="FN55" s="75"/>
      <c r="FO55" s="75"/>
      <c r="FP55" s="75"/>
      <c r="FQ55" s="75"/>
      <c r="FR55" s="75"/>
      <c r="FS55" s="75"/>
      <c r="FT55" s="75"/>
      <c r="FU55" s="75"/>
      <c r="FV55" s="75"/>
      <c r="FW55" s="75"/>
      <c r="FX55" s="75"/>
      <c r="FY55" s="75"/>
      <c r="FZ55" s="75"/>
      <c r="GA55" s="75"/>
      <c r="GB55" s="75"/>
      <c r="GC55" s="75"/>
      <c r="GD55" s="75"/>
      <c r="GE55" s="75"/>
      <c r="GF55" s="75"/>
      <c r="GG55" s="75"/>
      <c r="GH55" s="75"/>
      <c r="GI55" s="75"/>
      <c r="GJ55" s="75"/>
      <c r="GK55" s="75"/>
      <c r="GL55" s="75"/>
      <c r="GM55" s="75"/>
      <c r="GN55" s="75"/>
      <c r="GO55" s="75"/>
      <c r="GP55" s="75"/>
      <c r="GQ55" s="75"/>
      <c r="GR55" s="75"/>
      <c r="GS55" s="75"/>
      <c r="GT55" s="75"/>
      <c r="GU55" s="75"/>
      <c r="GV55" s="75"/>
      <c r="GW55" s="75"/>
      <c r="GX55" s="75"/>
      <c r="GY55" s="75"/>
      <c r="GZ55" s="75"/>
      <c r="HA55" s="75"/>
      <c r="HB55" s="75"/>
      <c r="HC55" s="75"/>
      <c r="HD55" s="75"/>
      <c r="HE55" s="75"/>
      <c r="HF55" s="75"/>
      <c r="HG55" s="75"/>
      <c r="HH55" s="75"/>
      <c r="HI55" s="75"/>
      <c r="HJ55" s="75"/>
      <c r="HK55" s="75"/>
      <c r="HL55" s="75"/>
      <c r="HM55" s="75"/>
      <c r="HN55" s="75"/>
      <c r="HO55" s="75"/>
      <c r="HP55" s="75"/>
      <c r="HQ55" s="75"/>
      <c r="HR55" s="75"/>
      <c r="HS55" s="75"/>
      <c r="HT55" s="75"/>
      <c r="HU55" s="75"/>
      <c r="HV55" s="75"/>
      <c r="HW55" s="75"/>
      <c r="HX55" s="75"/>
      <c r="HY55" s="75"/>
      <c r="HZ55" s="75"/>
      <c r="IA55" s="75"/>
      <c r="IB55" s="75"/>
      <c r="IC55" s="75"/>
      <c r="ID55" s="75"/>
      <c r="IE55" s="75"/>
      <c r="IF55" s="75"/>
      <c r="IG55" s="75"/>
      <c r="IH55" s="75"/>
      <c r="II55" s="75"/>
      <c r="IJ55" s="75"/>
      <c r="IK55" s="75"/>
      <c r="IL55" s="75"/>
      <c r="IM55" s="75"/>
      <c r="IN55" s="75"/>
      <c r="IO55" s="75"/>
      <c r="IP55" s="75"/>
      <c r="IQ55" s="75"/>
      <c r="IR55" s="75"/>
      <c r="IS55" s="75"/>
      <c r="IT55" s="75"/>
      <c r="IU55" s="75"/>
      <c r="IV55" s="75"/>
      <c r="IW55" s="75"/>
      <c r="IX55" s="75"/>
    </row>
    <row r="56" spans="1:258" x14ac:dyDescent="0.3">
      <c r="A56" s="75" t="s">
        <v>506</v>
      </c>
      <c r="B56" s="75" t="s">
        <v>522</v>
      </c>
      <c r="C56" s="75"/>
      <c r="D56" s="75"/>
      <c r="E56" s="75" t="s">
        <v>518</v>
      </c>
      <c r="F56" s="75" t="s">
        <v>523</v>
      </c>
      <c r="G56" s="23" t="s">
        <v>30</v>
      </c>
      <c r="H56" s="23"/>
      <c r="I56" s="72"/>
      <c r="J56" s="26">
        <f t="shared" si="4"/>
        <v>0</v>
      </c>
      <c r="K56" s="38">
        <v>0</v>
      </c>
      <c r="L56" s="26">
        <f t="shared" si="1"/>
        <v>0</v>
      </c>
      <c r="M56" s="28">
        <f t="shared" si="5"/>
        <v>0</v>
      </c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  <c r="DD56" s="75"/>
      <c r="DE56" s="75"/>
      <c r="DF56" s="75"/>
      <c r="DG56" s="75"/>
      <c r="DH56" s="75"/>
      <c r="DI56" s="75"/>
      <c r="DJ56" s="75"/>
      <c r="DK56" s="75"/>
      <c r="DL56" s="75"/>
      <c r="DM56" s="7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/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75"/>
      <c r="EZ56" s="75"/>
      <c r="FA56" s="75"/>
      <c r="FB56" s="75"/>
      <c r="FC56" s="75"/>
      <c r="FD56" s="75"/>
      <c r="FE56" s="75"/>
      <c r="FF56" s="75"/>
      <c r="FG56" s="75"/>
      <c r="FH56" s="75"/>
      <c r="FI56" s="75"/>
      <c r="FJ56" s="75"/>
      <c r="FK56" s="75"/>
      <c r="FL56" s="75"/>
      <c r="FM56" s="75"/>
      <c r="FN56" s="75"/>
      <c r="FO56" s="75"/>
      <c r="FP56" s="75"/>
      <c r="FQ56" s="75"/>
      <c r="FR56" s="75"/>
      <c r="FS56" s="75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75"/>
      <c r="HQ56" s="75"/>
      <c r="HR56" s="75"/>
      <c r="HS56" s="75"/>
      <c r="HT56" s="75"/>
      <c r="HU56" s="75"/>
      <c r="HV56" s="75"/>
      <c r="HW56" s="75"/>
      <c r="HX56" s="75"/>
      <c r="HY56" s="75"/>
      <c r="HZ56" s="75"/>
      <c r="IA56" s="75"/>
      <c r="IB56" s="75"/>
      <c r="IC56" s="75"/>
      <c r="ID56" s="75"/>
      <c r="IE56" s="75"/>
      <c r="IF56" s="75"/>
      <c r="IG56" s="75"/>
      <c r="IH56" s="75"/>
      <c r="II56" s="75"/>
      <c r="IJ56" s="75"/>
      <c r="IK56" s="75"/>
      <c r="IL56" s="75"/>
      <c r="IM56" s="75"/>
      <c r="IN56" s="75"/>
      <c r="IO56" s="75"/>
      <c r="IP56" s="75"/>
      <c r="IQ56" s="75"/>
      <c r="IR56" s="75"/>
      <c r="IS56" s="75"/>
      <c r="IT56" s="75"/>
      <c r="IU56" s="75"/>
      <c r="IV56" s="75"/>
      <c r="IW56" s="75"/>
      <c r="IX56" s="75"/>
    </row>
    <row r="57" spans="1:258" x14ac:dyDescent="0.3">
      <c r="A57" s="75" t="s">
        <v>512</v>
      </c>
      <c r="B57" s="75" t="s">
        <v>522</v>
      </c>
      <c r="C57" s="75"/>
      <c r="D57" s="75"/>
      <c r="E57" s="75" t="s">
        <v>519</v>
      </c>
      <c r="F57" s="75" t="s">
        <v>523</v>
      </c>
      <c r="G57" s="23" t="s">
        <v>30</v>
      </c>
      <c r="H57" s="23"/>
      <c r="I57" s="72"/>
      <c r="J57" s="26">
        <f t="shared" si="4"/>
        <v>0</v>
      </c>
      <c r="K57" s="38">
        <v>0</v>
      </c>
      <c r="L57" s="26">
        <f t="shared" si="1"/>
        <v>0</v>
      </c>
      <c r="M57" s="28">
        <f t="shared" si="5"/>
        <v>0</v>
      </c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/>
      <c r="CV57" s="75"/>
      <c r="CW57" s="75"/>
      <c r="CX57" s="75"/>
      <c r="CY57" s="75"/>
      <c r="CZ57" s="75"/>
      <c r="DA57" s="75"/>
      <c r="DB57" s="75"/>
      <c r="DC57" s="75"/>
      <c r="DD57" s="75"/>
      <c r="DE57" s="75"/>
      <c r="DF57" s="75"/>
      <c r="DG57" s="75"/>
      <c r="DH57" s="75"/>
      <c r="DI57" s="75"/>
      <c r="DJ57" s="75"/>
      <c r="DK57" s="75"/>
      <c r="DL57" s="75"/>
      <c r="DM57" s="75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/>
      <c r="EG57" s="75"/>
      <c r="EH57" s="75"/>
      <c r="EI57" s="75"/>
      <c r="EJ57" s="75"/>
      <c r="EK57" s="75"/>
      <c r="EL57" s="75"/>
      <c r="EM57" s="75"/>
      <c r="EN57" s="75"/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75"/>
      <c r="EZ57" s="75"/>
      <c r="FA57" s="75"/>
      <c r="FB57" s="75"/>
      <c r="FC57" s="75"/>
      <c r="FD57" s="75"/>
      <c r="FE57" s="75"/>
      <c r="FF57" s="75"/>
      <c r="FG57" s="75"/>
      <c r="FH57" s="75"/>
      <c r="FI57" s="75"/>
      <c r="FJ57" s="75"/>
      <c r="FK57" s="75"/>
      <c r="FL57" s="75"/>
      <c r="FM57" s="75"/>
      <c r="FN57" s="75"/>
      <c r="FO57" s="75"/>
      <c r="FP57" s="75"/>
      <c r="FQ57" s="75"/>
      <c r="FR57" s="75"/>
      <c r="FS57" s="75"/>
      <c r="FT57" s="75"/>
      <c r="FU57" s="75"/>
      <c r="FV57" s="75"/>
      <c r="FW57" s="75"/>
      <c r="FX57" s="75"/>
      <c r="FY57" s="75"/>
      <c r="FZ57" s="75"/>
      <c r="GA57" s="75"/>
      <c r="GB57" s="75"/>
      <c r="GC57" s="75"/>
      <c r="GD57" s="75"/>
      <c r="GE57" s="75"/>
      <c r="GF57" s="75"/>
      <c r="GG57" s="75"/>
      <c r="GH57" s="75"/>
      <c r="GI57" s="75"/>
      <c r="GJ57" s="75"/>
      <c r="GK57" s="75"/>
      <c r="GL57" s="75"/>
      <c r="GM57" s="75"/>
      <c r="GN57" s="75"/>
      <c r="GO57" s="75"/>
      <c r="GP57" s="75"/>
      <c r="GQ57" s="75"/>
      <c r="GR57" s="75"/>
      <c r="GS57" s="75"/>
      <c r="GT57" s="75"/>
      <c r="GU57" s="75"/>
      <c r="GV57" s="75"/>
      <c r="GW57" s="75"/>
      <c r="GX57" s="75"/>
      <c r="GY57" s="75"/>
      <c r="GZ57" s="75"/>
      <c r="HA57" s="75"/>
      <c r="HB57" s="75"/>
      <c r="HC57" s="75"/>
      <c r="HD57" s="75"/>
      <c r="HE57" s="75"/>
      <c r="HF57" s="75"/>
      <c r="HG57" s="75"/>
      <c r="HH57" s="75"/>
      <c r="HI57" s="75"/>
      <c r="HJ57" s="75"/>
      <c r="HK57" s="75"/>
      <c r="HL57" s="75"/>
      <c r="HM57" s="75"/>
      <c r="HN57" s="75"/>
      <c r="HO57" s="75"/>
      <c r="HP57" s="75"/>
      <c r="HQ57" s="75"/>
      <c r="HR57" s="75"/>
      <c r="HS57" s="75"/>
      <c r="HT57" s="75"/>
      <c r="HU57" s="75"/>
      <c r="HV57" s="75"/>
      <c r="HW57" s="75"/>
      <c r="HX57" s="75"/>
      <c r="HY57" s="75"/>
      <c r="HZ57" s="75"/>
      <c r="IA57" s="75"/>
      <c r="IB57" s="75"/>
      <c r="IC57" s="75"/>
      <c r="ID57" s="75"/>
      <c r="IE57" s="75"/>
      <c r="IF57" s="75"/>
      <c r="IG57" s="75"/>
      <c r="IH57" s="75"/>
      <c r="II57" s="75"/>
      <c r="IJ57" s="75"/>
      <c r="IK57" s="75"/>
      <c r="IL57" s="75"/>
      <c r="IM57" s="75"/>
      <c r="IN57" s="75"/>
      <c r="IO57" s="75"/>
      <c r="IP57" s="75"/>
      <c r="IQ57" s="75"/>
      <c r="IR57" s="75"/>
      <c r="IS57" s="75"/>
      <c r="IT57" s="75"/>
      <c r="IU57" s="75"/>
      <c r="IV57" s="75"/>
      <c r="IW57" s="75"/>
      <c r="IX57" s="75"/>
    </row>
    <row r="58" spans="1:258" x14ac:dyDescent="0.3">
      <c r="A58" s="75" t="s">
        <v>510</v>
      </c>
      <c r="B58" s="75" t="s">
        <v>522</v>
      </c>
      <c r="C58" s="75"/>
      <c r="D58" s="75"/>
      <c r="E58" s="75" t="s">
        <v>520</v>
      </c>
      <c r="F58" s="75" t="s">
        <v>523</v>
      </c>
      <c r="G58" s="23" t="s">
        <v>30</v>
      </c>
      <c r="H58" s="23"/>
      <c r="I58" s="72"/>
      <c r="J58" s="26">
        <f t="shared" si="4"/>
        <v>0</v>
      </c>
      <c r="K58" s="38">
        <v>0</v>
      </c>
      <c r="L58" s="26">
        <f t="shared" si="1"/>
        <v>0</v>
      </c>
      <c r="M58" s="28">
        <f t="shared" si="5"/>
        <v>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  <c r="DD58" s="75"/>
      <c r="DE58" s="75"/>
      <c r="DF58" s="75"/>
      <c r="DG58" s="75"/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/>
      <c r="EI58" s="75"/>
      <c r="EJ58" s="75"/>
      <c r="EK58" s="75"/>
      <c r="EL58" s="75"/>
      <c r="EM58" s="75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75"/>
      <c r="HQ58" s="75"/>
      <c r="HR58" s="75"/>
      <c r="HS58" s="75"/>
      <c r="HT58" s="75"/>
      <c r="HU58" s="75"/>
      <c r="HV58" s="75"/>
      <c r="HW58" s="75"/>
      <c r="HX58" s="75"/>
      <c r="HY58" s="75"/>
      <c r="HZ58" s="75"/>
      <c r="IA58" s="75"/>
      <c r="IB58" s="75"/>
      <c r="IC58" s="75"/>
      <c r="ID58" s="75"/>
      <c r="IE58" s="75"/>
      <c r="IF58" s="75"/>
      <c r="IG58" s="75"/>
      <c r="IH58" s="75"/>
      <c r="II58" s="75"/>
      <c r="IJ58" s="75"/>
      <c r="IK58" s="75"/>
      <c r="IL58" s="75"/>
      <c r="IM58" s="75"/>
      <c r="IN58" s="75"/>
      <c r="IO58" s="75"/>
      <c r="IP58" s="75"/>
      <c r="IQ58" s="75"/>
      <c r="IR58" s="75"/>
      <c r="IS58" s="75"/>
      <c r="IT58" s="75"/>
      <c r="IU58" s="75"/>
      <c r="IV58" s="75"/>
      <c r="IW58" s="75"/>
      <c r="IX58" s="75"/>
    </row>
  </sheetData>
  <conditionalFormatting sqref="H2:H58">
    <cfRule type="expression" dxfId="826" priority="2">
      <formula>G2="EXPIRED"</formula>
    </cfRule>
    <cfRule type="expression" dxfId="825" priority="4">
      <formula>G2="OUT OF STOCK"</formula>
    </cfRule>
    <cfRule type="expression" dxfId="824" priority="6">
      <formula>G2="NEW DELIVERY"</formula>
    </cfRule>
    <cfRule type="expression" dxfId="823" priority="8">
      <formula>G2="MIDDLE EXP"</formula>
    </cfRule>
    <cfRule type="expression" dxfId="822" priority="10">
      <formula>G2="FAR EXP"</formula>
    </cfRule>
  </conditionalFormatting>
  <conditionalFormatting sqref="I2:I58">
    <cfRule type="expression" dxfId="821" priority="1">
      <formula>G2="EXPIRED"</formula>
    </cfRule>
    <cfRule type="expression" dxfId="820" priority="3">
      <formula>G2="OUT OF STOCK"</formula>
    </cfRule>
    <cfRule type="expression" dxfId="819" priority="5">
      <formula>G2="NEW DELIVERY"</formula>
    </cfRule>
    <cfRule type="expression" dxfId="818" priority="7">
      <formula>G2="MIDDLE EXP"</formula>
    </cfRule>
    <cfRule type="expression" dxfId="817" priority="9">
      <formula>G2="FAR EXP"</formula>
    </cfRule>
  </conditionalFormatting>
  <conditionalFormatting sqref="J2:J58">
    <cfRule type="cellIs" dxfId="816" priority="22" operator="between">
      <formula>1</formula>
      <formula>100</formula>
    </cfRule>
    <cfRule type="cellIs" dxfId="815" priority="23" operator="equal">
      <formula>0</formula>
    </cfRule>
  </conditionalFormatting>
  <conditionalFormatting sqref="K46:K47">
    <cfRule type="expression" dxfId="814" priority="24">
      <formula>H46="FAR EXP"</formula>
    </cfRule>
    <cfRule type="expression" dxfId="813" priority="25">
      <formula>H46="MIDDLE EXP"</formula>
    </cfRule>
    <cfRule type="expression" dxfId="812" priority="26">
      <formula>H46="EXPIRED"</formula>
    </cfRule>
    <cfRule type="expression" dxfId="811" priority="27">
      <formula>H46="OUT OF STOCK"</formula>
    </cfRule>
    <cfRule type="expression" dxfId="810" priority="28">
      <formula>H46="NEW DELIVERY"</formula>
    </cfRule>
  </conditionalFormatting>
  <conditionalFormatting sqref="M2:M58">
    <cfRule type="cellIs" dxfId="809" priority="21" operator="notEqual">
      <formula>"B"</formula>
    </cfRule>
  </conditionalFormatting>
  <pageMargins left="0.25" right="0.25" top="0.75" bottom="0.75" header="0.3" footer="0.3"/>
  <pageSetup paperSize="9" scale="60" fitToWidth="0" orientation="landscape" verticalDpi="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4A0EB4-EED9-4C38-94A0-12FE36125E81}">
          <x14:formula1>
            <xm:f>DDL!$A$2:$A$8</xm:f>
          </x14:formula1>
          <xm:sqref>G1:G58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7871-7933-4C47-A1E3-D1903045F5EC}">
  <sheetPr codeName="Sheet3">
    <pageSetUpPr fitToPage="1"/>
  </sheetPr>
  <dimension ref="A1:IY149"/>
  <sheetViews>
    <sheetView zoomScale="80" zoomScaleNormal="80" workbookViewId="0">
      <pane xSplit="14" ySplit="1" topLeftCell="O2" activePane="bottomRight" state="frozen"/>
      <selection pane="topRight" activeCell="O1" sqref="O1"/>
      <selection pane="bottomLeft" activeCell="A2" sqref="A2"/>
      <selection pane="bottomRight" activeCell="I16" sqref="I16"/>
    </sheetView>
  </sheetViews>
  <sheetFormatPr defaultColWidth="9.109375" defaultRowHeight="13.8" x14ac:dyDescent="0.3"/>
  <cols>
    <col min="1" max="1" width="18.6640625" style="79" customWidth="1"/>
    <col min="2" max="2" width="28.33203125" style="79" hidden="1" customWidth="1"/>
    <col min="3" max="3" width="7.33203125" style="79" hidden="1" customWidth="1"/>
    <col min="4" max="4" width="12.44140625" style="79" hidden="1" customWidth="1"/>
    <col min="5" max="5" width="31.6640625" style="80" customWidth="1"/>
    <col min="6" max="6" width="13" style="79" customWidth="1"/>
    <col min="7" max="7" width="27.44140625" style="79" customWidth="1"/>
    <col min="8" max="8" width="17.5546875" style="80" customWidth="1"/>
    <col min="9" max="9" width="90.21875" style="80" bestFit="1" customWidth="1"/>
    <col min="10" max="10" width="18.33203125" style="82" hidden="1" customWidth="1"/>
    <col min="11" max="11" width="10.5546875" style="81" bestFit="1" customWidth="1"/>
    <col min="12" max="12" width="11.77734375" style="81" bestFit="1" customWidth="1"/>
    <col min="13" max="13" width="6.88671875" style="81" bestFit="1" customWidth="1"/>
    <col min="14" max="14" width="8.5546875" style="81" bestFit="1" customWidth="1"/>
    <col min="15" max="16" width="12.21875" style="81" bestFit="1" customWidth="1"/>
    <col min="17" max="18" width="12.21875" style="79" bestFit="1" customWidth="1"/>
    <col min="19" max="20" width="12.21875" style="81" bestFit="1" customWidth="1"/>
    <col min="21" max="22" width="12.21875" style="79" bestFit="1" customWidth="1"/>
    <col min="23" max="23" width="12.21875" style="21" bestFit="1" customWidth="1"/>
    <col min="24" max="27" width="12.21875" style="81" bestFit="1" customWidth="1"/>
    <col min="28" max="28" width="12.21875" style="79" bestFit="1" customWidth="1"/>
    <col min="29" max="33" width="12.21875" style="81" bestFit="1" customWidth="1"/>
    <col min="34" max="35" width="12.21875" style="79" bestFit="1" customWidth="1"/>
    <col min="36" max="44" width="12.21875" style="81" bestFit="1" customWidth="1"/>
    <col min="45" max="45" width="12.21875" style="79" bestFit="1" customWidth="1"/>
    <col min="46" max="46" width="11.5546875" style="79" bestFit="1" customWidth="1"/>
    <col min="47" max="47" width="11.5546875" style="17" bestFit="1" customWidth="1"/>
    <col min="48" max="75" width="11.5546875" style="79" bestFit="1" customWidth="1"/>
    <col min="76" max="106" width="11" style="79" bestFit="1" customWidth="1"/>
    <col min="107" max="137" width="11.88671875" style="79" bestFit="1" customWidth="1"/>
    <col min="138" max="167" width="11.77734375" style="79" bestFit="1" customWidth="1"/>
    <col min="168" max="198" width="11.6640625" style="79" bestFit="1" customWidth="1"/>
    <col min="199" max="228" width="12.109375" style="79" bestFit="1" customWidth="1"/>
    <col min="229" max="259" width="11.77734375" style="79" bestFit="1" customWidth="1"/>
    <col min="260" max="16384" width="9.109375" style="79"/>
  </cols>
  <sheetData>
    <row r="1" spans="1:259" s="86" customFormat="1" x14ac:dyDescent="0.3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333</v>
      </c>
      <c r="I1" s="83" t="s">
        <v>307</v>
      </c>
      <c r="J1" s="84" t="s">
        <v>290</v>
      </c>
      <c r="K1" s="83" t="s">
        <v>288</v>
      </c>
      <c r="L1" s="83" t="s">
        <v>539</v>
      </c>
      <c r="M1" s="83" t="s">
        <v>10</v>
      </c>
      <c r="N1" s="83" t="s">
        <v>11</v>
      </c>
      <c r="O1" s="85" t="s">
        <v>545</v>
      </c>
      <c r="P1" s="85" t="s">
        <v>546</v>
      </c>
      <c r="Q1" s="85" t="s">
        <v>547</v>
      </c>
      <c r="R1" s="85" t="s">
        <v>548</v>
      </c>
      <c r="S1" s="85" t="s">
        <v>549</v>
      </c>
      <c r="T1" s="85" t="s">
        <v>550</v>
      </c>
      <c r="U1" s="85" t="s">
        <v>551</v>
      </c>
      <c r="V1" s="85" t="s">
        <v>552</v>
      </c>
      <c r="W1" s="85" t="s">
        <v>553</v>
      </c>
      <c r="X1" s="85" t="s">
        <v>554</v>
      </c>
      <c r="Y1" s="85" t="s">
        <v>555</v>
      </c>
      <c r="Z1" s="85" t="s">
        <v>556</v>
      </c>
      <c r="AA1" s="85" t="s">
        <v>557</v>
      </c>
      <c r="AB1" s="85" t="s">
        <v>558</v>
      </c>
      <c r="AC1" s="85" t="s">
        <v>559</v>
      </c>
      <c r="AD1" s="85" t="s">
        <v>560</v>
      </c>
      <c r="AE1" s="85" t="s">
        <v>561</v>
      </c>
      <c r="AF1" s="85" t="s">
        <v>562</v>
      </c>
      <c r="AG1" s="85" t="s">
        <v>563</v>
      </c>
      <c r="AH1" s="85" t="s">
        <v>564</v>
      </c>
      <c r="AI1" s="85" t="s">
        <v>565</v>
      </c>
      <c r="AJ1" s="85" t="s">
        <v>566</v>
      </c>
      <c r="AK1" s="85" t="s">
        <v>567</v>
      </c>
      <c r="AL1" s="85" t="s">
        <v>568</v>
      </c>
      <c r="AM1" s="85" t="s">
        <v>569</v>
      </c>
      <c r="AN1" s="85" t="s">
        <v>570</v>
      </c>
      <c r="AO1" s="85" t="s">
        <v>571</v>
      </c>
      <c r="AP1" s="85" t="s">
        <v>572</v>
      </c>
      <c r="AQ1" s="85" t="s">
        <v>573</v>
      </c>
      <c r="AR1" s="85" t="s">
        <v>574</v>
      </c>
      <c r="AS1" s="85" t="s">
        <v>575</v>
      </c>
      <c r="AT1" s="85" t="s">
        <v>576</v>
      </c>
      <c r="AU1" s="85" t="s">
        <v>577</v>
      </c>
      <c r="AV1" s="85" t="s">
        <v>578</v>
      </c>
      <c r="AW1" s="85" t="s">
        <v>579</v>
      </c>
      <c r="AX1" s="85" t="s">
        <v>580</v>
      </c>
      <c r="AY1" s="85" t="s">
        <v>581</v>
      </c>
      <c r="AZ1" s="85" t="s">
        <v>582</v>
      </c>
      <c r="BA1" s="85" t="s">
        <v>583</v>
      </c>
      <c r="BB1" s="85" t="s">
        <v>584</v>
      </c>
      <c r="BC1" s="85" t="s">
        <v>585</v>
      </c>
      <c r="BD1" s="85" t="s">
        <v>586</v>
      </c>
      <c r="BE1" s="85" t="s">
        <v>587</v>
      </c>
      <c r="BF1" s="85" t="s">
        <v>588</v>
      </c>
      <c r="BG1" s="85" t="s">
        <v>589</v>
      </c>
      <c r="BH1" s="85" t="s">
        <v>590</v>
      </c>
      <c r="BI1" s="85" t="s">
        <v>591</v>
      </c>
      <c r="BJ1" s="85" t="s">
        <v>592</v>
      </c>
      <c r="BK1" s="85" t="s">
        <v>593</v>
      </c>
      <c r="BL1" s="85" t="s">
        <v>594</v>
      </c>
      <c r="BM1" s="85" t="s">
        <v>595</v>
      </c>
      <c r="BN1" s="85" t="s">
        <v>596</v>
      </c>
      <c r="BO1" s="85" t="s">
        <v>597</v>
      </c>
      <c r="BP1" s="85" t="s">
        <v>598</v>
      </c>
      <c r="BQ1" s="85" t="s">
        <v>599</v>
      </c>
      <c r="BR1" s="85" t="s">
        <v>600</v>
      </c>
      <c r="BS1" s="85" t="s">
        <v>601</v>
      </c>
      <c r="BT1" s="85" t="s">
        <v>602</v>
      </c>
      <c r="BU1" s="85" t="s">
        <v>603</v>
      </c>
      <c r="BV1" s="85" t="s">
        <v>604</v>
      </c>
      <c r="BW1" s="85" t="s">
        <v>605</v>
      </c>
      <c r="BX1" s="85" t="s">
        <v>606</v>
      </c>
      <c r="BY1" s="85" t="s">
        <v>607</v>
      </c>
      <c r="BZ1" s="85" t="s">
        <v>608</v>
      </c>
      <c r="CA1" s="85" t="s">
        <v>609</v>
      </c>
      <c r="CB1" s="85" t="s">
        <v>610</v>
      </c>
      <c r="CC1" s="85" t="s">
        <v>611</v>
      </c>
      <c r="CD1" s="85" t="s">
        <v>612</v>
      </c>
      <c r="CE1" s="85" t="s">
        <v>613</v>
      </c>
      <c r="CF1" s="85" t="s">
        <v>614</v>
      </c>
      <c r="CG1" s="85" t="s">
        <v>615</v>
      </c>
      <c r="CH1" s="85" t="s">
        <v>616</v>
      </c>
      <c r="CI1" s="85" t="s">
        <v>617</v>
      </c>
      <c r="CJ1" s="85" t="s">
        <v>618</v>
      </c>
      <c r="CK1" s="85" t="s">
        <v>619</v>
      </c>
      <c r="CL1" s="85" t="s">
        <v>620</v>
      </c>
      <c r="CM1" s="85" t="s">
        <v>621</v>
      </c>
      <c r="CN1" s="85" t="s">
        <v>622</v>
      </c>
      <c r="CO1" s="85" t="s">
        <v>623</v>
      </c>
      <c r="CP1" s="85" t="s">
        <v>624</v>
      </c>
      <c r="CQ1" s="85" t="s">
        <v>625</v>
      </c>
      <c r="CR1" s="85" t="s">
        <v>626</v>
      </c>
      <c r="CS1" s="85" t="s">
        <v>627</v>
      </c>
      <c r="CT1" s="85" t="s">
        <v>628</v>
      </c>
      <c r="CU1" s="85" t="s">
        <v>629</v>
      </c>
      <c r="CV1" s="85" t="s">
        <v>630</v>
      </c>
      <c r="CW1" s="85" t="s">
        <v>631</v>
      </c>
      <c r="CX1" s="85" t="s">
        <v>632</v>
      </c>
      <c r="CY1" s="85" t="s">
        <v>633</v>
      </c>
      <c r="CZ1" s="85" t="s">
        <v>634</v>
      </c>
      <c r="DA1" s="85" t="s">
        <v>635</v>
      </c>
      <c r="DB1" s="85" t="s">
        <v>636</v>
      </c>
      <c r="DC1" s="85" t="s">
        <v>637</v>
      </c>
      <c r="DD1" s="85" t="s">
        <v>638</v>
      </c>
      <c r="DE1" s="85" t="s">
        <v>639</v>
      </c>
      <c r="DF1" s="85" t="s">
        <v>640</v>
      </c>
      <c r="DG1" s="85" t="s">
        <v>641</v>
      </c>
      <c r="DH1" s="85" t="s">
        <v>642</v>
      </c>
      <c r="DI1" s="85" t="s">
        <v>643</v>
      </c>
      <c r="DJ1" s="85" t="s">
        <v>644</v>
      </c>
      <c r="DK1" s="85" t="s">
        <v>645</v>
      </c>
      <c r="DL1" s="85" t="s">
        <v>646</v>
      </c>
      <c r="DM1" s="85" t="s">
        <v>647</v>
      </c>
      <c r="DN1" s="85" t="s">
        <v>648</v>
      </c>
      <c r="DO1" s="85" t="s">
        <v>649</v>
      </c>
      <c r="DP1" s="85" t="s">
        <v>650</v>
      </c>
      <c r="DQ1" s="85" t="s">
        <v>651</v>
      </c>
      <c r="DR1" s="85" t="s">
        <v>652</v>
      </c>
      <c r="DS1" s="85" t="s">
        <v>653</v>
      </c>
      <c r="DT1" s="85" t="s">
        <v>654</v>
      </c>
      <c r="DU1" s="85" t="s">
        <v>655</v>
      </c>
      <c r="DV1" s="85" t="s">
        <v>656</v>
      </c>
      <c r="DW1" s="85" t="s">
        <v>657</v>
      </c>
      <c r="DX1" s="85" t="s">
        <v>658</v>
      </c>
      <c r="DY1" s="85" t="s">
        <v>659</v>
      </c>
      <c r="DZ1" s="85" t="s">
        <v>660</v>
      </c>
      <c r="EA1" s="85" t="s">
        <v>661</v>
      </c>
      <c r="EB1" s="85" t="s">
        <v>662</v>
      </c>
      <c r="EC1" s="85" t="s">
        <v>663</v>
      </c>
      <c r="ED1" s="85" t="s">
        <v>664</v>
      </c>
      <c r="EE1" s="85" t="s">
        <v>665</v>
      </c>
      <c r="EF1" s="85" t="s">
        <v>666</v>
      </c>
      <c r="EG1" s="85" t="s">
        <v>667</v>
      </c>
      <c r="EH1" s="85" t="s">
        <v>668</v>
      </c>
      <c r="EI1" s="85" t="s">
        <v>669</v>
      </c>
      <c r="EJ1" s="85" t="s">
        <v>670</v>
      </c>
      <c r="EK1" s="85" t="s">
        <v>671</v>
      </c>
      <c r="EL1" s="85" t="s">
        <v>672</v>
      </c>
      <c r="EM1" s="85" t="s">
        <v>673</v>
      </c>
      <c r="EN1" s="85" t="s">
        <v>674</v>
      </c>
      <c r="EO1" s="85" t="s">
        <v>675</v>
      </c>
      <c r="EP1" s="85" t="s">
        <v>676</v>
      </c>
      <c r="EQ1" s="85" t="s">
        <v>677</v>
      </c>
      <c r="ER1" s="85" t="s">
        <v>678</v>
      </c>
      <c r="ES1" s="85" t="s">
        <v>679</v>
      </c>
      <c r="ET1" s="85" t="s">
        <v>680</v>
      </c>
      <c r="EU1" s="85" t="s">
        <v>681</v>
      </c>
      <c r="EV1" s="85" t="s">
        <v>682</v>
      </c>
      <c r="EW1" s="85" t="s">
        <v>683</v>
      </c>
      <c r="EX1" s="85" t="s">
        <v>684</v>
      </c>
      <c r="EY1" s="85" t="s">
        <v>685</v>
      </c>
      <c r="EZ1" s="85" t="s">
        <v>686</v>
      </c>
      <c r="FA1" s="85" t="s">
        <v>687</v>
      </c>
      <c r="FB1" s="85" t="s">
        <v>688</v>
      </c>
      <c r="FC1" s="85" t="s">
        <v>689</v>
      </c>
      <c r="FD1" s="85" t="s">
        <v>690</v>
      </c>
      <c r="FE1" s="85" t="s">
        <v>691</v>
      </c>
      <c r="FF1" s="85" t="s">
        <v>692</v>
      </c>
      <c r="FG1" s="85" t="s">
        <v>693</v>
      </c>
      <c r="FH1" s="85" t="s">
        <v>694</v>
      </c>
      <c r="FI1" s="85" t="s">
        <v>695</v>
      </c>
      <c r="FJ1" s="85" t="s">
        <v>696</v>
      </c>
      <c r="FK1" s="85" t="s">
        <v>697</v>
      </c>
      <c r="FL1" s="85" t="s">
        <v>698</v>
      </c>
      <c r="FM1" s="85" t="s">
        <v>699</v>
      </c>
      <c r="FN1" s="85" t="s">
        <v>700</v>
      </c>
      <c r="FO1" s="85" t="s">
        <v>701</v>
      </c>
      <c r="FP1" s="85" t="s">
        <v>702</v>
      </c>
      <c r="FQ1" s="85" t="s">
        <v>703</v>
      </c>
      <c r="FR1" s="85" t="s">
        <v>704</v>
      </c>
      <c r="FS1" s="85" t="s">
        <v>705</v>
      </c>
      <c r="FT1" s="85" t="s">
        <v>706</v>
      </c>
      <c r="FU1" s="85" t="s">
        <v>707</v>
      </c>
      <c r="FV1" s="85" t="s">
        <v>708</v>
      </c>
      <c r="FW1" s="85" t="s">
        <v>709</v>
      </c>
      <c r="FX1" s="85" t="s">
        <v>710</v>
      </c>
      <c r="FY1" s="85" t="s">
        <v>711</v>
      </c>
      <c r="FZ1" s="85" t="s">
        <v>712</v>
      </c>
      <c r="GA1" s="85" t="s">
        <v>713</v>
      </c>
      <c r="GB1" s="85" t="s">
        <v>714</v>
      </c>
      <c r="GC1" s="85" t="s">
        <v>715</v>
      </c>
      <c r="GD1" s="85" t="s">
        <v>716</v>
      </c>
      <c r="GE1" s="85" t="s">
        <v>717</v>
      </c>
      <c r="GF1" s="85" t="s">
        <v>718</v>
      </c>
      <c r="GG1" s="85" t="s">
        <v>719</v>
      </c>
      <c r="GH1" s="85" t="s">
        <v>720</v>
      </c>
      <c r="GI1" s="85" t="s">
        <v>721</v>
      </c>
      <c r="GJ1" s="85" t="s">
        <v>722</v>
      </c>
      <c r="GK1" s="85" t="s">
        <v>723</v>
      </c>
      <c r="GL1" s="85" t="s">
        <v>724</v>
      </c>
      <c r="GM1" s="85" t="s">
        <v>725</v>
      </c>
      <c r="GN1" s="85" t="s">
        <v>726</v>
      </c>
      <c r="GO1" s="85" t="s">
        <v>727</v>
      </c>
      <c r="GP1" s="85" t="s">
        <v>728</v>
      </c>
      <c r="GQ1" s="85" t="s">
        <v>729</v>
      </c>
      <c r="GR1" s="85" t="s">
        <v>730</v>
      </c>
      <c r="GS1" s="85" t="s">
        <v>731</v>
      </c>
      <c r="GT1" s="85" t="s">
        <v>732</v>
      </c>
      <c r="GU1" s="85" t="s">
        <v>733</v>
      </c>
      <c r="GV1" s="85" t="s">
        <v>734</v>
      </c>
      <c r="GW1" s="85" t="s">
        <v>735</v>
      </c>
      <c r="GX1" s="85" t="s">
        <v>736</v>
      </c>
      <c r="GY1" s="85" t="s">
        <v>737</v>
      </c>
      <c r="GZ1" s="85" t="s">
        <v>738</v>
      </c>
      <c r="HA1" s="85" t="s">
        <v>739</v>
      </c>
      <c r="HB1" s="85" t="s">
        <v>740</v>
      </c>
      <c r="HC1" s="85" t="s">
        <v>741</v>
      </c>
      <c r="HD1" s="85" t="s">
        <v>742</v>
      </c>
      <c r="HE1" s="85" t="s">
        <v>743</v>
      </c>
      <c r="HF1" s="85" t="s">
        <v>744</v>
      </c>
      <c r="HG1" s="85" t="s">
        <v>745</v>
      </c>
      <c r="HH1" s="85" t="s">
        <v>746</v>
      </c>
      <c r="HI1" s="85" t="s">
        <v>747</v>
      </c>
      <c r="HJ1" s="85" t="s">
        <v>748</v>
      </c>
      <c r="HK1" s="85" t="s">
        <v>749</v>
      </c>
      <c r="HL1" s="85" t="s">
        <v>750</v>
      </c>
      <c r="HM1" s="85" t="s">
        <v>751</v>
      </c>
      <c r="HN1" s="85" t="s">
        <v>752</v>
      </c>
      <c r="HO1" s="85" t="s">
        <v>753</v>
      </c>
      <c r="HP1" s="85" t="s">
        <v>754</v>
      </c>
      <c r="HQ1" s="85" t="s">
        <v>755</v>
      </c>
      <c r="HR1" s="85" t="s">
        <v>756</v>
      </c>
      <c r="HS1" s="85" t="s">
        <v>757</v>
      </c>
      <c r="HT1" s="85" t="s">
        <v>758</v>
      </c>
      <c r="HU1" s="85" t="s">
        <v>759</v>
      </c>
      <c r="HV1" s="85" t="s">
        <v>760</v>
      </c>
      <c r="HW1" s="85" t="s">
        <v>761</v>
      </c>
      <c r="HX1" s="85" t="s">
        <v>762</v>
      </c>
      <c r="HY1" s="85" t="s">
        <v>763</v>
      </c>
      <c r="HZ1" s="85" t="s">
        <v>764</v>
      </c>
      <c r="IA1" s="85" t="s">
        <v>765</v>
      </c>
      <c r="IB1" s="85" t="s">
        <v>766</v>
      </c>
      <c r="IC1" s="85" t="s">
        <v>767</v>
      </c>
      <c r="ID1" s="85" t="s">
        <v>768</v>
      </c>
      <c r="IE1" s="85" t="s">
        <v>769</v>
      </c>
      <c r="IF1" s="85" t="s">
        <v>770</v>
      </c>
      <c r="IG1" s="85" t="s">
        <v>771</v>
      </c>
      <c r="IH1" s="85" t="s">
        <v>772</v>
      </c>
      <c r="II1" s="85" t="s">
        <v>773</v>
      </c>
      <c r="IJ1" s="85" t="s">
        <v>774</v>
      </c>
      <c r="IK1" s="85" t="s">
        <v>775</v>
      </c>
      <c r="IL1" s="85" t="s">
        <v>776</v>
      </c>
      <c r="IM1" s="85" t="s">
        <v>777</v>
      </c>
      <c r="IN1" s="85" t="s">
        <v>778</v>
      </c>
      <c r="IO1" s="85" t="s">
        <v>779</v>
      </c>
      <c r="IP1" s="85" t="s">
        <v>780</v>
      </c>
      <c r="IQ1" s="85" t="s">
        <v>781</v>
      </c>
      <c r="IR1" s="85" t="s">
        <v>782</v>
      </c>
      <c r="IS1" s="85" t="s">
        <v>783</v>
      </c>
      <c r="IT1" s="85" t="s">
        <v>784</v>
      </c>
      <c r="IU1" s="85" t="s">
        <v>785</v>
      </c>
      <c r="IV1" s="85" t="s">
        <v>786</v>
      </c>
      <c r="IW1" s="85" t="s">
        <v>787</v>
      </c>
      <c r="IX1" s="85" t="s">
        <v>788</v>
      </c>
      <c r="IY1" s="85" t="s">
        <v>789</v>
      </c>
    </row>
    <row r="2" spans="1:259" x14ac:dyDescent="0.3">
      <c r="A2" s="2" t="s">
        <v>205</v>
      </c>
      <c r="B2" s="2"/>
      <c r="C2" s="2"/>
      <c r="D2" s="2"/>
      <c r="E2" s="2" t="s">
        <v>303</v>
      </c>
      <c r="F2" s="2" t="s">
        <v>17</v>
      </c>
      <c r="G2" s="2" t="s">
        <v>336</v>
      </c>
      <c r="H2" s="2" t="s">
        <v>304</v>
      </c>
      <c r="I2" s="2" t="s">
        <v>337</v>
      </c>
      <c r="J2" s="87"/>
      <c r="K2" s="88">
        <f t="shared" ref="K2:K139" si="0">L2-M2</f>
        <v>1</v>
      </c>
      <c r="L2" s="89">
        <v>1</v>
      </c>
      <c r="M2" s="88">
        <f>SUM(O2:IY2)</f>
        <v>0</v>
      </c>
      <c r="N2" s="88">
        <f>K2</f>
        <v>1</v>
      </c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1"/>
      <c r="AU2" s="30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2"/>
      <c r="IG2" s="92"/>
      <c r="IH2" s="92"/>
      <c r="II2" s="92"/>
      <c r="IJ2" s="92"/>
      <c r="IK2" s="92"/>
      <c r="IL2" s="92"/>
      <c r="IM2" s="92"/>
      <c r="IN2" s="92"/>
      <c r="IO2" s="92"/>
      <c r="IP2" s="92"/>
      <c r="IQ2" s="92"/>
      <c r="IR2" s="92"/>
      <c r="IS2" s="92"/>
      <c r="IT2" s="92"/>
      <c r="IU2" s="92"/>
      <c r="IV2" s="92"/>
      <c r="IW2" s="92"/>
      <c r="IX2" s="92"/>
      <c r="IY2" s="92"/>
    </row>
    <row r="3" spans="1:259" x14ac:dyDescent="0.3">
      <c r="A3" s="2" t="s">
        <v>205</v>
      </c>
      <c r="B3" s="2"/>
      <c r="C3" s="2"/>
      <c r="D3" s="2"/>
      <c r="E3" s="2" t="s">
        <v>303</v>
      </c>
      <c r="F3" s="2" t="s">
        <v>17</v>
      </c>
      <c r="G3" s="2" t="s">
        <v>336</v>
      </c>
      <c r="H3" s="2" t="s">
        <v>305</v>
      </c>
      <c r="I3" s="2" t="s">
        <v>338</v>
      </c>
      <c r="J3" s="87"/>
      <c r="K3" s="88">
        <f>L3-M3</f>
        <v>1</v>
      </c>
      <c r="L3" s="89">
        <v>1</v>
      </c>
      <c r="M3" s="88">
        <f t="shared" ref="M3:M66" si="1">SUM(O3:IY3)</f>
        <v>0</v>
      </c>
      <c r="N3" s="88">
        <f t="shared" ref="N3:N140" si="2">K3</f>
        <v>1</v>
      </c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30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2"/>
      <c r="EH3" s="92"/>
      <c r="EI3" s="92"/>
      <c r="EJ3" s="92"/>
      <c r="EK3" s="92"/>
      <c r="EL3" s="92"/>
      <c r="EM3" s="92"/>
      <c r="EN3" s="92"/>
      <c r="EO3" s="92"/>
      <c r="EP3" s="92"/>
      <c r="EQ3" s="92"/>
      <c r="ER3" s="92"/>
      <c r="ES3" s="92"/>
      <c r="ET3" s="92"/>
      <c r="EU3" s="92"/>
      <c r="EV3" s="92"/>
      <c r="EW3" s="92"/>
      <c r="EX3" s="92"/>
      <c r="EY3" s="92"/>
      <c r="EZ3" s="92"/>
      <c r="FA3" s="92"/>
      <c r="FB3" s="92"/>
      <c r="FC3" s="92"/>
      <c r="FD3" s="92"/>
      <c r="FE3" s="92"/>
      <c r="FF3" s="92"/>
      <c r="FG3" s="92"/>
      <c r="FH3" s="92"/>
      <c r="FI3" s="92"/>
      <c r="FJ3" s="92"/>
      <c r="FK3" s="92"/>
      <c r="FL3" s="92"/>
      <c r="FM3" s="92"/>
      <c r="FN3" s="92"/>
      <c r="FO3" s="92"/>
      <c r="FP3" s="92"/>
      <c r="FQ3" s="92"/>
      <c r="FR3" s="92"/>
      <c r="FS3" s="92"/>
      <c r="FT3" s="92"/>
      <c r="FU3" s="92"/>
      <c r="FV3" s="92"/>
      <c r="FW3" s="92"/>
      <c r="FX3" s="92"/>
      <c r="FY3" s="92"/>
      <c r="FZ3" s="92"/>
      <c r="GA3" s="92"/>
      <c r="GB3" s="92"/>
      <c r="GC3" s="92"/>
      <c r="GD3" s="92"/>
      <c r="GE3" s="92"/>
      <c r="GF3" s="92"/>
      <c r="GG3" s="92"/>
      <c r="GH3" s="92"/>
      <c r="GI3" s="92"/>
      <c r="GJ3" s="92"/>
      <c r="GK3" s="92"/>
      <c r="GL3" s="92"/>
      <c r="GM3" s="92"/>
      <c r="GN3" s="92"/>
      <c r="GO3" s="92"/>
      <c r="GP3" s="92"/>
      <c r="GQ3" s="92"/>
      <c r="GR3" s="92"/>
      <c r="GS3" s="92"/>
      <c r="GT3" s="92"/>
      <c r="GU3" s="92"/>
      <c r="GV3" s="92"/>
      <c r="GW3" s="92"/>
      <c r="GX3" s="92"/>
      <c r="GY3" s="92"/>
      <c r="GZ3" s="92"/>
      <c r="HA3" s="92"/>
      <c r="HB3" s="92"/>
      <c r="HC3" s="92"/>
      <c r="HD3" s="92"/>
      <c r="HE3" s="92"/>
      <c r="HF3" s="92"/>
      <c r="HG3" s="92"/>
      <c r="HH3" s="92"/>
      <c r="HI3" s="92"/>
      <c r="HJ3" s="92"/>
      <c r="HK3" s="92"/>
      <c r="HL3" s="92"/>
      <c r="HM3" s="92"/>
      <c r="HN3" s="92"/>
      <c r="HO3" s="92"/>
      <c r="HP3" s="92"/>
      <c r="HQ3" s="92"/>
      <c r="HR3" s="92"/>
      <c r="HS3" s="92"/>
      <c r="HT3" s="92"/>
      <c r="HU3" s="92"/>
      <c r="HV3" s="92"/>
      <c r="HW3" s="92"/>
      <c r="HX3" s="92"/>
      <c r="HY3" s="92"/>
      <c r="HZ3" s="92"/>
      <c r="IA3" s="92"/>
      <c r="IB3" s="92"/>
      <c r="IC3" s="92"/>
      <c r="ID3" s="92"/>
      <c r="IE3" s="92"/>
      <c r="IF3" s="92"/>
      <c r="IG3" s="92"/>
      <c r="IH3" s="92"/>
      <c r="II3" s="92"/>
      <c r="IJ3" s="92"/>
      <c r="IK3" s="92"/>
      <c r="IL3" s="92"/>
      <c r="IM3" s="92"/>
      <c r="IN3" s="92"/>
      <c r="IO3" s="92"/>
      <c r="IP3" s="92"/>
      <c r="IQ3" s="92"/>
      <c r="IR3" s="92"/>
      <c r="IS3" s="92"/>
      <c r="IT3" s="92"/>
      <c r="IU3" s="92"/>
      <c r="IV3" s="92"/>
      <c r="IW3" s="92"/>
      <c r="IX3" s="92"/>
      <c r="IY3" s="92"/>
    </row>
    <row r="4" spans="1:259" x14ac:dyDescent="0.3">
      <c r="A4" s="2" t="s">
        <v>205</v>
      </c>
      <c r="B4" s="2"/>
      <c r="C4" s="2"/>
      <c r="D4" s="2"/>
      <c r="E4" s="2" t="s">
        <v>303</v>
      </c>
      <c r="F4" s="2" t="s">
        <v>17</v>
      </c>
      <c r="G4" s="2" t="s">
        <v>336</v>
      </c>
      <c r="H4" s="2" t="s">
        <v>306</v>
      </c>
      <c r="I4" s="2" t="s">
        <v>401</v>
      </c>
      <c r="J4" s="87"/>
      <c r="K4" s="88">
        <f>L4-M4</f>
        <v>0</v>
      </c>
      <c r="L4" s="89">
        <v>0</v>
      </c>
      <c r="M4" s="88">
        <f t="shared" si="1"/>
        <v>0</v>
      </c>
      <c r="N4" s="88">
        <f t="shared" si="2"/>
        <v>0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1"/>
      <c r="AU4" s="30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  <c r="FK4" s="92"/>
      <c r="FL4" s="92"/>
      <c r="FM4" s="92"/>
      <c r="FN4" s="92"/>
      <c r="FO4" s="92"/>
      <c r="FP4" s="92"/>
      <c r="FQ4" s="92"/>
      <c r="FR4" s="92"/>
      <c r="FS4" s="92"/>
      <c r="FT4" s="92"/>
      <c r="FU4" s="92"/>
      <c r="FV4" s="92"/>
      <c r="FW4" s="92"/>
      <c r="FX4" s="92"/>
      <c r="FY4" s="92"/>
      <c r="FZ4" s="92"/>
      <c r="GA4" s="92"/>
      <c r="GB4" s="92"/>
      <c r="GC4" s="92"/>
      <c r="GD4" s="92"/>
      <c r="GE4" s="92"/>
      <c r="GF4" s="92"/>
      <c r="GG4" s="92"/>
      <c r="GH4" s="92"/>
      <c r="GI4" s="92"/>
      <c r="GJ4" s="92"/>
      <c r="GK4" s="92"/>
      <c r="GL4" s="92"/>
      <c r="GM4" s="92"/>
      <c r="GN4" s="92"/>
      <c r="GO4" s="92"/>
      <c r="GP4" s="92"/>
      <c r="GQ4" s="92"/>
      <c r="GR4" s="92"/>
      <c r="GS4" s="92"/>
      <c r="GT4" s="92"/>
      <c r="GU4" s="92"/>
      <c r="GV4" s="92"/>
      <c r="GW4" s="92"/>
      <c r="GX4" s="92"/>
      <c r="GY4" s="92"/>
      <c r="GZ4" s="92"/>
      <c r="HA4" s="92"/>
      <c r="HB4" s="92"/>
      <c r="HC4" s="92"/>
      <c r="HD4" s="92"/>
      <c r="HE4" s="92"/>
      <c r="HF4" s="92"/>
      <c r="HG4" s="92"/>
      <c r="HH4" s="92"/>
      <c r="HI4" s="92"/>
      <c r="HJ4" s="92"/>
      <c r="HK4" s="92"/>
      <c r="HL4" s="92"/>
      <c r="HM4" s="92"/>
      <c r="HN4" s="92"/>
      <c r="HO4" s="92"/>
      <c r="HP4" s="92"/>
      <c r="HQ4" s="92"/>
      <c r="HR4" s="92"/>
      <c r="HS4" s="92"/>
      <c r="HT4" s="92"/>
      <c r="HU4" s="92"/>
      <c r="HV4" s="92"/>
      <c r="HW4" s="92"/>
      <c r="HX4" s="92"/>
      <c r="HY4" s="92"/>
      <c r="HZ4" s="92"/>
      <c r="IA4" s="92"/>
      <c r="IB4" s="92"/>
      <c r="IC4" s="92"/>
      <c r="ID4" s="92"/>
      <c r="IE4" s="92"/>
      <c r="IF4" s="92"/>
      <c r="IG4" s="92"/>
      <c r="IH4" s="92"/>
      <c r="II4" s="92"/>
      <c r="IJ4" s="92"/>
      <c r="IK4" s="92"/>
      <c r="IL4" s="92"/>
      <c r="IM4" s="92"/>
      <c r="IN4" s="92"/>
      <c r="IO4" s="92"/>
      <c r="IP4" s="92"/>
      <c r="IQ4" s="92"/>
      <c r="IR4" s="92"/>
      <c r="IS4" s="92"/>
      <c r="IT4" s="92"/>
      <c r="IU4" s="92"/>
      <c r="IV4" s="92"/>
      <c r="IW4" s="92"/>
      <c r="IX4" s="92"/>
      <c r="IY4" s="92"/>
    </row>
    <row r="5" spans="1:259" x14ac:dyDescent="0.3">
      <c r="A5" s="2" t="s">
        <v>205</v>
      </c>
      <c r="B5" s="2"/>
      <c r="C5" s="2"/>
      <c r="D5" s="2"/>
      <c r="E5" s="2" t="s">
        <v>303</v>
      </c>
      <c r="F5" s="2" t="s">
        <v>17</v>
      </c>
      <c r="G5" s="2" t="s">
        <v>336</v>
      </c>
      <c r="H5" s="2" t="s">
        <v>331</v>
      </c>
      <c r="I5" s="2" t="s">
        <v>347</v>
      </c>
      <c r="J5" s="87"/>
      <c r="K5" s="88">
        <f t="shared" si="0"/>
        <v>0</v>
      </c>
      <c r="L5" s="89">
        <v>0</v>
      </c>
      <c r="M5" s="88">
        <f t="shared" si="1"/>
        <v>0</v>
      </c>
      <c r="N5" s="88">
        <f t="shared" si="2"/>
        <v>0</v>
      </c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1"/>
      <c r="AU5" s="30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2"/>
      <c r="BY5" s="92"/>
      <c r="BZ5" s="92"/>
      <c r="CA5" s="92"/>
      <c r="CB5" s="92"/>
      <c r="CC5" s="92"/>
      <c r="CD5" s="92"/>
      <c r="CE5" s="92"/>
      <c r="CF5" s="92"/>
      <c r="CG5" s="92"/>
      <c r="CH5" s="92"/>
      <c r="CI5" s="92"/>
      <c r="CJ5" s="92"/>
      <c r="CK5" s="92"/>
      <c r="CL5" s="92"/>
      <c r="CM5" s="92"/>
      <c r="CN5" s="92"/>
      <c r="CO5" s="92"/>
      <c r="CP5" s="92"/>
      <c r="CQ5" s="92"/>
      <c r="CR5" s="92"/>
      <c r="CS5" s="92"/>
      <c r="CT5" s="92"/>
      <c r="CU5" s="92"/>
      <c r="CV5" s="92"/>
      <c r="CW5" s="92"/>
      <c r="CX5" s="92"/>
      <c r="CY5" s="92"/>
      <c r="CZ5" s="92"/>
      <c r="DA5" s="92"/>
      <c r="DB5" s="92"/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/>
      <c r="DX5" s="92"/>
      <c r="DY5" s="92"/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/>
      <c r="FJ5" s="92"/>
      <c r="FK5" s="92"/>
      <c r="FL5" s="92"/>
      <c r="FM5" s="92"/>
      <c r="FN5" s="92"/>
      <c r="FO5" s="92"/>
      <c r="FP5" s="92"/>
      <c r="FQ5" s="92"/>
      <c r="FR5" s="92"/>
      <c r="FS5" s="92"/>
      <c r="FT5" s="92"/>
      <c r="FU5" s="92"/>
      <c r="FV5" s="92"/>
      <c r="FW5" s="92"/>
      <c r="FX5" s="92"/>
      <c r="FY5" s="92"/>
      <c r="FZ5" s="92"/>
      <c r="GA5" s="92"/>
      <c r="GB5" s="92"/>
      <c r="GC5" s="92"/>
      <c r="GD5" s="92"/>
      <c r="GE5" s="92"/>
      <c r="GF5" s="92"/>
      <c r="GG5" s="92"/>
      <c r="GH5" s="92"/>
      <c r="GI5" s="92"/>
      <c r="GJ5" s="92"/>
      <c r="GK5" s="92"/>
      <c r="GL5" s="92"/>
      <c r="GM5" s="92"/>
      <c r="GN5" s="92"/>
      <c r="GO5" s="92"/>
      <c r="GP5" s="92"/>
      <c r="GQ5" s="92"/>
      <c r="GR5" s="92"/>
      <c r="GS5" s="92"/>
      <c r="GT5" s="92"/>
      <c r="GU5" s="92"/>
      <c r="GV5" s="92"/>
      <c r="GW5" s="92"/>
      <c r="GX5" s="92"/>
      <c r="GY5" s="92"/>
      <c r="GZ5" s="92"/>
      <c r="HA5" s="92"/>
      <c r="HB5" s="92"/>
      <c r="HC5" s="92"/>
      <c r="HD5" s="92"/>
      <c r="HE5" s="92"/>
      <c r="HF5" s="92"/>
      <c r="HG5" s="92"/>
      <c r="HH5" s="92"/>
      <c r="HI5" s="92"/>
      <c r="HJ5" s="92"/>
      <c r="HK5" s="92"/>
      <c r="HL5" s="92"/>
      <c r="HM5" s="92"/>
      <c r="HN5" s="92"/>
      <c r="HO5" s="92"/>
      <c r="HP5" s="92"/>
      <c r="HQ5" s="92"/>
      <c r="HR5" s="92"/>
      <c r="HS5" s="92"/>
      <c r="HT5" s="92"/>
      <c r="HU5" s="92"/>
      <c r="HV5" s="92"/>
      <c r="HW5" s="92"/>
      <c r="HX5" s="92"/>
      <c r="HY5" s="92"/>
      <c r="HZ5" s="92"/>
      <c r="IA5" s="92"/>
      <c r="IB5" s="92"/>
      <c r="IC5" s="92"/>
      <c r="ID5" s="92"/>
      <c r="IE5" s="92"/>
      <c r="IF5" s="92"/>
      <c r="IG5" s="92"/>
      <c r="IH5" s="92"/>
      <c r="II5" s="92"/>
      <c r="IJ5" s="92"/>
      <c r="IK5" s="92"/>
      <c r="IL5" s="92"/>
      <c r="IM5" s="92"/>
      <c r="IN5" s="92"/>
      <c r="IO5" s="92"/>
      <c r="IP5" s="92"/>
      <c r="IQ5" s="92"/>
      <c r="IR5" s="92"/>
      <c r="IS5" s="92"/>
      <c r="IT5" s="92"/>
      <c r="IU5" s="92"/>
      <c r="IV5" s="92"/>
      <c r="IW5" s="92"/>
      <c r="IX5" s="92"/>
      <c r="IY5" s="92"/>
    </row>
    <row r="6" spans="1:259" x14ac:dyDescent="0.3">
      <c r="A6" s="2" t="s">
        <v>205</v>
      </c>
      <c r="B6" s="2"/>
      <c r="C6" s="2"/>
      <c r="D6" s="2"/>
      <c r="E6" s="2" t="s">
        <v>303</v>
      </c>
      <c r="F6" s="2" t="s">
        <v>17</v>
      </c>
      <c r="G6" s="2" t="s">
        <v>336</v>
      </c>
      <c r="H6" s="2" t="s">
        <v>332</v>
      </c>
      <c r="I6" s="2" t="s">
        <v>347</v>
      </c>
      <c r="J6" s="87"/>
      <c r="K6" s="88">
        <f t="shared" ref="K6:K11" si="3">L6-M6</f>
        <v>0</v>
      </c>
      <c r="L6" s="89">
        <v>0</v>
      </c>
      <c r="M6" s="88">
        <f t="shared" si="1"/>
        <v>0</v>
      </c>
      <c r="N6" s="88">
        <f t="shared" si="2"/>
        <v>0</v>
      </c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1"/>
      <c r="AU6" s="30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  <c r="GA6" s="92"/>
      <c r="GB6" s="92"/>
      <c r="GC6" s="92"/>
      <c r="GD6" s="92"/>
      <c r="GE6" s="92"/>
      <c r="GF6" s="92"/>
      <c r="GG6" s="92"/>
      <c r="GH6" s="92"/>
      <c r="GI6" s="92"/>
      <c r="GJ6" s="92"/>
      <c r="GK6" s="92"/>
      <c r="GL6" s="92"/>
      <c r="GM6" s="92"/>
      <c r="GN6" s="92"/>
      <c r="GO6" s="92"/>
      <c r="GP6" s="92"/>
      <c r="GQ6" s="92"/>
      <c r="GR6" s="92"/>
      <c r="GS6" s="92"/>
      <c r="GT6" s="92"/>
      <c r="GU6" s="92"/>
      <c r="GV6" s="92"/>
      <c r="GW6" s="92"/>
      <c r="GX6" s="92"/>
      <c r="GY6" s="92"/>
      <c r="GZ6" s="92"/>
      <c r="HA6" s="92"/>
      <c r="HB6" s="92"/>
      <c r="HC6" s="92"/>
      <c r="HD6" s="92"/>
      <c r="HE6" s="92"/>
      <c r="HF6" s="92"/>
      <c r="HG6" s="92"/>
      <c r="HH6" s="92"/>
      <c r="HI6" s="92"/>
      <c r="HJ6" s="92"/>
      <c r="HK6" s="92"/>
      <c r="HL6" s="92"/>
      <c r="HM6" s="92"/>
      <c r="HN6" s="92"/>
      <c r="HO6" s="92"/>
      <c r="HP6" s="92"/>
      <c r="HQ6" s="92"/>
      <c r="HR6" s="92"/>
      <c r="HS6" s="92"/>
      <c r="HT6" s="92"/>
      <c r="HU6" s="92"/>
      <c r="HV6" s="92"/>
      <c r="HW6" s="92"/>
      <c r="HX6" s="92"/>
      <c r="HY6" s="92"/>
      <c r="HZ6" s="92"/>
      <c r="IA6" s="92"/>
      <c r="IB6" s="92"/>
      <c r="IC6" s="92"/>
      <c r="ID6" s="92"/>
      <c r="IE6" s="92"/>
      <c r="IF6" s="92"/>
      <c r="IG6" s="92"/>
      <c r="IH6" s="92"/>
      <c r="II6" s="92"/>
      <c r="IJ6" s="92"/>
      <c r="IK6" s="92"/>
      <c r="IL6" s="92"/>
      <c r="IM6" s="92"/>
      <c r="IN6" s="92"/>
      <c r="IO6" s="92"/>
      <c r="IP6" s="92"/>
      <c r="IQ6" s="92"/>
      <c r="IR6" s="92"/>
      <c r="IS6" s="92"/>
      <c r="IT6" s="92"/>
      <c r="IU6" s="92"/>
      <c r="IV6" s="92"/>
      <c r="IW6" s="92"/>
      <c r="IX6" s="92"/>
      <c r="IY6" s="92"/>
    </row>
    <row r="7" spans="1:259" x14ac:dyDescent="0.3">
      <c r="A7" s="2" t="s">
        <v>205</v>
      </c>
      <c r="B7" s="2"/>
      <c r="C7" s="2"/>
      <c r="D7" s="2"/>
      <c r="E7" s="2" t="s">
        <v>303</v>
      </c>
      <c r="F7" s="2" t="s">
        <v>17</v>
      </c>
      <c r="G7" s="2" t="s">
        <v>336</v>
      </c>
      <c r="H7" s="2" t="s">
        <v>469</v>
      </c>
      <c r="I7" s="7" t="s">
        <v>470</v>
      </c>
      <c r="J7" s="87"/>
      <c r="K7" s="88">
        <f t="shared" si="3"/>
        <v>0</v>
      </c>
      <c r="L7" s="89">
        <v>0</v>
      </c>
      <c r="M7" s="88">
        <f t="shared" si="1"/>
        <v>0</v>
      </c>
      <c r="N7" s="88">
        <f t="shared" si="2"/>
        <v>0</v>
      </c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1"/>
      <c r="AU7" s="30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2"/>
      <c r="CP7" s="92"/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92"/>
      <c r="DM7" s="92"/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92"/>
      <c r="EH7" s="92"/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2"/>
      <c r="FF7" s="92"/>
      <c r="FG7" s="92"/>
      <c r="FH7" s="92"/>
      <c r="FI7" s="92"/>
      <c r="FJ7" s="92"/>
      <c r="FK7" s="92"/>
      <c r="FL7" s="92"/>
      <c r="FM7" s="92"/>
      <c r="FN7" s="92"/>
      <c r="FO7" s="92"/>
      <c r="FP7" s="92"/>
      <c r="FQ7" s="92"/>
      <c r="FR7" s="92"/>
      <c r="FS7" s="92"/>
      <c r="FT7" s="92"/>
      <c r="FU7" s="92"/>
      <c r="FV7" s="92"/>
      <c r="FW7" s="92"/>
      <c r="FX7" s="92"/>
      <c r="FY7" s="92"/>
      <c r="FZ7" s="92"/>
      <c r="GA7" s="92"/>
      <c r="GB7" s="92"/>
      <c r="GC7" s="92"/>
      <c r="GD7" s="92"/>
      <c r="GE7" s="92"/>
      <c r="GF7" s="92"/>
      <c r="GG7" s="92"/>
      <c r="GH7" s="92"/>
      <c r="GI7" s="92"/>
      <c r="GJ7" s="92"/>
      <c r="GK7" s="92"/>
      <c r="GL7" s="92"/>
      <c r="GM7" s="92"/>
      <c r="GN7" s="92"/>
      <c r="GO7" s="92"/>
      <c r="GP7" s="92"/>
      <c r="GQ7" s="92"/>
      <c r="GR7" s="92"/>
      <c r="GS7" s="92"/>
      <c r="GT7" s="92"/>
      <c r="GU7" s="92"/>
      <c r="GV7" s="92"/>
      <c r="GW7" s="92"/>
      <c r="GX7" s="92"/>
      <c r="GY7" s="92"/>
      <c r="GZ7" s="92"/>
      <c r="HA7" s="92"/>
      <c r="HB7" s="92"/>
      <c r="HC7" s="92"/>
      <c r="HD7" s="92"/>
      <c r="HE7" s="92"/>
      <c r="HF7" s="92"/>
      <c r="HG7" s="92"/>
      <c r="HH7" s="92"/>
      <c r="HI7" s="92"/>
      <c r="HJ7" s="92"/>
      <c r="HK7" s="92"/>
      <c r="HL7" s="92"/>
      <c r="HM7" s="92"/>
      <c r="HN7" s="92"/>
      <c r="HO7" s="92"/>
      <c r="HP7" s="92"/>
      <c r="HQ7" s="92"/>
      <c r="HR7" s="92"/>
      <c r="HS7" s="92"/>
      <c r="HT7" s="92"/>
      <c r="HU7" s="92"/>
      <c r="HV7" s="92"/>
      <c r="HW7" s="92"/>
      <c r="HX7" s="92"/>
      <c r="HY7" s="92"/>
      <c r="HZ7" s="92"/>
      <c r="IA7" s="92"/>
      <c r="IB7" s="92"/>
      <c r="IC7" s="92"/>
      <c r="ID7" s="92"/>
      <c r="IE7" s="92"/>
      <c r="IF7" s="92"/>
      <c r="IG7" s="92"/>
      <c r="IH7" s="92"/>
      <c r="II7" s="92"/>
      <c r="IJ7" s="92"/>
      <c r="IK7" s="92"/>
      <c r="IL7" s="92"/>
      <c r="IM7" s="92"/>
      <c r="IN7" s="92"/>
      <c r="IO7" s="92"/>
      <c r="IP7" s="92"/>
      <c r="IQ7" s="92"/>
      <c r="IR7" s="92"/>
      <c r="IS7" s="92"/>
      <c r="IT7" s="92"/>
      <c r="IU7" s="92"/>
      <c r="IV7" s="92"/>
      <c r="IW7" s="92"/>
      <c r="IX7" s="92"/>
      <c r="IY7" s="92"/>
    </row>
    <row r="8" spans="1:259" x14ac:dyDescent="0.3">
      <c r="A8" s="2" t="s">
        <v>205</v>
      </c>
      <c r="B8" s="2"/>
      <c r="C8" s="2"/>
      <c r="D8" s="2"/>
      <c r="E8" s="2" t="s">
        <v>303</v>
      </c>
      <c r="F8" s="2" t="s">
        <v>17</v>
      </c>
      <c r="G8" s="2" t="s">
        <v>336</v>
      </c>
      <c r="H8" s="2" t="s">
        <v>334</v>
      </c>
      <c r="I8" s="3" t="s">
        <v>399</v>
      </c>
      <c r="J8" s="87"/>
      <c r="K8" s="88">
        <f t="shared" si="3"/>
        <v>0</v>
      </c>
      <c r="L8" s="89">
        <v>0</v>
      </c>
      <c r="M8" s="88">
        <f t="shared" si="1"/>
        <v>0</v>
      </c>
      <c r="N8" s="88">
        <f t="shared" si="2"/>
        <v>0</v>
      </c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1"/>
      <c r="AU8" s="30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2"/>
      <c r="DA8" s="92"/>
      <c r="DB8" s="92"/>
      <c r="DC8" s="92"/>
      <c r="DD8" s="92"/>
      <c r="DE8" s="92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  <c r="DQ8" s="92"/>
      <c r="DR8" s="92"/>
      <c r="DS8" s="92"/>
      <c r="DT8" s="92"/>
      <c r="DU8" s="92"/>
      <c r="DV8" s="92"/>
      <c r="DW8" s="92"/>
      <c r="DX8" s="92"/>
      <c r="DY8" s="92"/>
      <c r="DZ8" s="92"/>
      <c r="EA8" s="92"/>
      <c r="EB8" s="92"/>
      <c r="EC8" s="92"/>
      <c r="ED8" s="92"/>
      <c r="EE8" s="92"/>
      <c r="EF8" s="92"/>
      <c r="EG8" s="92"/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2"/>
      <c r="ET8" s="92"/>
      <c r="EU8" s="92"/>
      <c r="EV8" s="92"/>
      <c r="EW8" s="92"/>
      <c r="EX8" s="92"/>
      <c r="EY8" s="92"/>
      <c r="EZ8" s="92"/>
      <c r="FA8" s="92"/>
      <c r="FB8" s="92"/>
      <c r="FC8" s="92"/>
      <c r="FD8" s="92"/>
      <c r="FE8" s="92"/>
      <c r="FF8" s="92"/>
      <c r="FG8" s="92"/>
      <c r="FH8" s="92"/>
      <c r="FI8" s="92"/>
      <c r="FJ8" s="92"/>
      <c r="FK8" s="92"/>
      <c r="FL8" s="92"/>
      <c r="FM8" s="92"/>
      <c r="FN8" s="92"/>
      <c r="FO8" s="92"/>
      <c r="FP8" s="92"/>
      <c r="FQ8" s="92"/>
      <c r="FR8" s="92"/>
      <c r="FS8" s="92"/>
      <c r="FT8" s="92"/>
      <c r="FU8" s="92"/>
      <c r="FV8" s="92"/>
      <c r="FW8" s="92"/>
      <c r="FX8" s="92"/>
      <c r="FY8" s="92"/>
      <c r="FZ8" s="92"/>
      <c r="GA8" s="92"/>
      <c r="GB8" s="92"/>
      <c r="GC8" s="92"/>
      <c r="GD8" s="92"/>
      <c r="GE8" s="92"/>
      <c r="GF8" s="92"/>
      <c r="GG8" s="92"/>
      <c r="GH8" s="92"/>
      <c r="GI8" s="92"/>
      <c r="GJ8" s="92"/>
      <c r="GK8" s="92"/>
      <c r="GL8" s="92"/>
      <c r="GM8" s="92"/>
      <c r="GN8" s="92"/>
      <c r="GO8" s="92"/>
      <c r="GP8" s="92"/>
      <c r="GQ8" s="92"/>
      <c r="GR8" s="92"/>
      <c r="GS8" s="92"/>
      <c r="GT8" s="92"/>
      <c r="GU8" s="92"/>
      <c r="GV8" s="92"/>
      <c r="GW8" s="92"/>
      <c r="GX8" s="92"/>
      <c r="GY8" s="92"/>
      <c r="GZ8" s="92"/>
      <c r="HA8" s="92"/>
      <c r="HB8" s="92"/>
      <c r="HC8" s="92"/>
      <c r="HD8" s="92"/>
      <c r="HE8" s="92"/>
      <c r="HF8" s="92"/>
      <c r="HG8" s="92"/>
      <c r="HH8" s="92"/>
      <c r="HI8" s="92"/>
      <c r="HJ8" s="92"/>
      <c r="HK8" s="92"/>
      <c r="HL8" s="92"/>
      <c r="HM8" s="92"/>
      <c r="HN8" s="92"/>
      <c r="HO8" s="92"/>
      <c r="HP8" s="92"/>
      <c r="HQ8" s="92"/>
      <c r="HR8" s="92"/>
      <c r="HS8" s="92"/>
      <c r="HT8" s="92"/>
      <c r="HU8" s="92"/>
      <c r="HV8" s="92"/>
      <c r="HW8" s="92"/>
      <c r="HX8" s="92"/>
      <c r="HY8" s="92"/>
      <c r="HZ8" s="92"/>
      <c r="IA8" s="92"/>
      <c r="IB8" s="92"/>
      <c r="IC8" s="92"/>
      <c r="ID8" s="92"/>
      <c r="IE8" s="92"/>
      <c r="IF8" s="92"/>
      <c r="IG8" s="92"/>
      <c r="IH8" s="92"/>
      <c r="II8" s="92"/>
      <c r="IJ8" s="92"/>
      <c r="IK8" s="92"/>
      <c r="IL8" s="92"/>
      <c r="IM8" s="92"/>
      <c r="IN8" s="92"/>
      <c r="IO8" s="92"/>
      <c r="IP8" s="92"/>
      <c r="IQ8" s="92"/>
      <c r="IR8" s="92"/>
      <c r="IS8" s="92"/>
      <c r="IT8" s="92"/>
      <c r="IU8" s="92"/>
      <c r="IV8" s="92"/>
      <c r="IW8" s="92"/>
      <c r="IX8" s="92"/>
      <c r="IY8" s="92"/>
    </row>
    <row r="9" spans="1:259" x14ac:dyDescent="0.3">
      <c r="A9" s="2" t="s">
        <v>205</v>
      </c>
      <c r="B9" s="2"/>
      <c r="C9" s="2"/>
      <c r="D9" s="2"/>
      <c r="E9" s="2" t="s">
        <v>303</v>
      </c>
      <c r="F9" s="2" t="s">
        <v>17</v>
      </c>
      <c r="G9" s="2" t="s">
        <v>336</v>
      </c>
      <c r="H9" s="2" t="s">
        <v>335</v>
      </c>
      <c r="I9" s="2" t="s">
        <v>346</v>
      </c>
      <c r="J9" s="87"/>
      <c r="K9" s="88">
        <f t="shared" si="3"/>
        <v>0</v>
      </c>
      <c r="L9" s="89">
        <v>0</v>
      </c>
      <c r="M9" s="88">
        <f t="shared" si="1"/>
        <v>0</v>
      </c>
      <c r="N9" s="88">
        <f t="shared" si="2"/>
        <v>0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1"/>
      <c r="AU9" s="30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2"/>
      <c r="ED9" s="92"/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2"/>
      <c r="FT9" s="92"/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2"/>
      <c r="GM9" s="92"/>
      <c r="GN9" s="92"/>
      <c r="GO9" s="92"/>
      <c r="GP9" s="92"/>
      <c r="GQ9" s="92"/>
      <c r="GR9" s="92"/>
      <c r="GS9" s="92"/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2"/>
      <c r="HJ9" s="92"/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2"/>
      <c r="IC9" s="92"/>
      <c r="ID9" s="92"/>
      <c r="IE9" s="92"/>
      <c r="IF9" s="92"/>
      <c r="IG9" s="92"/>
      <c r="IH9" s="92"/>
      <c r="II9" s="92"/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2"/>
    </row>
    <row r="10" spans="1:259" x14ac:dyDescent="0.3">
      <c r="A10" s="2" t="s">
        <v>205</v>
      </c>
      <c r="B10" s="2"/>
      <c r="C10" s="2"/>
      <c r="D10" s="2"/>
      <c r="E10" s="2" t="s">
        <v>303</v>
      </c>
      <c r="F10" s="2" t="s">
        <v>17</v>
      </c>
      <c r="G10" s="2" t="s">
        <v>336</v>
      </c>
      <c r="H10" s="2" t="s">
        <v>340</v>
      </c>
      <c r="I10" s="2" t="s">
        <v>341</v>
      </c>
      <c r="J10" s="87"/>
      <c r="K10" s="88">
        <f t="shared" si="3"/>
        <v>0</v>
      </c>
      <c r="L10" s="89">
        <v>0</v>
      </c>
      <c r="M10" s="88">
        <f t="shared" si="1"/>
        <v>0</v>
      </c>
      <c r="N10" s="88">
        <f t="shared" ref="N10" si="4">K10</f>
        <v>0</v>
      </c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1"/>
      <c r="AU10" s="30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92"/>
      <c r="DT10" s="92"/>
      <c r="DU10" s="92"/>
      <c r="DV10" s="92"/>
      <c r="DW10" s="92"/>
      <c r="DX10" s="92"/>
      <c r="DY10" s="92"/>
      <c r="DZ10" s="92"/>
      <c r="EA10" s="92"/>
      <c r="EB10" s="92"/>
      <c r="EC10" s="92"/>
      <c r="ED10" s="92"/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2"/>
      <c r="EW10" s="92"/>
      <c r="EX10" s="92"/>
      <c r="EY10" s="92"/>
      <c r="EZ10" s="92"/>
      <c r="FA10" s="92"/>
      <c r="FB10" s="92"/>
      <c r="FC10" s="92"/>
      <c r="FD10" s="92"/>
      <c r="FE10" s="92"/>
      <c r="FF10" s="92"/>
      <c r="FG10" s="92"/>
      <c r="FH10" s="92"/>
      <c r="FI10" s="92"/>
      <c r="FJ10" s="92"/>
      <c r="FK10" s="92"/>
      <c r="FL10" s="92"/>
      <c r="FM10" s="92"/>
      <c r="FN10" s="92"/>
      <c r="FO10" s="92"/>
      <c r="FP10" s="92"/>
      <c r="FQ10" s="92"/>
      <c r="FR10" s="92"/>
      <c r="FS10" s="92"/>
      <c r="FT10" s="92"/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2"/>
      <c r="GM10" s="92"/>
      <c r="GN10" s="92"/>
      <c r="GO10" s="92"/>
      <c r="GP10" s="92"/>
      <c r="GQ10" s="92"/>
      <c r="GR10" s="92"/>
      <c r="GS10" s="92"/>
      <c r="GT10" s="92"/>
      <c r="GU10" s="92"/>
      <c r="GV10" s="92"/>
      <c r="GW10" s="92"/>
      <c r="GX10" s="92"/>
      <c r="GY10" s="92"/>
      <c r="GZ10" s="92"/>
      <c r="HA10" s="92"/>
      <c r="HB10" s="92"/>
      <c r="HC10" s="92"/>
      <c r="HD10" s="92"/>
      <c r="HE10" s="92"/>
      <c r="HF10" s="92"/>
      <c r="HG10" s="92"/>
      <c r="HH10" s="92"/>
      <c r="HI10" s="92"/>
      <c r="HJ10" s="92"/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2"/>
      <c r="IC10" s="92"/>
      <c r="ID10" s="92"/>
      <c r="IE10" s="92"/>
      <c r="IF10" s="92"/>
      <c r="IG10" s="92"/>
      <c r="IH10" s="92"/>
      <c r="II10" s="92"/>
      <c r="IJ10" s="92"/>
      <c r="IK10" s="92"/>
      <c r="IL10" s="92"/>
      <c r="IM10" s="92"/>
      <c r="IN10" s="92"/>
      <c r="IO10" s="92"/>
      <c r="IP10" s="92"/>
      <c r="IQ10" s="92"/>
      <c r="IR10" s="92"/>
      <c r="IS10" s="92"/>
      <c r="IT10" s="92"/>
      <c r="IU10" s="92"/>
      <c r="IV10" s="92"/>
      <c r="IW10" s="92"/>
      <c r="IX10" s="92"/>
      <c r="IY10" s="92"/>
    </row>
    <row r="11" spans="1:259" x14ac:dyDescent="0.3">
      <c r="A11" s="2" t="s">
        <v>205</v>
      </c>
      <c r="B11" s="2" t="s">
        <v>303</v>
      </c>
      <c r="C11" s="2"/>
      <c r="D11" s="2"/>
      <c r="E11" s="2" t="s">
        <v>303</v>
      </c>
      <c r="F11" s="2" t="s">
        <v>17</v>
      </c>
      <c r="G11" s="2" t="s">
        <v>336</v>
      </c>
      <c r="H11" s="2" t="s">
        <v>478</v>
      </c>
      <c r="I11" s="2" t="s">
        <v>479</v>
      </c>
      <c r="J11" s="87"/>
      <c r="K11" s="88">
        <f t="shared" si="3"/>
        <v>1</v>
      </c>
      <c r="L11" s="89">
        <v>1</v>
      </c>
      <c r="M11" s="88">
        <f t="shared" si="1"/>
        <v>0</v>
      </c>
      <c r="N11" s="88">
        <f t="shared" ref="N11" si="5">K11</f>
        <v>1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30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2"/>
      <c r="BY11" s="92"/>
      <c r="BZ11" s="92"/>
      <c r="CA11" s="92"/>
      <c r="CB11" s="92"/>
      <c r="CC11" s="92"/>
      <c r="CD11" s="92"/>
      <c r="CE11" s="92"/>
      <c r="CF11" s="92"/>
      <c r="CG11" s="92"/>
      <c r="CH11" s="92"/>
      <c r="CI11" s="92"/>
      <c r="CJ11" s="92"/>
      <c r="CK11" s="92"/>
      <c r="CL11" s="92"/>
      <c r="CM11" s="92"/>
      <c r="CN11" s="92"/>
      <c r="CO11" s="92"/>
      <c r="CP11" s="92"/>
      <c r="CQ11" s="92"/>
      <c r="CR11" s="92"/>
      <c r="CS11" s="92"/>
      <c r="CT11" s="92"/>
      <c r="CU11" s="92"/>
      <c r="CV11" s="92"/>
      <c r="CW11" s="92"/>
      <c r="CX11" s="92"/>
      <c r="CY11" s="92"/>
      <c r="CZ11" s="92"/>
      <c r="DA11" s="92"/>
      <c r="DB11" s="92"/>
      <c r="DC11" s="92"/>
      <c r="DD11" s="92"/>
      <c r="DE11" s="92"/>
      <c r="DF11" s="92"/>
      <c r="DG11" s="92"/>
      <c r="DH11" s="92"/>
      <c r="DI11" s="92"/>
      <c r="DJ11" s="92"/>
      <c r="DK11" s="92"/>
      <c r="DL11" s="92"/>
      <c r="DM11" s="92"/>
      <c r="DN11" s="92"/>
      <c r="DO11" s="92"/>
      <c r="DP11" s="92"/>
      <c r="DQ11" s="92"/>
      <c r="DR11" s="92"/>
      <c r="DS11" s="92"/>
      <c r="DT11" s="92"/>
      <c r="DU11" s="92"/>
      <c r="DV11" s="92"/>
      <c r="DW11" s="92"/>
      <c r="DX11" s="92"/>
      <c r="DY11" s="92"/>
      <c r="DZ11" s="92"/>
      <c r="EA11" s="92"/>
      <c r="EB11" s="92"/>
      <c r="EC11" s="92"/>
      <c r="ED11" s="92"/>
      <c r="EE11" s="92"/>
      <c r="EF11" s="92"/>
      <c r="EG11" s="92"/>
      <c r="EH11" s="92"/>
      <c r="EI11" s="92"/>
      <c r="EJ11" s="92"/>
      <c r="EK11" s="92"/>
      <c r="EL11" s="92"/>
      <c r="EM11" s="92"/>
      <c r="EN11" s="92"/>
      <c r="EO11" s="92"/>
      <c r="EP11" s="92"/>
      <c r="EQ11" s="92"/>
      <c r="ER11" s="92"/>
      <c r="ES11" s="92"/>
      <c r="ET11" s="92"/>
      <c r="EU11" s="92"/>
      <c r="EV11" s="92"/>
      <c r="EW11" s="92"/>
      <c r="EX11" s="92"/>
      <c r="EY11" s="92"/>
      <c r="EZ11" s="92"/>
      <c r="FA11" s="92"/>
      <c r="FB11" s="92"/>
      <c r="FC11" s="92"/>
      <c r="FD11" s="92"/>
      <c r="FE11" s="92"/>
      <c r="FF11" s="92"/>
      <c r="FG11" s="92"/>
      <c r="FH11" s="92"/>
      <c r="FI11" s="92"/>
      <c r="FJ11" s="92"/>
      <c r="FK11" s="92"/>
      <c r="FL11" s="92"/>
      <c r="FM11" s="92"/>
      <c r="FN11" s="92"/>
      <c r="FO11" s="92"/>
      <c r="FP11" s="92"/>
      <c r="FQ11" s="92"/>
      <c r="FR11" s="92"/>
      <c r="FS11" s="92"/>
      <c r="FT11" s="92"/>
      <c r="FU11" s="92"/>
      <c r="FV11" s="92"/>
      <c r="FW11" s="92"/>
      <c r="FX11" s="92"/>
      <c r="FY11" s="92"/>
      <c r="FZ11" s="92"/>
      <c r="GA11" s="92"/>
      <c r="GB11" s="92"/>
      <c r="GC11" s="92"/>
      <c r="GD11" s="92"/>
      <c r="GE11" s="92"/>
      <c r="GF11" s="92"/>
      <c r="GG11" s="92"/>
      <c r="GH11" s="92"/>
      <c r="GI11" s="92"/>
      <c r="GJ11" s="92"/>
      <c r="GK11" s="92"/>
      <c r="GL11" s="92"/>
      <c r="GM11" s="92"/>
      <c r="GN11" s="92"/>
      <c r="GO11" s="92"/>
      <c r="GP11" s="92"/>
      <c r="GQ11" s="92"/>
      <c r="GR11" s="92"/>
      <c r="GS11" s="92"/>
      <c r="GT11" s="92"/>
      <c r="GU11" s="92"/>
      <c r="GV11" s="92"/>
      <c r="GW11" s="92"/>
      <c r="GX11" s="92"/>
      <c r="GY11" s="92"/>
      <c r="GZ11" s="92"/>
      <c r="HA11" s="92"/>
      <c r="HB11" s="92"/>
      <c r="HC11" s="92"/>
      <c r="HD11" s="92"/>
      <c r="HE11" s="92"/>
      <c r="HF11" s="92"/>
      <c r="HG11" s="92"/>
      <c r="HH11" s="92"/>
      <c r="HI11" s="92"/>
      <c r="HJ11" s="92"/>
      <c r="HK11" s="92"/>
      <c r="HL11" s="92"/>
      <c r="HM11" s="92"/>
      <c r="HN11" s="92"/>
      <c r="HO11" s="92"/>
      <c r="HP11" s="92"/>
      <c r="HQ11" s="92"/>
      <c r="HR11" s="92"/>
      <c r="HS11" s="92"/>
      <c r="HT11" s="92"/>
      <c r="HU11" s="92"/>
      <c r="HV11" s="92"/>
      <c r="HW11" s="92"/>
      <c r="HX11" s="92"/>
      <c r="HY11" s="92"/>
      <c r="HZ11" s="92"/>
      <c r="IA11" s="92"/>
      <c r="IB11" s="92"/>
      <c r="IC11" s="92"/>
      <c r="ID11" s="92"/>
      <c r="IE11" s="92"/>
      <c r="IF11" s="92"/>
      <c r="IG11" s="92"/>
      <c r="IH11" s="92"/>
      <c r="II11" s="92"/>
      <c r="IJ11" s="92"/>
      <c r="IK11" s="92"/>
      <c r="IL11" s="92"/>
      <c r="IM11" s="92"/>
      <c r="IN11" s="92"/>
      <c r="IO11" s="92"/>
      <c r="IP11" s="92"/>
      <c r="IQ11" s="92"/>
      <c r="IR11" s="92"/>
      <c r="IS11" s="92"/>
      <c r="IT11" s="92"/>
      <c r="IU11" s="92"/>
      <c r="IV11" s="92"/>
      <c r="IW11" s="92"/>
      <c r="IX11" s="92"/>
      <c r="IY11" s="92"/>
    </row>
    <row r="12" spans="1:259" x14ac:dyDescent="0.3">
      <c r="A12" s="2" t="s">
        <v>205</v>
      </c>
      <c r="B12" s="2" t="s">
        <v>303</v>
      </c>
      <c r="C12" s="2"/>
      <c r="D12" s="2"/>
      <c r="E12" s="2" t="s">
        <v>303</v>
      </c>
      <c r="F12" s="2" t="s">
        <v>17</v>
      </c>
      <c r="G12" s="2" t="s">
        <v>336</v>
      </c>
      <c r="H12" s="2" t="s">
        <v>524</v>
      </c>
      <c r="I12" s="2" t="s">
        <v>526</v>
      </c>
      <c r="J12" s="87"/>
      <c r="K12" s="88">
        <f t="shared" ref="K12" si="6">L12-M12</f>
        <v>0</v>
      </c>
      <c r="L12" s="89">
        <v>1</v>
      </c>
      <c r="M12" s="88">
        <f t="shared" si="1"/>
        <v>1</v>
      </c>
      <c r="N12" s="88">
        <f t="shared" ref="N12" si="7">K12</f>
        <v>0</v>
      </c>
      <c r="O12" s="90"/>
      <c r="P12" s="90"/>
      <c r="Q12" s="90"/>
      <c r="R12" s="88">
        <f>1</f>
        <v>1</v>
      </c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1"/>
      <c r="AU12" s="30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2"/>
      <c r="BY12" s="92"/>
      <c r="BZ12" s="92"/>
      <c r="CA12" s="92"/>
      <c r="CB12" s="92"/>
      <c r="CC12" s="92"/>
      <c r="CD12" s="92"/>
      <c r="CE12" s="92"/>
      <c r="CF12" s="92"/>
      <c r="CG12" s="92"/>
      <c r="CH12" s="92"/>
      <c r="CI12" s="92"/>
      <c r="CJ12" s="92"/>
      <c r="CK12" s="92"/>
      <c r="CL12" s="92"/>
      <c r="CM12" s="92"/>
      <c r="CN12" s="92"/>
      <c r="CO12" s="92"/>
      <c r="CP12" s="92"/>
      <c r="CQ12" s="92"/>
      <c r="CR12" s="92"/>
      <c r="CS12" s="92"/>
      <c r="CT12" s="92"/>
      <c r="CU12" s="92"/>
      <c r="CV12" s="92"/>
      <c r="CW12" s="92"/>
      <c r="CX12" s="92"/>
      <c r="CY12" s="92"/>
      <c r="CZ12" s="92"/>
      <c r="DA12" s="92"/>
      <c r="DB12" s="92"/>
      <c r="DC12" s="92"/>
      <c r="DD12" s="92"/>
      <c r="DE12" s="92"/>
      <c r="DF12" s="92"/>
      <c r="DG12" s="92"/>
      <c r="DH12" s="92"/>
      <c r="DI12" s="92"/>
      <c r="DJ12" s="92"/>
      <c r="DK12" s="92"/>
      <c r="DL12" s="92"/>
      <c r="DM12" s="92"/>
      <c r="DN12" s="92"/>
      <c r="DO12" s="92"/>
      <c r="DP12" s="92"/>
      <c r="DQ12" s="92"/>
      <c r="DR12" s="92"/>
      <c r="DS12" s="92"/>
      <c r="DT12" s="92"/>
      <c r="DU12" s="92"/>
      <c r="DV12" s="92"/>
      <c r="DW12" s="92"/>
      <c r="DX12" s="92"/>
      <c r="DY12" s="92"/>
      <c r="DZ12" s="92"/>
      <c r="EA12" s="92"/>
      <c r="EB12" s="92"/>
      <c r="EC12" s="92"/>
      <c r="ED12" s="92"/>
      <c r="EE12" s="92"/>
      <c r="EF12" s="92"/>
      <c r="EG12" s="92"/>
      <c r="EH12" s="92"/>
      <c r="EI12" s="92"/>
      <c r="EJ12" s="92"/>
      <c r="EK12" s="92"/>
      <c r="EL12" s="92"/>
      <c r="EM12" s="92"/>
      <c r="EN12" s="92"/>
      <c r="EO12" s="92"/>
      <c r="EP12" s="92"/>
      <c r="EQ12" s="92"/>
      <c r="ER12" s="92"/>
      <c r="ES12" s="92"/>
      <c r="ET12" s="92"/>
      <c r="EU12" s="92"/>
      <c r="EV12" s="92"/>
      <c r="EW12" s="92"/>
      <c r="EX12" s="92"/>
      <c r="EY12" s="92"/>
      <c r="EZ12" s="92"/>
      <c r="FA12" s="92"/>
      <c r="FB12" s="92"/>
      <c r="FC12" s="92"/>
      <c r="FD12" s="92"/>
      <c r="FE12" s="92"/>
      <c r="FF12" s="92"/>
      <c r="FG12" s="92"/>
      <c r="FH12" s="92"/>
      <c r="FI12" s="92"/>
      <c r="FJ12" s="92"/>
      <c r="FK12" s="92"/>
      <c r="FL12" s="92"/>
      <c r="FM12" s="92"/>
      <c r="FN12" s="92"/>
      <c r="FO12" s="92"/>
      <c r="FP12" s="92"/>
      <c r="FQ12" s="92"/>
      <c r="FR12" s="92"/>
      <c r="FS12" s="92"/>
      <c r="FT12" s="92"/>
      <c r="FU12" s="92"/>
      <c r="FV12" s="92"/>
      <c r="FW12" s="92"/>
      <c r="FX12" s="92"/>
      <c r="FY12" s="92"/>
      <c r="FZ12" s="92"/>
      <c r="GA12" s="92"/>
      <c r="GB12" s="92"/>
      <c r="GC12" s="92"/>
      <c r="GD12" s="92"/>
      <c r="GE12" s="92"/>
      <c r="GF12" s="92"/>
      <c r="GG12" s="92"/>
      <c r="GH12" s="92"/>
      <c r="GI12" s="92"/>
      <c r="GJ12" s="92"/>
      <c r="GK12" s="92"/>
      <c r="GL12" s="92"/>
      <c r="GM12" s="92"/>
      <c r="GN12" s="92"/>
      <c r="GO12" s="92"/>
      <c r="GP12" s="92"/>
      <c r="GQ12" s="92"/>
      <c r="GR12" s="92"/>
      <c r="GS12" s="92"/>
      <c r="GT12" s="92"/>
      <c r="GU12" s="92"/>
      <c r="GV12" s="92"/>
      <c r="GW12" s="92"/>
      <c r="GX12" s="92"/>
      <c r="GY12" s="92"/>
      <c r="GZ12" s="92"/>
      <c r="HA12" s="92"/>
      <c r="HB12" s="92"/>
      <c r="HC12" s="92"/>
      <c r="HD12" s="92"/>
      <c r="HE12" s="92"/>
      <c r="HF12" s="92"/>
      <c r="HG12" s="92"/>
      <c r="HH12" s="92"/>
      <c r="HI12" s="92"/>
      <c r="HJ12" s="92"/>
      <c r="HK12" s="92"/>
      <c r="HL12" s="92"/>
      <c r="HM12" s="92"/>
      <c r="HN12" s="92"/>
      <c r="HO12" s="92"/>
      <c r="HP12" s="92"/>
      <c r="HQ12" s="92"/>
      <c r="HR12" s="92"/>
      <c r="HS12" s="92"/>
      <c r="HT12" s="92"/>
      <c r="HU12" s="92"/>
      <c r="HV12" s="92"/>
      <c r="HW12" s="92"/>
      <c r="HX12" s="92"/>
      <c r="HY12" s="92"/>
      <c r="HZ12" s="92"/>
      <c r="IA12" s="92"/>
      <c r="IB12" s="92"/>
      <c r="IC12" s="92"/>
      <c r="ID12" s="92"/>
      <c r="IE12" s="92"/>
      <c r="IF12" s="92"/>
      <c r="IG12" s="92"/>
      <c r="IH12" s="92"/>
      <c r="II12" s="92"/>
      <c r="IJ12" s="92"/>
      <c r="IK12" s="92"/>
      <c r="IL12" s="92"/>
      <c r="IM12" s="92"/>
      <c r="IN12" s="92"/>
      <c r="IO12" s="92"/>
      <c r="IP12" s="92"/>
      <c r="IQ12" s="92"/>
      <c r="IR12" s="92"/>
      <c r="IS12" s="92"/>
      <c r="IT12" s="92"/>
      <c r="IU12" s="92"/>
      <c r="IV12" s="92"/>
      <c r="IW12" s="92"/>
      <c r="IX12" s="92"/>
      <c r="IY12" s="92"/>
    </row>
    <row r="13" spans="1:259" x14ac:dyDescent="0.3">
      <c r="A13" s="2" t="s">
        <v>205</v>
      </c>
      <c r="B13" s="2" t="s">
        <v>303</v>
      </c>
      <c r="C13" s="2"/>
      <c r="D13" s="2"/>
      <c r="E13" s="2" t="s">
        <v>303</v>
      </c>
      <c r="F13" s="2" t="s">
        <v>17</v>
      </c>
      <c r="G13" s="2" t="s">
        <v>336</v>
      </c>
      <c r="H13" s="2" t="s">
        <v>536</v>
      </c>
      <c r="I13" s="2" t="s">
        <v>537</v>
      </c>
      <c r="J13" s="87"/>
      <c r="K13" s="88">
        <f t="shared" ref="K13" si="8">L13-M13</f>
        <v>0</v>
      </c>
      <c r="L13" s="89">
        <v>1</v>
      </c>
      <c r="M13" s="88">
        <f t="shared" si="1"/>
        <v>1</v>
      </c>
      <c r="N13" s="88">
        <f t="shared" ref="N13" si="9">K13</f>
        <v>0</v>
      </c>
      <c r="O13" s="90"/>
      <c r="P13" s="90"/>
      <c r="Q13" s="90"/>
      <c r="R13" s="88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88">
        <f>1</f>
        <v>1</v>
      </c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1"/>
      <c r="AU13" s="30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2"/>
      <c r="FX13" s="92"/>
      <c r="FY13" s="92"/>
      <c r="FZ13" s="92"/>
      <c r="GA13" s="92"/>
      <c r="GB13" s="92"/>
      <c r="GC13" s="92"/>
      <c r="GD13" s="92"/>
      <c r="GE13" s="92"/>
      <c r="GF13" s="92"/>
      <c r="GG13" s="92"/>
      <c r="GH13" s="92"/>
      <c r="GI13" s="92"/>
      <c r="GJ13" s="92"/>
      <c r="GK13" s="92"/>
      <c r="GL13" s="92"/>
      <c r="GM13" s="92"/>
      <c r="GN13" s="92"/>
      <c r="GO13" s="92"/>
      <c r="GP13" s="92"/>
      <c r="GQ13" s="92"/>
      <c r="GR13" s="92"/>
      <c r="GS13" s="92"/>
      <c r="GT13" s="92"/>
      <c r="GU13" s="92"/>
      <c r="GV13" s="92"/>
      <c r="GW13" s="92"/>
      <c r="GX13" s="92"/>
      <c r="GY13" s="92"/>
      <c r="GZ13" s="92"/>
      <c r="HA13" s="92"/>
      <c r="HB13" s="92"/>
      <c r="HC13" s="92"/>
      <c r="HD13" s="92"/>
      <c r="HE13" s="92"/>
      <c r="HF13" s="92"/>
      <c r="HG13" s="92"/>
      <c r="HH13" s="92"/>
      <c r="HI13" s="92"/>
      <c r="HJ13" s="92"/>
      <c r="HK13" s="92"/>
      <c r="HL13" s="92"/>
      <c r="HM13" s="92"/>
      <c r="HN13" s="92"/>
      <c r="HO13" s="92"/>
      <c r="HP13" s="92"/>
      <c r="HQ13" s="92"/>
      <c r="HR13" s="92"/>
      <c r="HS13" s="92"/>
      <c r="HT13" s="92"/>
      <c r="HU13" s="92"/>
      <c r="HV13" s="92"/>
      <c r="HW13" s="92"/>
      <c r="HX13" s="92"/>
      <c r="HY13" s="92"/>
      <c r="HZ13" s="92"/>
      <c r="IA13" s="92"/>
      <c r="IB13" s="92"/>
      <c r="IC13" s="92"/>
      <c r="ID13" s="92"/>
      <c r="IE13" s="92"/>
      <c r="IF13" s="92"/>
      <c r="IG13" s="92"/>
      <c r="IH13" s="92"/>
      <c r="II13" s="92"/>
      <c r="IJ13" s="92"/>
      <c r="IK13" s="92"/>
      <c r="IL13" s="92"/>
      <c r="IM13" s="92"/>
      <c r="IN13" s="92"/>
      <c r="IO13" s="92"/>
      <c r="IP13" s="92"/>
      <c r="IQ13" s="92"/>
      <c r="IR13" s="92"/>
      <c r="IS13" s="92"/>
      <c r="IT13" s="92"/>
      <c r="IU13" s="92"/>
      <c r="IV13" s="92"/>
      <c r="IW13" s="92"/>
      <c r="IX13" s="92"/>
      <c r="IY13" s="92"/>
    </row>
    <row r="14" spans="1:259" x14ac:dyDescent="0.3">
      <c r="A14" s="6" t="s">
        <v>205</v>
      </c>
      <c r="B14" s="6"/>
      <c r="C14" s="6"/>
      <c r="D14" s="6"/>
      <c r="E14" s="6" t="s">
        <v>303</v>
      </c>
      <c r="F14" s="6" t="s">
        <v>17</v>
      </c>
      <c r="G14" s="6" t="s">
        <v>395</v>
      </c>
      <c r="H14" s="6" t="s">
        <v>397</v>
      </c>
      <c r="I14" s="2" t="s">
        <v>401</v>
      </c>
      <c r="J14" s="87"/>
      <c r="K14" s="88">
        <f t="shared" ref="K14:K33" si="10">L14-M14</f>
        <v>0</v>
      </c>
      <c r="L14" s="89">
        <v>0</v>
      </c>
      <c r="M14" s="88">
        <f t="shared" si="1"/>
        <v>0</v>
      </c>
      <c r="N14" s="88">
        <f t="shared" ref="N14:N17" si="11">K14</f>
        <v>0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1"/>
      <c r="AU14" s="30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2"/>
      <c r="BY14" s="92"/>
      <c r="BZ14" s="92"/>
      <c r="CA14" s="92"/>
      <c r="CB14" s="92"/>
      <c r="CC14" s="92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  <c r="DQ14" s="92"/>
      <c r="DR14" s="92"/>
      <c r="DS14" s="92"/>
      <c r="DT14" s="92"/>
      <c r="DU14" s="92"/>
      <c r="DV14" s="92"/>
      <c r="DW14" s="92"/>
      <c r="DX14" s="92"/>
      <c r="DY14" s="92"/>
      <c r="DZ14" s="92"/>
      <c r="EA14" s="92"/>
      <c r="EB14" s="92"/>
      <c r="EC14" s="92"/>
      <c r="ED14" s="92"/>
      <c r="EE14" s="92"/>
      <c r="EF14" s="92"/>
      <c r="EG14" s="92"/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2"/>
      <c r="FH14" s="92"/>
      <c r="FI14" s="92"/>
      <c r="FJ14" s="92"/>
      <c r="FK14" s="92"/>
      <c r="FL14" s="92"/>
      <c r="FM14" s="92"/>
      <c r="FN14" s="92"/>
      <c r="FO14" s="92"/>
      <c r="FP14" s="92"/>
      <c r="FQ14" s="92"/>
      <c r="FR14" s="92"/>
      <c r="FS14" s="92"/>
      <c r="FT14" s="92"/>
      <c r="FU14" s="92"/>
      <c r="FV14" s="92"/>
      <c r="FW14" s="92"/>
      <c r="FX14" s="92"/>
      <c r="FY14" s="92"/>
      <c r="FZ14" s="92"/>
      <c r="GA14" s="92"/>
      <c r="GB14" s="92"/>
      <c r="GC14" s="92"/>
      <c r="GD14" s="92"/>
      <c r="GE14" s="92"/>
      <c r="GF14" s="92"/>
      <c r="GG14" s="92"/>
      <c r="GH14" s="92"/>
      <c r="GI14" s="92"/>
      <c r="GJ14" s="92"/>
      <c r="GK14" s="92"/>
      <c r="GL14" s="92"/>
      <c r="GM14" s="92"/>
      <c r="GN14" s="92"/>
      <c r="GO14" s="92"/>
      <c r="GP14" s="92"/>
      <c r="GQ14" s="92"/>
      <c r="GR14" s="92"/>
      <c r="GS14" s="92"/>
      <c r="GT14" s="92"/>
      <c r="GU14" s="92"/>
      <c r="GV14" s="92"/>
      <c r="GW14" s="92"/>
      <c r="GX14" s="92"/>
      <c r="GY14" s="92"/>
      <c r="GZ14" s="92"/>
      <c r="HA14" s="92"/>
      <c r="HB14" s="92"/>
      <c r="HC14" s="92"/>
      <c r="HD14" s="92"/>
      <c r="HE14" s="92"/>
      <c r="HF14" s="92"/>
      <c r="HG14" s="92"/>
      <c r="HH14" s="92"/>
      <c r="HI14" s="92"/>
      <c r="HJ14" s="92"/>
      <c r="HK14" s="92"/>
      <c r="HL14" s="92"/>
      <c r="HM14" s="92"/>
      <c r="HN14" s="92"/>
      <c r="HO14" s="92"/>
      <c r="HP14" s="92"/>
      <c r="HQ14" s="92"/>
      <c r="HR14" s="92"/>
      <c r="HS14" s="92"/>
      <c r="HT14" s="92"/>
      <c r="HU14" s="92"/>
      <c r="HV14" s="92"/>
      <c r="HW14" s="92"/>
      <c r="HX14" s="92"/>
      <c r="HY14" s="92"/>
      <c r="HZ14" s="92"/>
      <c r="IA14" s="92"/>
      <c r="IB14" s="92"/>
      <c r="IC14" s="92"/>
      <c r="ID14" s="92"/>
      <c r="IE14" s="92"/>
      <c r="IF14" s="92"/>
      <c r="IG14" s="92"/>
      <c r="IH14" s="92"/>
      <c r="II14" s="92"/>
      <c r="IJ14" s="92"/>
      <c r="IK14" s="92"/>
      <c r="IL14" s="92"/>
      <c r="IM14" s="92"/>
      <c r="IN14" s="92"/>
      <c r="IO14" s="92"/>
      <c r="IP14" s="92"/>
      <c r="IQ14" s="92"/>
      <c r="IR14" s="92"/>
      <c r="IS14" s="92"/>
      <c r="IT14" s="92"/>
      <c r="IU14" s="92"/>
      <c r="IV14" s="92"/>
      <c r="IW14" s="92"/>
      <c r="IX14" s="92"/>
      <c r="IY14" s="92"/>
    </row>
    <row r="15" spans="1:259" x14ac:dyDescent="0.3">
      <c r="A15" s="6" t="s">
        <v>205</v>
      </c>
      <c r="B15" s="6"/>
      <c r="C15" s="6"/>
      <c r="D15" s="6"/>
      <c r="E15" s="6" t="s">
        <v>303</v>
      </c>
      <c r="F15" s="6" t="s">
        <v>17</v>
      </c>
      <c r="G15" s="6" t="s">
        <v>395</v>
      </c>
      <c r="H15" s="6" t="s">
        <v>398</v>
      </c>
      <c r="I15" s="2" t="s">
        <v>401</v>
      </c>
      <c r="J15" s="87"/>
      <c r="K15" s="88">
        <f t="shared" si="10"/>
        <v>0</v>
      </c>
      <c r="L15" s="89">
        <v>0</v>
      </c>
      <c r="M15" s="88">
        <f t="shared" si="1"/>
        <v>0</v>
      </c>
      <c r="N15" s="88">
        <f t="shared" si="11"/>
        <v>0</v>
      </c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1"/>
      <c r="AU15" s="30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2"/>
      <c r="ET15" s="92"/>
      <c r="EU15" s="92"/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2"/>
      <c r="FH15" s="92"/>
      <c r="FI15" s="92"/>
      <c r="FJ15" s="92"/>
      <c r="FK15" s="92"/>
      <c r="FL15" s="92"/>
      <c r="FM15" s="92"/>
      <c r="FN15" s="92"/>
      <c r="FO15" s="92"/>
      <c r="FP15" s="92"/>
      <c r="FQ15" s="92"/>
      <c r="FR15" s="92"/>
      <c r="FS15" s="92"/>
      <c r="FT15" s="92"/>
      <c r="FU15" s="92"/>
      <c r="FV15" s="92"/>
      <c r="FW15" s="92"/>
      <c r="FX15" s="92"/>
      <c r="FY15" s="92"/>
      <c r="FZ15" s="92"/>
      <c r="GA15" s="92"/>
      <c r="GB15" s="92"/>
      <c r="GC15" s="92"/>
      <c r="GD15" s="92"/>
      <c r="GE15" s="92"/>
      <c r="GF15" s="92"/>
      <c r="GG15" s="92"/>
      <c r="GH15" s="92"/>
      <c r="GI15" s="92"/>
      <c r="GJ15" s="92"/>
      <c r="GK15" s="92"/>
      <c r="GL15" s="92"/>
      <c r="GM15" s="92"/>
      <c r="GN15" s="92"/>
      <c r="GO15" s="92"/>
      <c r="GP15" s="92"/>
      <c r="GQ15" s="92"/>
      <c r="GR15" s="92"/>
      <c r="GS15" s="92"/>
      <c r="GT15" s="92"/>
      <c r="GU15" s="92"/>
      <c r="GV15" s="92"/>
      <c r="GW15" s="92"/>
      <c r="GX15" s="92"/>
      <c r="GY15" s="92"/>
      <c r="GZ15" s="92"/>
      <c r="HA15" s="92"/>
      <c r="HB15" s="92"/>
      <c r="HC15" s="92"/>
      <c r="HD15" s="92"/>
      <c r="HE15" s="92"/>
      <c r="HF15" s="92"/>
      <c r="HG15" s="92"/>
      <c r="HH15" s="92"/>
      <c r="HI15" s="92"/>
      <c r="HJ15" s="92"/>
      <c r="HK15" s="92"/>
      <c r="HL15" s="92"/>
      <c r="HM15" s="92"/>
      <c r="HN15" s="92"/>
      <c r="HO15" s="92"/>
      <c r="HP15" s="92"/>
      <c r="HQ15" s="92"/>
      <c r="HR15" s="92"/>
      <c r="HS15" s="92"/>
      <c r="HT15" s="92"/>
      <c r="HU15" s="92"/>
      <c r="HV15" s="92"/>
      <c r="HW15" s="92"/>
      <c r="HX15" s="92"/>
      <c r="HY15" s="92"/>
      <c r="HZ15" s="92"/>
      <c r="IA15" s="92"/>
      <c r="IB15" s="92"/>
      <c r="IC15" s="92"/>
      <c r="ID15" s="92"/>
      <c r="IE15" s="92"/>
      <c r="IF15" s="92"/>
      <c r="IG15" s="92"/>
      <c r="IH15" s="92"/>
      <c r="II15" s="92"/>
      <c r="IJ15" s="92"/>
      <c r="IK15" s="92"/>
      <c r="IL15" s="92"/>
      <c r="IM15" s="92"/>
      <c r="IN15" s="92"/>
      <c r="IO15" s="92"/>
      <c r="IP15" s="92"/>
      <c r="IQ15" s="92"/>
      <c r="IR15" s="92"/>
      <c r="IS15" s="92"/>
      <c r="IT15" s="92"/>
      <c r="IU15" s="92"/>
      <c r="IV15" s="92"/>
      <c r="IW15" s="92"/>
      <c r="IX15" s="92"/>
      <c r="IY15" s="92"/>
    </row>
    <row r="16" spans="1:259" x14ac:dyDescent="0.2">
      <c r="A16" s="93" t="s">
        <v>170</v>
      </c>
      <c r="B16" s="6"/>
      <c r="C16" s="6"/>
      <c r="D16" s="6"/>
      <c r="E16" s="6" t="s">
        <v>319</v>
      </c>
      <c r="F16" s="6" t="s">
        <v>17</v>
      </c>
      <c r="G16" s="6" t="s">
        <v>396</v>
      </c>
      <c r="H16" s="6" t="s">
        <v>400</v>
      </c>
      <c r="I16" s="3" t="s">
        <v>399</v>
      </c>
      <c r="J16" s="87"/>
      <c r="K16" s="88">
        <f t="shared" si="10"/>
        <v>0</v>
      </c>
      <c r="L16" s="89">
        <v>0</v>
      </c>
      <c r="M16" s="88">
        <f t="shared" si="1"/>
        <v>0</v>
      </c>
      <c r="N16" s="88">
        <f t="shared" si="11"/>
        <v>0</v>
      </c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1"/>
      <c r="AU16" s="30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92"/>
      <c r="CN16" s="92"/>
      <c r="CO16" s="92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  <c r="DQ16" s="92"/>
      <c r="DR16" s="92"/>
      <c r="DS16" s="92"/>
      <c r="DT16" s="92"/>
      <c r="DU16" s="92"/>
      <c r="DV16" s="92"/>
      <c r="DW16" s="92"/>
      <c r="DX16" s="92"/>
      <c r="DY16" s="92"/>
      <c r="DZ16" s="92"/>
      <c r="EA16" s="92"/>
      <c r="EB16" s="92"/>
      <c r="EC16" s="92"/>
      <c r="ED16" s="92"/>
      <c r="EE16" s="92"/>
      <c r="EF16" s="92"/>
      <c r="EG16" s="92"/>
      <c r="EH16" s="92"/>
      <c r="EI16" s="92"/>
      <c r="EJ16" s="92"/>
      <c r="EK16" s="92"/>
      <c r="EL16" s="92"/>
      <c r="EM16" s="92"/>
      <c r="EN16" s="92"/>
      <c r="EO16" s="92"/>
      <c r="EP16" s="92"/>
      <c r="EQ16" s="92"/>
      <c r="ER16" s="92"/>
      <c r="ES16" s="92"/>
      <c r="ET16" s="92"/>
      <c r="EU16" s="92"/>
      <c r="EV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2"/>
      <c r="FH16" s="92"/>
      <c r="FI16" s="92"/>
      <c r="FJ16" s="92"/>
      <c r="FK16" s="92"/>
      <c r="FL16" s="92"/>
      <c r="FM16" s="92"/>
      <c r="FN16" s="92"/>
      <c r="FO16" s="92"/>
      <c r="FP16" s="92"/>
      <c r="FQ16" s="92"/>
      <c r="FR16" s="92"/>
      <c r="FS16" s="92"/>
      <c r="FT16" s="92"/>
      <c r="FU16" s="92"/>
      <c r="FV16" s="92"/>
      <c r="FW16" s="92"/>
      <c r="FX16" s="92"/>
      <c r="FY16" s="92"/>
      <c r="FZ16" s="92"/>
      <c r="GA16" s="92"/>
      <c r="GB16" s="92"/>
      <c r="GC16" s="92"/>
      <c r="GD16" s="92"/>
      <c r="GE16" s="92"/>
      <c r="GF16" s="92"/>
      <c r="GG16" s="92"/>
      <c r="GH16" s="92"/>
      <c r="GI16" s="92"/>
      <c r="GJ16" s="92"/>
      <c r="GK16" s="92"/>
      <c r="GL16" s="92"/>
      <c r="GM16" s="92"/>
      <c r="GN16" s="92"/>
      <c r="GO16" s="92"/>
      <c r="GP16" s="92"/>
      <c r="GQ16" s="92"/>
      <c r="GR16" s="92"/>
      <c r="GS16" s="92"/>
      <c r="GT16" s="92"/>
      <c r="GU16" s="92"/>
      <c r="GV16" s="92"/>
      <c r="GW16" s="92"/>
      <c r="GX16" s="92"/>
      <c r="GY16" s="92"/>
      <c r="GZ16" s="92"/>
      <c r="HA16" s="92"/>
      <c r="HB16" s="92"/>
      <c r="HC16" s="92"/>
      <c r="HD16" s="92"/>
      <c r="HE16" s="92"/>
      <c r="HF16" s="92"/>
      <c r="HG16" s="92"/>
      <c r="HH16" s="92"/>
      <c r="HI16" s="92"/>
      <c r="HJ16" s="92"/>
      <c r="HK16" s="92"/>
      <c r="HL16" s="92"/>
      <c r="HM16" s="92"/>
      <c r="HN16" s="92"/>
      <c r="HO16" s="92"/>
      <c r="HP16" s="92"/>
      <c r="HQ16" s="92"/>
      <c r="HR16" s="92"/>
      <c r="HS16" s="92"/>
      <c r="HT16" s="92"/>
      <c r="HU16" s="92"/>
      <c r="HV16" s="92"/>
      <c r="HW16" s="92"/>
      <c r="HX16" s="92"/>
      <c r="HY16" s="92"/>
      <c r="HZ16" s="92"/>
      <c r="IA16" s="92"/>
      <c r="IB16" s="92"/>
      <c r="IC16" s="92"/>
      <c r="ID16" s="92"/>
      <c r="IE16" s="92"/>
      <c r="IF16" s="92"/>
      <c r="IG16" s="92"/>
      <c r="IH16" s="92"/>
      <c r="II16" s="92"/>
      <c r="IJ16" s="92"/>
      <c r="IK16" s="92"/>
      <c r="IL16" s="92"/>
      <c r="IM16" s="92"/>
      <c r="IN16" s="92"/>
      <c r="IO16" s="92"/>
      <c r="IP16" s="92"/>
      <c r="IQ16" s="92"/>
      <c r="IR16" s="92"/>
      <c r="IS16" s="92"/>
      <c r="IT16" s="92"/>
      <c r="IU16" s="92"/>
      <c r="IV16" s="92"/>
      <c r="IW16" s="92"/>
      <c r="IX16" s="92"/>
      <c r="IY16" s="92"/>
    </row>
    <row r="17" spans="1:259" x14ac:dyDescent="0.2">
      <c r="A17" s="93" t="s">
        <v>234</v>
      </c>
      <c r="B17" s="6"/>
      <c r="C17" s="6"/>
      <c r="D17" s="6"/>
      <c r="E17" s="6" t="s">
        <v>323</v>
      </c>
      <c r="F17" s="6" t="s">
        <v>17</v>
      </c>
      <c r="G17" s="6" t="s">
        <v>396</v>
      </c>
      <c r="H17" s="6" t="s">
        <v>400</v>
      </c>
      <c r="I17" s="2" t="s">
        <v>401</v>
      </c>
      <c r="J17" s="87"/>
      <c r="K17" s="88">
        <f t="shared" si="10"/>
        <v>0</v>
      </c>
      <c r="L17" s="89">
        <v>0</v>
      </c>
      <c r="M17" s="88">
        <f t="shared" si="1"/>
        <v>0</v>
      </c>
      <c r="N17" s="88">
        <f t="shared" si="11"/>
        <v>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1"/>
      <c r="AU17" s="30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2"/>
      <c r="BY17" s="92"/>
      <c r="BZ17" s="92"/>
      <c r="CA17" s="92"/>
      <c r="CB17" s="92"/>
      <c r="CC17" s="92"/>
      <c r="CD17" s="92"/>
      <c r="CE17" s="92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/>
      <c r="DW17" s="92"/>
      <c r="DX17" s="92"/>
      <c r="DY17" s="92"/>
      <c r="DZ17" s="92"/>
      <c r="EA17" s="92"/>
      <c r="EB17" s="92"/>
      <c r="EC17" s="92"/>
      <c r="ED17" s="92"/>
      <c r="EE17" s="92"/>
      <c r="EF17" s="92"/>
      <c r="EG17" s="92"/>
      <c r="EH17" s="92"/>
      <c r="EI17" s="92"/>
      <c r="EJ17" s="92"/>
      <c r="EK17" s="92"/>
      <c r="EL17" s="92"/>
      <c r="EM17" s="92"/>
      <c r="EN17" s="92"/>
      <c r="EO17" s="92"/>
      <c r="EP17" s="92"/>
      <c r="EQ17" s="92"/>
      <c r="ER17" s="92"/>
      <c r="ES17" s="92"/>
      <c r="ET17" s="92"/>
      <c r="EU17" s="92"/>
      <c r="EV17" s="92"/>
      <c r="EW17" s="92"/>
      <c r="EX17" s="92"/>
      <c r="EY17" s="92"/>
      <c r="EZ17" s="92"/>
      <c r="FA17" s="92"/>
      <c r="FB17" s="92"/>
      <c r="FC17" s="92"/>
      <c r="FD17" s="92"/>
      <c r="FE17" s="92"/>
      <c r="FF17" s="92"/>
      <c r="FG17" s="92"/>
      <c r="FH17" s="92"/>
      <c r="FI17" s="92"/>
      <c r="FJ17" s="92"/>
      <c r="FK17" s="92"/>
      <c r="FL17" s="92"/>
      <c r="FM17" s="92"/>
      <c r="FN17" s="92"/>
      <c r="FO17" s="92"/>
      <c r="FP17" s="92"/>
      <c r="FQ17" s="92"/>
      <c r="FR17" s="92"/>
      <c r="FS17" s="92"/>
      <c r="FT17" s="92"/>
      <c r="FU17" s="92"/>
      <c r="FV17" s="92"/>
      <c r="FW17" s="92"/>
      <c r="FX17" s="92"/>
      <c r="FY17" s="92"/>
      <c r="FZ17" s="92"/>
      <c r="GA17" s="92"/>
      <c r="GB17" s="92"/>
      <c r="GC17" s="92"/>
      <c r="GD17" s="92"/>
      <c r="GE17" s="92"/>
      <c r="GF17" s="92"/>
      <c r="GG17" s="92"/>
      <c r="GH17" s="92"/>
      <c r="GI17" s="92"/>
      <c r="GJ17" s="92"/>
      <c r="GK17" s="92"/>
      <c r="GL17" s="92"/>
      <c r="GM17" s="92"/>
      <c r="GN17" s="92"/>
      <c r="GO17" s="92"/>
      <c r="GP17" s="92"/>
      <c r="GQ17" s="92"/>
      <c r="GR17" s="92"/>
      <c r="GS17" s="92"/>
      <c r="GT17" s="92"/>
      <c r="GU17" s="92"/>
      <c r="GV17" s="92"/>
      <c r="GW17" s="92"/>
      <c r="GX17" s="92"/>
      <c r="GY17" s="92"/>
      <c r="GZ17" s="92"/>
      <c r="HA17" s="92"/>
      <c r="HB17" s="92"/>
      <c r="HC17" s="92"/>
      <c r="HD17" s="92"/>
      <c r="HE17" s="92"/>
      <c r="HF17" s="92"/>
      <c r="HG17" s="92"/>
      <c r="HH17" s="92"/>
      <c r="HI17" s="92"/>
      <c r="HJ17" s="92"/>
      <c r="HK17" s="92"/>
      <c r="HL17" s="92"/>
      <c r="HM17" s="92"/>
      <c r="HN17" s="92"/>
      <c r="HO17" s="92"/>
      <c r="HP17" s="92"/>
      <c r="HQ17" s="92"/>
      <c r="HR17" s="92"/>
      <c r="HS17" s="92"/>
      <c r="HT17" s="92"/>
      <c r="HU17" s="92"/>
      <c r="HV17" s="92"/>
      <c r="HW17" s="92"/>
      <c r="HX17" s="92"/>
      <c r="HY17" s="92"/>
      <c r="HZ17" s="92"/>
      <c r="IA17" s="92"/>
      <c r="IB17" s="92"/>
      <c r="IC17" s="92"/>
      <c r="ID17" s="92"/>
      <c r="IE17" s="92"/>
      <c r="IF17" s="92"/>
      <c r="IG17" s="92"/>
      <c r="IH17" s="92"/>
      <c r="II17" s="92"/>
      <c r="IJ17" s="92"/>
      <c r="IK17" s="92"/>
      <c r="IL17" s="92"/>
      <c r="IM17" s="92"/>
      <c r="IN17" s="92"/>
      <c r="IO17" s="92"/>
      <c r="IP17" s="92"/>
      <c r="IQ17" s="92"/>
      <c r="IR17" s="92"/>
      <c r="IS17" s="92"/>
      <c r="IT17" s="92"/>
      <c r="IU17" s="92"/>
      <c r="IV17" s="92"/>
      <c r="IW17" s="92"/>
      <c r="IX17" s="92"/>
      <c r="IY17" s="92"/>
    </row>
    <row r="18" spans="1:259" x14ac:dyDescent="0.3">
      <c r="A18" s="2" t="s">
        <v>197</v>
      </c>
      <c r="B18" s="2"/>
      <c r="C18" s="2"/>
      <c r="D18" s="2"/>
      <c r="E18" s="2" t="s">
        <v>303</v>
      </c>
      <c r="F18" s="2" t="s">
        <v>17</v>
      </c>
      <c r="G18" s="2" t="s">
        <v>336</v>
      </c>
      <c r="H18" s="2" t="s">
        <v>496</v>
      </c>
      <c r="I18" s="7" t="s">
        <v>497</v>
      </c>
      <c r="J18" s="87"/>
      <c r="K18" s="88">
        <f t="shared" ref="K18" si="12">L18-M18</f>
        <v>0</v>
      </c>
      <c r="L18" s="89">
        <v>0</v>
      </c>
      <c r="M18" s="88">
        <f t="shared" si="1"/>
        <v>0</v>
      </c>
      <c r="N18" s="88">
        <f t="shared" ref="N18" si="13">K18</f>
        <v>0</v>
      </c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1"/>
      <c r="AU18" s="30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2"/>
      <c r="DX18" s="92"/>
      <c r="DY18" s="92"/>
      <c r="DZ18" s="92"/>
      <c r="EA18" s="92"/>
      <c r="EB18" s="92"/>
      <c r="EC18" s="92"/>
      <c r="ED18" s="92"/>
      <c r="EE18" s="92"/>
      <c r="EF18" s="92"/>
      <c r="EG18" s="92"/>
      <c r="EH18" s="92"/>
      <c r="EI18" s="92"/>
      <c r="EJ18" s="92"/>
      <c r="EK18" s="92"/>
      <c r="EL18" s="92"/>
      <c r="EM18" s="92"/>
      <c r="EN18" s="92"/>
      <c r="EO18" s="92"/>
      <c r="EP18" s="92"/>
      <c r="EQ18" s="92"/>
      <c r="ER18" s="92"/>
      <c r="ES18" s="92"/>
      <c r="ET18" s="92"/>
      <c r="EU18" s="92"/>
      <c r="EV18" s="92"/>
      <c r="EW18" s="92"/>
      <c r="EX18" s="92"/>
      <c r="EY18" s="92"/>
      <c r="EZ18" s="92"/>
      <c r="FA18" s="92"/>
      <c r="FB18" s="92"/>
      <c r="FC18" s="92"/>
      <c r="FD18" s="92"/>
      <c r="FE18" s="92"/>
      <c r="FF18" s="92"/>
      <c r="FG18" s="92"/>
      <c r="FH18" s="92"/>
      <c r="FI18" s="92"/>
      <c r="FJ18" s="92"/>
      <c r="FK18" s="92"/>
      <c r="FL18" s="92"/>
      <c r="FM18" s="92"/>
      <c r="FN18" s="92"/>
      <c r="FO18" s="92"/>
      <c r="FP18" s="92"/>
      <c r="FQ18" s="92"/>
      <c r="FR18" s="92"/>
      <c r="FS18" s="92"/>
      <c r="FT18" s="92"/>
      <c r="FU18" s="92"/>
      <c r="FV18" s="92"/>
      <c r="FW18" s="92"/>
      <c r="FX18" s="92"/>
      <c r="FY18" s="92"/>
      <c r="FZ18" s="92"/>
      <c r="GA18" s="92"/>
      <c r="GB18" s="92"/>
      <c r="GC18" s="92"/>
      <c r="GD18" s="92"/>
      <c r="GE18" s="92"/>
      <c r="GF18" s="92"/>
      <c r="GG18" s="92"/>
      <c r="GH18" s="92"/>
      <c r="GI18" s="92"/>
      <c r="GJ18" s="92"/>
      <c r="GK18" s="92"/>
      <c r="GL18" s="92"/>
      <c r="GM18" s="92"/>
      <c r="GN18" s="92"/>
      <c r="GO18" s="92"/>
      <c r="GP18" s="92"/>
      <c r="GQ18" s="92"/>
      <c r="GR18" s="92"/>
      <c r="GS18" s="92"/>
      <c r="GT18" s="92"/>
      <c r="GU18" s="92"/>
      <c r="GV18" s="92"/>
      <c r="GW18" s="92"/>
      <c r="GX18" s="92"/>
      <c r="GY18" s="92"/>
      <c r="GZ18" s="92"/>
      <c r="HA18" s="92"/>
      <c r="HB18" s="92"/>
      <c r="HC18" s="92"/>
      <c r="HD18" s="92"/>
      <c r="HE18" s="92"/>
      <c r="HF18" s="92"/>
      <c r="HG18" s="92"/>
      <c r="HH18" s="92"/>
      <c r="HI18" s="92"/>
      <c r="HJ18" s="92"/>
      <c r="HK18" s="92"/>
      <c r="HL18" s="92"/>
      <c r="HM18" s="92"/>
      <c r="HN18" s="92"/>
      <c r="HO18" s="92"/>
      <c r="HP18" s="92"/>
      <c r="HQ18" s="92"/>
      <c r="HR18" s="92"/>
      <c r="HS18" s="92"/>
      <c r="HT18" s="92"/>
      <c r="HU18" s="92"/>
      <c r="HV18" s="92"/>
      <c r="HW18" s="92"/>
      <c r="HX18" s="92"/>
      <c r="HY18" s="92"/>
      <c r="HZ18" s="92"/>
      <c r="IA18" s="92"/>
      <c r="IB18" s="92"/>
      <c r="IC18" s="92"/>
      <c r="ID18" s="92"/>
      <c r="IE18" s="92"/>
      <c r="IF18" s="92"/>
      <c r="IG18" s="92"/>
      <c r="IH18" s="92"/>
      <c r="II18" s="92"/>
      <c r="IJ18" s="92"/>
      <c r="IK18" s="92"/>
      <c r="IL18" s="92"/>
      <c r="IM18" s="92"/>
      <c r="IN18" s="92"/>
      <c r="IO18" s="92"/>
      <c r="IP18" s="92"/>
      <c r="IQ18" s="92"/>
      <c r="IR18" s="92"/>
      <c r="IS18" s="92"/>
      <c r="IT18" s="92"/>
      <c r="IU18" s="92"/>
      <c r="IV18" s="92"/>
      <c r="IW18" s="92"/>
      <c r="IX18" s="92"/>
      <c r="IY18" s="92"/>
    </row>
    <row r="19" spans="1:259" x14ac:dyDescent="0.3">
      <c r="A19" s="2" t="s">
        <v>197</v>
      </c>
      <c r="B19" s="2"/>
      <c r="C19" s="2"/>
      <c r="D19" s="2"/>
      <c r="E19" s="2" t="s">
        <v>303</v>
      </c>
      <c r="F19" s="2" t="s">
        <v>17</v>
      </c>
      <c r="G19" s="2" t="s">
        <v>393</v>
      </c>
      <c r="H19" s="2" t="s">
        <v>361</v>
      </c>
      <c r="I19" s="2" t="s">
        <v>390</v>
      </c>
      <c r="J19" s="87"/>
      <c r="K19" s="88">
        <f t="shared" si="10"/>
        <v>0</v>
      </c>
      <c r="L19" s="89">
        <v>0</v>
      </c>
      <c r="M19" s="88">
        <f t="shared" si="1"/>
        <v>0</v>
      </c>
      <c r="N19" s="88">
        <f t="shared" ref="N19:N33" si="14">K19</f>
        <v>0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30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2"/>
      <c r="BY19" s="92"/>
      <c r="BZ19" s="92"/>
      <c r="CA19" s="92"/>
      <c r="CB19" s="92"/>
      <c r="CC19" s="92"/>
      <c r="CD19" s="92"/>
      <c r="CE19" s="92"/>
      <c r="CF19" s="92"/>
      <c r="CG19" s="92"/>
      <c r="CH19" s="92"/>
      <c r="CI19" s="92"/>
      <c r="CJ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2"/>
      <c r="DA19" s="92"/>
      <c r="DB19" s="92"/>
      <c r="DC19" s="92"/>
      <c r="DD19" s="92"/>
      <c r="DE19" s="92"/>
      <c r="DF19" s="92"/>
      <c r="DG19" s="92"/>
      <c r="DH19" s="92"/>
      <c r="DI19" s="92"/>
      <c r="DJ19" s="92"/>
      <c r="DK19" s="92"/>
      <c r="DL19" s="92"/>
      <c r="DM19" s="92"/>
      <c r="DN19" s="92"/>
      <c r="DO19" s="92"/>
      <c r="DP19" s="92"/>
      <c r="DQ19" s="92"/>
      <c r="DR19" s="92"/>
      <c r="DS19" s="92"/>
      <c r="DT19" s="92"/>
      <c r="DU19" s="92"/>
      <c r="DV19" s="92"/>
      <c r="DW19" s="92"/>
      <c r="DX19" s="92"/>
      <c r="DY19" s="92"/>
      <c r="DZ19" s="92"/>
      <c r="EA19" s="92"/>
      <c r="EB19" s="92"/>
      <c r="EC19" s="92"/>
      <c r="ED19" s="92"/>
      <c r="EE19" s="92"/>
      <c r="EF19" s="92"/>
      <c r="EG19" s="92"/>
      <c r="EH19" s="92"/>
      <c r="EI19" s="92"/>
      <c r="EJ19" s="92"/>
      <c r="EK19" s="92"/>
      <c r="EL19" s="92"/>
      <c r="EM19" s="92"/>
      <c r="EN19" s="92"/>
      <c r="EO19" s="92"/>
      <c r="EP19" s="92"/>
      <c r="EQ19" s="92"/>
      <c r="ER19" s="92"/>
      <c r="ES19" s="92"/>
      <c r="ET19" s="92"/>
      <c r="EU19" s="92"/>
      <c r="EV19" s="92"/>
      <c r="EW19" s="92"/>
      <c r="EX19" s="92"/>
      <c r="EY19" s="92"/>
      <c r="EZ19" s="92"/>
      <c r="FA19" s="92"/>
      <c r="FB19" s="92"/>
      <c r="FC19" s="92"/>
      <c r="FD19" s="92"/>
      <c r="FE19" s="92"/>
      <c r="FF19" s="92"/>
      <c r="FG19" s="92"/>
      <c r="FH19" s="92"/>
      <c r="FI19" s="92"/>
      <c r="FJ19" s="92"/>
      <c r="FK19" s="92"/>
      <c r="FL19" s="92"/>
      <c r="FM19" s="92"/>
      <c r="FN19" s="92"/>
      <c r="FO19" s="92"/>
      <c r="FP19" s="92"/>
      <c r="FQ19" s="92"/>
      <c r="FR19" s="92"/>
      <c r="FS19" s="92"/>
      <c r="FT19" s="92"/>
      <c r="FU19" s="92"/>
      <c r="FV19" s="92"/>
      <c r="FW19" s="92"/>
      <c r="FX19" s="92"/>
      <c r="FY19" s="92"/>
      <c r="FZ19" s="92"/>
      <c r="GA19" s="92"/>
      <c r="GB19" s="92"/>
      <c r="GC19" s="92"/>
      <c r="GD19" s="92"/>
      <c r="GE19" s="92"/>
      <c r="GF19" s="92"/>
      <c r="GG19" s="92"/>
      <c r="GH19" s="92"/>
      <c r="GI19" s="92"/>
      <c r="GJ19" s="92"/>
      <c r="GK19" s="92"/>
      <c r="GL19" s="92"/>
      <c r="GM19" s="92"/>
      <c r="GN19" s="92"/>
      <c r="GO19" s="92"/>
      <c r="GP19" s="92"/>
      <c r="GQ19" s="92"/>
      <c r="GR19" s="92"/>
      <c r="GS19" s="92"/>
      <c r="GT19" s="92"/>
      <c r="GU19" s="92"/>
      <c r="GV19" s="92"/>
      <c r="GW19" s="92"/>
      <c r="GX19" s="92"/>
      <c r="GY19" s="92"/>
      <c r="GZ19" s="92"/>
      <c r="HA19" s="92"/>
      <c r="HB19" s="92"/>
      <c r="HC19" s="92"/>
      <c r="HD19" s="92"/>
      <c r="HE19" s="92"/>
      <c r="HF19" s="92"/>
      <c r="HG19" s="92"/>
      <c r="HH19" s="92"/>
      <c r="HI19" s="92"/>
      <c r="HJ19" s="92"/>
      <c r="HK19" s="92"/>
      <c r="HL19" s="92"/>
      <c r="HM19" s="92"/>
      <c r="HN19" s="92"/>
      <c r="HO19" s="92"/>
      <c r="HP19" s="92"/>
      <c r="HQ19" s="92"/>
      <c r="HR19" s="92"/>
      <c r="HS19" s="92"/>
      <c r="HT19" s="92"/>
      <c r="HU19" s="92"/>
      <c r="HV19" s="92"/>
      <c r="HW19" s="92"/>
      <c r="HX19" s="92"/>
      <c r="HY19" s="92"/>
      <c r="HZ19" s="92"/>
      <c r="IA19" s="92"/>
      <c r="IB19" s="92"/>
      <c r="IC19" s="92"/>
      <c r="ID19" s="92"/>
      <c r="IE19" s="92"/>
      <c r="IF19" s="92"/>
      <c r="IG19" s="92"/>
      <c r="IH19" s="92"/>
      <c r="II19" s="92"/>
      <c r="IJ19" s="92"/>
      <c r="IK19" s="92"/>
      <c r="IL19" s="92"/>
      <c r="IM19" s="92"/>
      <c r="IN19" s="92"/>
      <c r="IO19" s="92"/>
      <c r="IP19" s="92"/>
      <c r="IQ19" s="92"/>
      <c r="IR19" s="92"/>
      <c r="IS19" s="92"/>
      <c r="IT19" s="92"/>
      <c r="IU19" s="92"/>
      <c r="IV19" s="92"/>
      <c r="IW19" s="92"/>
      <c r="IX19" s="92"/>
      <c r="IY19" s="92"/>
    </row>
    <row r="20" spans="1:259" x14ac:dyDescent="0.3">
      <c r="A20" s="2" t="s">
        <v>197</v>
      </c>
      <c r="B20" s="2"/>
      <c r="C20" s="2"/>
      <c r="D20" s="2"/>
      <c r="E20" s="2" t="s">
        <v>303</v>
      </c>
      <c r="F20" s="2" t="s">
        <v>17</v>
      </c>
      <c r="G20" s="2" t="s">
        <v>393</v>
      </c>
      <c r="H20" s="2" t="s">
        <v>363</v>
      </c>
      <c r="I20" s="2" t="s">
        <v>390</v>
      </c>
      <c r="J20" s="87"/>
      <c r="K20" s="88">
        <f t="shared" si="10"/>
        <v>0</v>
      </c>
      <c r="L20" s="89">
        <v>0</v>
      </c>
      <c r="M20" s="88">
        <f t="shared" si="1"/>
        <v>0</v>
      </c>
      <c r="N20" s="88">
        <f t="shared" si="14"/>
        <v>0</v>
      </c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1"/>
      <c r="AU20" s="30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2"/>
      <c r="BY20" s="92"/>
      <c r="BZ20" s="92"/>
      <c r="CA20" s="92"/>
      <c r="CB20" s="92"/>
      <c r="CC20" s="92"/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2"/>
      <c r="DA20" s="92"/>
      <c r="DB20" s="92"/>
      <c r="DC20" s="92"/>
      <c r="DD20" s="92"/>
      <c r="DE20" s="92"/>
      <c r="DF20" s="92"/>
      <c r="DG20" s="92"/>
      <c r="DH20" s="92"/>
      <c r="DI20" s="92"/>
      <c r="DJ20" s="92"/>
      <c r="DK20" s="92"/>
      <c r="DL20" s="92"/>
      <c r="DM20" s="92"/>
      <c r="DN20" s="92"/>
      <c r="DO20" s="92"/>
      <c r="DP20" s="92"/>
      <c r="DQ20" s="92"/>
      <c r="DR20" s="92"/>
      <c r="DS20" s="92"/>
      <c r="DT20" s="92"/>
      <c r="DU20" s="92"/>
      <c r="DV20" s="92"/>
      <c r="DW20" s="92"/>
      <c r="DX20" s="92"/>
      <c r="DY20" s="92"/>
      <c r="DZ20" s="92"/>
      <c r="EA20" s="92"/>
      <c r="EB20" s="92"/>
      <c r="EC20" s="92"/>
      <c r="ED20" s="92"/>
      <c r="EE20" s="92"/>
      <c r="EF20" s="92"/>
      <c r="EG20" s="92"/>
      <c r="EH20" s="92"/>
      <c r="EI20" s="92"/>
      <c r="EJ20" s="92"/>
      <c r="EK20" s="92"/>
      <c r="EL20" s="92"/>
      <c r="EM20" s="92"/>
      <c r="EN20" s="92"/>
      <c r="EO20" s="92"/>
      <c r="EP20" s="92"/>
      <c r="EQ20" s="92"/>
      <c r="ER20" s="92"/>
      <c r="ES20" s="92"/>
      <c r="ET20" s="92"/>
      <c r="EU20" s="92"/>
      <c r="EV20" s="92"/>
      <c r="EW20" s="92"/>
      <c r="EX20" s="92"/>
      <c r="EY20" s="92"/>
      <c r="EZ20" s="92"/>
      <c r="FA20" s="92"/>
      <c r="FB20" s="92"/>
      <c r="FC20" s="92"/>
      <c r="FD20" s="92"/>
      <c r="FE20" s="92"/>
      <c r="FF20" s="92"/>
      <c r="FG20" s="92"/>
      <c r="FH20" s="92"/>
      <c r="FI20" s="92"/>
      <c r="FJ20" s="92"/>
      <c r="FK20" s="92"/>
      <c r="FL20" s="92"/>
      <c r="FM20" s="92"/>
      <c r="FN20" s="92"/>
      <c r="FO20" s="92"/>
      <c r="FP20" s="92"/>
      <c r="FQ20" s="92"/>
      <c r="FR20" s="92"/>
      <c r="FS20" s="92"/>
      <c r="FT20" s="92"/>
      <c r="FU20" s="92"/>
      <c r="FV20" s="92"/>
      <c r="FW20" s="92"/>
      <c r="FX20" s="92"/>
      <c r="FY20" s="92"/>
      <c r="FZ20" s="92"/>
      <c r="GA20" s="92"/>
      <c r="GB20" s="92"/>
      <c r="GC20" s="92"/>
      <c r="GD20" s="92"/>
      <c r="GE20" s="92"/>
      <c r="GF20" s="92"/>
      <c r="GG20" s="92"/>
      <c r="GH20" s="92"/>
      <c r="GI20" s="92"/>
      <c r="GJ20" s="92"/>
      <c r="GK20" s="92"/>
      <c r="GL20" s="92"/>
      <c r="GM20" s="92"/>
      <c r="GN20" s="92"/>
      <c r="GO20" s="92"/>
      <c r="GP20" s="92"/>
      <c r="GQ20" s="92"/>
      <c r="GR20" s="92"/>
      <c r="GS20" s="92"/>
      <c r="GT20" s="92"/>
      <c r="GU20" s="92"/>
      <c r="GV20" s="92"/>
      <c r="GW20" s="92"/>
      <c r="GX20" s="92"/>
      <c r="GY20" s="92"/>
      <c r="GZ20" s="92"/>
      <c r="HA20" s="92"/>
      <c r="HB20" s="92"/>
      <c r="HC20" s="92"/>
      <c r="HD20" s="92"/>
      <c r="HE20" s="92"/>
      <c r="HF20" s="92"/>
      <c r="HG20" s="92"/>
      <c r="HH20" s="92"/>
      <c r="HI20" s="92"/>
      <c r="HJ20" s="92"/>
      <c r="HK20" s="92"/>
      <c r="HL20" s="92"/>
      <c r="HM20" s="92"/>
      <c r="HN20" s="92"/>
      <c r="HO20" s="92"/>
      <c r="HP20" s="92"/>
      <c r="HQ20" s="92"/>
      <c r="HR20" s="92"/>
      <c r="HS20" s="92"/>
      <c r="HT20" s="92"/>
      <c r="HU20" s="92"/>
      <c r="HV20" s="92"/>
      <c r="HW20" s="92"/>
      <c r="HX20" s="92"/>
      <c r="HY20" s="92"/>
      <c r="HZ20" s="92"/>
      <c r="IA20" s="92"/>
      <c r="IB20" s="92"/>
      <c r="IC20" s="92"/>
      <c r="ID20" s="92"/>
      <c r="IE20" s="92"/>
      <c r="IF20" s="92"/>
      <c r="IG20" s="92"/>
      <c r="IH20" s="92"/>
      <c r="II20" s="92"/>
      <c r="IJ20" s="92"/>
      <c r="IK20" s="92"/>
      <c r="IL20" s="92"/>
      <c r="IM20" s="92"/>
      <c r="IN20" s="92"/>
      <c r="IO20" s="92"/>
      <c r="IP20" s="92"/>
      <c r="IQ20" s="92"/>
      <c r="IR20" s="92"/>
      <c r="IS20" s="92"/>
      <c r="IT20" s="92"/>
      <c r="IU20" s="92"/>
      <c r="IV20" s="92"/>
      <c r="IW20" s="92"/>
      <c r="IX20" s="92"/>
      <c r="IY20" s="92"/>
    </row>
    <row r="21" spans="1:259" x14ac:dyDescent="0.3">
      <c r="A21" s="2" t="s">
        <v>197</v>
      </c>
      <c r="B21" s="2"/>
      <c r="C21" s="2"/>
      <c r="D21" s="2"/>
      <c r="E21" s="2" t="s">
        <v>303</v>
      </c>
      <c r="F21" s="2" t="s">
        <v>17</v>
      </c>
      <c r="G21" s="2" t="s">
        <v>393</v>
      </c>
      <c r="H21" s="2" t="s">
        <v>364</v>
      </c>
      <c r="I21" s="2" t="s">
        <v>392</v>
      </c>
      <c r="J21" s="87"/>
      <c r="K21" s="88">
        <f t="shared" si="10"/>
        <v>0</v>
      </c>
      <c r="L21" s="89">
        <v>0</v>
      </c>
      <c r="M21" s="88">
        <f t="shared" si="1"/>
        <v>0</v>
      </c>
      <c r="N21" s="88">
        <f t="shared" si="14"/>
        <v>0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1"/>
      <c r="AU21" s="30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2"/>
      <c r="BY21" s="92"/>
      <c r="BZ21" s="92"/>
      <c r="CA21" s="92"/>
      <c r="CB21" s="92"/>
      <c r="CC21" s="92"/>
      <c r="CD21" s="92"/>
      <c r="CE21" s="92"/>
      <c r="CF21" s="92"/>
      <c r="CG21" s="92"/>
      <c r="CH21" s="92"/>
      <c r="CI21" s="92"/>
      <c r="CJ21" s="92"/>
      <c r="CK21" s="92"/>
      <c r="CL21" s="92"/>
      <c r="CM21" s="92"/>
      <c r="CN21" s="92"/>
      <c r="CO21" s="92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2"/>
      <c r="DA21" s="92"/>
      <c r="DB21" s="92"/>
      <c r="DC21" s="92"/>
      <c r="DD21" s="92"/>
      <c r="DE21" s="92"/>
      <c r="DF21" s="92"/>
      <c r="DG21" s="92"/>
      <c r="DH21" s="92"/>
      <c r="DI21" s="92"/>
      <c r="DJ21" s="92"/>
      <c r="DK21" s="92"/>
      <c r="DL21" s="92"/>
      <c r="DM21" s="92"/>
      <c r="DN21" s="92"/>
      <c r="DO21" s="92"/>
      <c r="DP21" s="92"/>
      <c r="DQ21" s="92"/>
      <c r="DR21" s="92"/>
      <c r="DS21" s="92"/>
      <c r="DT21" s="92"/>
      <c r="DU21" s="92"/>
      <c r="DV21" s="92"/>
      <c r="DW21" s="92"/>
      <c r="DX21" s="92"/>
      <c r="DY21" s="92"/>
      <c r="DZ21" s="92"/>
      <c r="EA21" s="92"/>
      <c r="EB21" s="92"/>
      <c r="EC21" s="92"/>
      <c r="ED21" s="92"/>
      <c r="EE21" s="92"/>
      <c r="EF21" s="92"/>
      <c r="EG21" s="92"/>
      <c r="EH21" s="92"/>
      <c r="EI21" s="92"/>
      <c r="EJ21" s="92"/>
      <c r="EK21" s="92"/>
      <c r="EL21" s="92"/>
      <c r="EM21" s="92"/>
      <c r="EN21" s="92"/>
      <c r="EO21" s="92"/>
      <c r="EP21" s="92"/>
      <c r="EQ21" s="92"/>
      <c r="ER21" s="92"/>
      <c r="ES21" s="92"/>
      <c r="ET21" s="92"/>
      <c r="EU21" s="92"/>
      <c r="EV21" s="92"/>
      <c r="EW21" s="92"/>
      <c r="EX21" s="92"/>
      <c r="EY21" s="92"/>
      <c r="EZ21" s="92"/>
      <c r="FA21" s="92"/>
      <c r="FB21" s="92"/>
      <c r="FC21" s="92"/>
      <c r="FD21" s="92"/>
      <c r="FE21" s="92"/>
      <c r="FF21" s="92"/>
      <c r="FG21" s="92"/>
      <c r="FH21" s="92"/>
      <c r="FI21" s="92"/>
      <c r="FJ21" s="92"/>
      <c r="FK21" s="92"/>
      <c r="FL21" s="92"/>
      <c r="FM21" s="92"/>
      <c r="FN21" s="92"/>
      <c r="FO21" s="92"/>
      <c r="FP21" s="92"/>
      <c r="FQ21" s="92"/>
      <c r="FR21" s="92"/>
      <c r="FS21" s="92"/>
      <c r="FT21" s="92"/>
      <c r="FU21" s="92"/>
      <c r="FV21" s="92"/>
      <c r="FW21" s="92"/>
      <c r="FX21" s="92"/>
      <c r="FY21" s="92"/>
      <c r="FZ21" s="92"/>
      <c r="GA21" s="92"/>
      <c r="GB21" s="92"/>
      <c r="GC21" s="92"/>
      <c r="GD21" s="92"/>
      <c r="GE21" s="92"/>
      <c r="GF21" s="92"/>
      <c r="GG21" s="92"/>
      <c r="GH21" s="92"/>
      <c r="GI21" s="92"/>
      <c r="GJ21" s="92"/>
      <c r="GK21" s="92"/>
      <c r="GL21" s="92"/>
      <c r="GM21" s="92"/>
      <c r="GN21" s="92"/>
      <c r="GO21" s="92"/>
      <c r="GP21" s="92"/>
      <c r="GQ21" s="92"/>
      <c r="GR21" s="92"/>
      <c r="GS21" s="92"/>
      <c r="GT21" s="92"/>
      <c r="GU21" s="92"/>
      <c r="GV21" s="92"/>
      <c r="GW21" s="92"/>
      <c r="GX21" s="92"/>
      <c r="GY21" s="92"/>
      <c r="GZ21" s="92"/>
      <c r="HA21" s="92"/>
      <c r="HB21" s="92"/>
      <c r="HC21" s="92"/>
      <c r="HD21" s="92"/>
      <c r="HE21" s="92"/>
      <c r="HF21" s="92"/>
      <c r="HG21" s="92"/>
      <c r="HH21" s="92"/>
      <c r="HI21" s="92"/>
      <c r="HJ21" s="92"/>
      <c r="HK21" s="92"/>
      <c r="HL21" s="92"/>
      <c r="HM21" s="92"/>
      <c r="HN21" s="92"/>
      <c r="HO21" s="92"/>
      <c r="HP21" s="92"/>
      <c r="HQ21" s="92"/>
      <c r="HR21" s="92"/>
      <c r="HS21" s="92"/>
      <c r="HT21" s="92"/>
      <c r="HU21" s="92"/>
      <c r="HV21" s="92"/>
      <c r="HW21" s="92"/>
      <c r="HX21" s="92"/>
      <c r="HY21" s="92"/>
      <c r="HZ21" s="92"/>
      <c r="IA21" s="92"/>
      <c r="IB21" s="92"/>
      <c r="IC21" s="92"/>
      <c r="ID21" s="92"/>
      <c r="IE21" s="92"/>
      <c r="IF21" s="92"/>
      <c r="IG21" s="92"/>
      <c r="IH21" s="92"/>
      <c r="II21" s="92"/>
      <c r="IJ21" s="92"/>
      <c r="IK21" s="92"/>
      <c r="IL21" s="92"/>
      <c r="IM21" s="92"/>
      <c r="IN21" s="92"/>
      <c r="IO21" s="92"/>
      <c r="IP21" s="92"/>
      <c r="IQ21" s="92"/>
      <c r="IR21" s="92"/>
      <c r="IS21" s="92"/>
      <c r="IT21" s="92"/>
      <c r="IU21" s="92"/>
      <c r="IV21" s="92"/>
      <c r="IW21" s="92"/>
      <c r="IX21" s="92"/>
      <c r="IY21" s="92"/>
    </row>
    <row r="22" spans="1:259" x14ac:dyDescent="0.3">
      <c r="A22" s="2" t="s">
        <v>197</v>
      </c>
      <c r="B22" s="2"/>
      <c r="C22" s="2"/>
      <c r="D22" s="2"/>
      <c r="E22" s="2" t="s">
        <v>303</v>
      </c>
      <c r="F22" s="2" t="s">
        <v>17</v>
      </c>
      <c r="G22" s="2" t="s">
        <v>393</v>
      </c>
      <c r="H22" s="2" t="s">
        <v>362</v>
      </c>
      <c r="I22" s="2" t="s">
        <v>392</v>
      </c>
      <c r="J22" s="87"/>
      <c r="K22" s="88">
        <f t="shared" si="10"/>
        <v>0</v>
      </c>
      <c r="L22" s="89">
        <v>0</v>
      </c>
      <c r="M22" s="88">
        <f t="shared" si="1"/>
        <v>0</v>
      </c>
      <c r="N22" s="88">
        <f t="shared" si="14"/>
        <v>0</v>
      </c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1"/>
      <c r="AU22" s="30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2"/>
      <c r="BY22" s="92"/>
      <c r="BZ22" s="92"/>
      <c r="CA22" s="92"/>
      <c r="CB22" s="92"/>
      <c r="CC22" s="92"/>
      <c r="CD22" s="92"/>
      <c r="CE22" s="92"/>
      <c r="CF22" s="92"/>
      <c r="CG22" s="92"/>
      <c r="CH22" s="92"/>
      <c r="CI22" s="92"/>
      <c r="CJ22" s="92"/>
      <c r="CK22" s="92"/>
      <c r="CL22" s="92"/>
      <c r="CM22" s="92"/>
      <c r="CN22" s="92"/>
      <c r="CO22" s="92"/>
      <c r="CP22" s="92"/>
      <c r="CQ22" s="92"/>
      <c r="CR22" s="92"/>
      <c r="CS22" s="92"/>
      <c r="CT22" s="92"/>
      <c r="CU22" s="92"/>
      <c r="CV22" s="92"/>
      <c r="CW22" s="92"/>
      <c r="CX22" s="92"/>
      <c r="CY22" s="92"/>
      <c r="CZ22" s="92"/>
      <c r="DA22" s="92"/>
      <c r="DB22" s="92"/>
      <c r="DC22" s="92"/>
      <c r="DD22" s="92"/>
      <c r="DE22" s="92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/>
      <c r="DY22" s="92"/>
      <c r="DZ22" s="92"/>
      <c r="EA22" s="92"/>
      <c r="EB22" s="92"/>
      <c r="EC22" s="92"/>
      <c r="ED22" s="92"/>
      <c r="EE22" s="92"/>
      <c r="EF22" s="92"/>
      <c r="EG22" s="92"/>
      <c r="EH22" s="92"/>
      <c r="EI22" s="92"/>
      <c r="EJ22" s="92"/>
      <c r="EK22" s="92"/>
      <c r="EL22" s="92"/>
      <c r="EM22" s="92"/>
      <c r="EN22" s="92"/>
      <c r="EO22" s="92"/>
      <c r="EP22" s="92"/>
      <c r="EQ22" s="92"/>
      <c r="ER22" s="92"/>
      <c r="ES22" s="92"/>
      <c r="ET22" s="92"/>
      <c r="EU22" s="92"/>
      <c r="EV22" s="92"/>
      <c r="EW22" s="92"/>
      <c r="EX22" s="92"/>
      <c r="EY22" s="92"/>
      <c r="EZ22" s="92"/>
      <c r="FA22" s="92"/>
      <c r="FB22" s="92"/>
      <c r="FC22" s="92"/>
      <c r="FD22" s="92"/>
      <c r="FE22" s="92"/>
      <c r="FF22" s="92"/>
      <c r="FG22" s="92"/>
      <c r="FH22" s="92"/>
      <c r="FI22" s="92"/>
      <c r="FJ22" s="92"/>
      <c r="FK22" s="92"/>
      <c r="FL22" s="92"/>
      <c r="FM22" s="92"/>
      <c r="FN22" s="92"/>
      <c r="FO22" s="92"/>
      <c r="FP22" s="92"/>
      <c r="FQ22" s="92"/>
      <c r="FR22" s="92"/>
      <c r="FS22" s="92"/>
      <c r="FT22" s="92"/>
      <c r="FU22" s="92"/>
      <c r="FV22" s="92"/>
      <c r="FW22" s="92"/>
      <c r="FX22" s="92"/>
      <c r="FY22" s="92"/>
      <c r="FZ22" s="92"/>
      <c r="GA22" s="92"/>
      <c r="GB22" s="92"/>
      <c r="GC22" s="92"/>
      <c r="GD22" s="92"/>
      <c r="GE22" s="92"/>
      <c r="GF22" s="92"/>
      <c r="GG22" s="92"/>
      <c r="GH22" s="92"/>
      <c r="GI22" s="92"/>
      <c r="GJ22" s="92"/>
      <c r="GK22" s="92"/>
      <c r="GL22" s="92"/>
      <c r="GM22" s="92"/>
      <c r="GN22" s="92"/>
      <c r="GO22" s="92"/>
      <c r="GP22" s="92"/>
      <c r="GQ22" s="92"/>
      <c r="GR22" s="92"/>
      <c r="GS22" s="92"/>
      <c r="GT22" s="92"/>
      <c r="GU22" s="92"/>
      <c r="GV22" s="92"/>
      <c r="GW22" s="92"/>
      <c r="GX22" s="92"/>
      <c r="GY22" s="92"/>
      <c r="GZ22" s="92"/>
      <c r="HA22" s="92"/>
      <c r="HB22" s="92"/>
      <c r="HC22" s="92"/>
      <c r="HD22" s="92"/>
      <c r="HE22" s="92"/>
      <c r="HF22" s="92"/>
      <c r="HG22" s="92"/>
      <c r="HH22" s="92"/>
      <c r="HI22" s="92"/>
      <c r="HJ22" s="92"/>
      <c r="HK22" s="92"/>
      <c r="HL22" s="92"/>
      <c r="HM22" s="92"/>
      <c r="HN22" s="92"/>
      <c r="HO22" s="92"/>
      <c r="HP22" s="92"/>
      <c r="HQ22" s="92"/>
      <c r="HR22" s="92"/>
      <c r="HS22" s="92"/>
      <c r="HT22" s="92"/>
      <c r="HU22" s="92"/>
      <c r="HV22" s="92"/>
      <c r="HW22" s="92"/>
      <c r="HX22" s="92"/>
      <c r="HY22" s="92"/>
      <c r="HZ22" s="92"/>
      <c r="IA22" s="92"/>
      <c r="IB22" s="92"/>
      <c r="IC22" s="92"/>
      <c r="ID22" s="92"/>
      <c r="IE22" s="92"/>
      <c r="IF22" s="92"/>
      <c r="IG22" s="92"/>
      <c r="IH22" s="92"/>
      <c r="II22" s="92"/>
      <c r="IJ22" s="92"/>
      <c r="IK22" s="92"/>
      <c r="IL22" s="92"/>
      <c r="IM22" s="92"/>
      <c r="IN22" s="92"/>
      <c r="IO22" s="92"/>
      <c r="IP22" s="92"/>
      <c r="IQ22" s="92"/>
      <c r="IR22" s="92"/>
      <c r="IS22" s="92"/>
      <c r="IT22" s="92"/>
      <c r="IU22" s="92"/>
      <c r="IV22" s="92"/>
      <c r="IW22" s="92"/>
      <c r="IX22" s="92"/>
      <c r="IY22" s="92"/>
    </row>
    <row r="23" spans="1:259" x14ac:dyDescent="0.3">
      <c r="A23" s="2" t="s">
        <v>197</v>
      </c>
      <c r="B23" s="2"/>
      <c r="C23" s="2"/>
      <c r="D23" s="2"/>
      <c r="E23" s="2" t="s">
        <v>303</v>
      </c>
      <c r="F23" s="2" t="s">
        <v>17</v>
      </c>
      <c r="G23" s="2" t="s">
        <v>393</v>
      </c>
      <c r="H23" s="2" t="s">
        <v>365</v>
      </c>
      <c r="I23" s="2" t="s">
        <v>392</v>
      </c>
      <c r="J23" s="87"/>
      <c r="K23" s="88">
        <f t="shared" si="10"/>
        <v>0</v>
      </c>
      <c r="L23" s="89">
        <v>0</v>
      </c>
      <c r="M23" s="88">
        <f t="shared" si="1"/>
        <v>0</v>
      </c>
      <c r="N23" s="88">
        <f t="shared" si="14"/>
        <v>0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1"/>
      <c r="AU23" s="30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2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2"/>
      <c r="HV23" s="92"/>
      <c r="HW23" s="92"/>
      <c r="HX23" s="92"/>
      <c r="HY23" s="92"/>
      <c r="HZ23" s="92"/>
      <c r="IA23" s="92"/>
      <c r="IB23" s="92"/>
      <c r="IC23" s="92"/>
      <c r="ID23" s="92"/>
      <c r="IE23" s="92"/>
      <c r="IF23" s="92"/>
      <c r="IG23" s="92"/>
      <c r="IH23" s="92"/>
      <c r="II23" s="92"/>
      <c r="IJ23" s="92"/>
      <c r="IK23" s="92"/>
      <c r="IL23" s="92"/>
      <c r="IM23" s="92"/>
      <c r="IN23" s="92"/>
      <c r="IO23" s="92"/>
      <c r="IP23" s="92"/>
      <c r="IQ23" s="92"/>
      <c r="IR23" s="92"/>
      <c r="IS23" s="92"/>
      <c r="IT23" s="92"/>
      <c r="IU23" s="92"/>
      <c r="IV23" s="92"/>
      <c r="IW23" s="92"/>
      <c r="IX23" s="92"/>
      <c r="IY23" s="92"/>
    </row>
    <row r="24" spans="1:259" x14ac:dyDescent="0.3">
      <c r="A24" s="2" t="s">
        <v>197</v>
      </c>
      <c r="B24" s="2"/>
      <c r="C24" s="2"/>
      <c r="D24" s="2"/>
      <c r="E24" s="2" t="s">
        <v>303</v>
      </c>
      <c r="F24" s="2" t="s">
        <v>17</v>
      </c>
      <c r="G24" s="2" t="s">
        <v>393</v>
      </c>
      <c r="H24" s="2" t="s">
        <v>366</v>
      </c>
      <c r="I24" s="2" t="s">
        <v>394</v>
      </c>
      <c r="J24" s="87"/>
      <c r="K24" s="88">
        <f t="shared" si="10"/>
        <v>0</v>
      </c>
      <c r="L24" s="89">
        <v>0</v>
      </c>
      <c r="M24" s="88">
        <f t="shared" si="1"/>
        <v>0</v>
      </c>
      <c r="N24" s="88">
        <f t="shared" si="14"/>
        <v>0</v>
      </c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1"/>
      <c r="AU24" s="30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2"/>
      <c r="BY24" s="92"/>
      <c r="BZ24" s="92"/>
      <c r="CA24" s="92"/>
      <c r="CB24" s="92"/>
      <c r="CC24" s="92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/>
      <c r="DJ24" s="92"/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/>
      <c r="DX24" s="92"/>
      <c r="DY24" s="92"/>
      <c r="DZ24" s="92"/>
      <c r="EA24" s="92"/>
      <c r="EB24" s="92"/>
      <c r="EC24" s="92"/>
      <c r="ED24" s="92"/>
      <c r="EE24" s="92"/>
      <c r="EF24" s="92"/>
      <c r="EG24" s="92"/>
      <c r="EH24" s="92"/>
      <c r="EI24" s="92"/>
      <c r="EJ24" s="92"/>
      <c r="EK24" s="92"/>
      <c r="EL24" s="92"/>
      <c r="EM24" s="92"/>
      <c r="EN24" s="92"/>
      <c r="EO24" s="92"/>
      <c r="EP24" s="92"/>
      <c r="EQ24" s="92"/>
      <c r="ER24" s="92"/>
      <c r="ES24" s="92"/>
      <c r="ET24" s="92"/>
      <c r="EU24" s="92"/>
      <c r="EV24" s="92"/>
      <c r="EW24" s="92"/>
      <c r="EX24" s="92"/>
      <c r="EY24" s="92"/>
      <c r="EZ24" s="92"/>
      <c r="FA24" s="92"/>
      <c r="FB24" s="92"/>
      <c r="FC24" s="92"/>
      <c r="FD24" s="92"/>
      <c r="FE24" s="92"/>
      <c r="FF24" s="92"/>
      <c r="FG24" s="92"/>
      <c r="FH24" s="92"/>
      <c r="FI24" s="92"/>
      <c r="FJ24" s="92"/>
      <c r="FK24" s="92"/>
      <c r="FL24" s="92"/>
      <c r="FM24" s="92"/>
      <c r="FN24" s="92"/>
      <c r="FO24" s="92"/>
      <c r="FP24" s="92"/>
      <c r="FQ24" s="92"/>
      <c r="FR24" s="92"/>
      <c r="FS24" s="92"/>
      <c r="FT24" s="92"/>
      <c r="FU24" s="92"/>
      <c r="FV24" s="92"/>
      <c r="FW24" s="92"/>
      <c r="FX24" s="92"/>
      <c r="FY24" s="92"/>
      <c r="FZ24" s="92"/>
      <c r="GA24" s="92"/>
      <c r="GB24" s="92"/>
      <c r="GC24" s="92"/>
      <c r="GD24" s="92"/>
      <c r="GE24" s="92"/>
      <c r="GF24" s="92"/>
      <c r="GG24" s="92"/>
      <c r="GH24" s="92"/>
      <c r="GI24" s="92"/>
      <c r="GJ24" s="92"/>
      <c r="GK24" s="92"/>
      <c r="GL24" s="92"/>
      <c r="GM24" s="92"/>
      <c r="GN24" s="92"/>
      <c r="GO24" s="92"/>
      <c r="GP24" s="92"/>
      <c r="GQ24" s="92"/>
      <c r="GR24" s="92"/>
      <c r="GS24" s="92"/>
      <c r="GT24" s="92"/>
      <c r="GU24" s="92"/>
      <c r="GV24" s="92"/>
      <c r="GW24" s="92"/>
      <c r="GX24" s="92"/>
      <c r="GY24" s="92"/>
      <c r="GZ24" s="92"/>
      <c r="HA24" s="92"/>
      <c r="HB24" s="92"/>
      <c r="HC24" s="92"/>
      <c r="HD24" s="92"/>
      <c r="HE24" s="92"/>
      <c r="HF24" s="92"/>
      <c r="HG24" s="92"/>
      <c r="HH24" s="92"/>
      <c r="HI24" s="92"/>
      <c r="HJ24" s="92"/>
      <c r="HK24" s="92"/>
      <c r="HL24" s="92"/>
      <c r="HM24" s="92"/>
      <c r="HN24" s="92"/>
      <c r="HO24" s="92"/>
      <c r="HP24" s="92"/>
      <c r="HQ24" s="92"/>
      <c r="HR24" s="92"/>
      <c r="HS24" s="92"/>
      <c r="HT24" s="92"/>
      <c r="HU24" s="92"/>
      <c r="HV24" s="92"/>
      <c r="HW24" s="92"/>
      <c r="HX24" s="92"/>
      <c r="HY24" s="92"/>
      <c r="HZ24" s="92"/>
      <c r="IA24" s="92"/>
      <c r="IB24" s="92"/>
      <c r="IC24" s="92"/>
      <c r="ID24" s="92"/>
      <c r="IE24" s="92"/>
      <c r="IF24" s="92"/>
      <c r="IG24" s="92"/>
      <c r="IH24" s="92"/>
      <c r="II24" s="92"/>
      <c r="IJ24" s="92"/>
      <c r="IK24" s="92"/>
      <c r="IL24" s="92"/>
      <c r="IM24" s="92"/>
      <c r="IN24" s="92"/>
      <c r="IO24" s="92"/>
      <c r="IP24" s="92"/>
      <c r="IQ24" s="92"/>
      <c r="IR24" s="92"/>
      <c r="IS24" s="92"/>
      <c r="IT24" s="92"/>
      <c r="IU24" s="92"/>
      <c r="IV24" s="92"/>
      <c r="IW24" s="92"/>
      <c r="IX24" s="92"/>
      <c r="IY24" s="92"/>
    </row>
    <row r="25" spans="1:259" x14ac:dyDescent="0.3">
      <c r="A25" s="2" t="s">
        <v>197</v>
      </c>
      <c r="B25" s="2"/>
      <c r="C25" s="2"/>
      <c r="D25" s="2"/>
      <c r="E25" s="2" t="s">
        <v>303</v>
      </c>
      <c r="F25" s="2" t="s">
        <v>17</v>
      </c>
      <c r="G25" s="2" t="s">
        <v>393</v>
      </c>
      <c r="H25" s="2" t="s">
        <v>367</v>
      </c>
      <c r="I25" s="2" t="s">
        <v>394</v>
      </c>
      <c r="J25" s="87"/>
      <c r="K25" s="88">
        <f t="shared" si="10"/>
        <v>0</v>
      </c>
      <c r="L25" s="89">
        <v>0</v>
      </c>
      <c r="M25" s="88">
        <f t="shared" si="1"/>
        <v>0</v>
      </c>
      <c r="N25" s="88">
        <f t="shared" si="14"/>
        <v>0</v>
      </c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1"/>
      <c r="AU25" s="30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  <c r="IV25" s="92"/>
      <c r="IW25" s="92"/>
      <c r="IX25" s="92"/>
      <c r="IY25" s="92"/>
    </row>
    <row r="26" spans="1:259" x14ac:dyDescent="0.3">
      <c r="A26" s="2" t="s">
        <v>197</v>
      </c>
      <c r="B26" s="2"/>
      <c r="C26" s="2"/>
      <c r="D26" s="2"/>
      <c r="E26" s="2" t="s">
        <v>303</v>
      </c>
      <c r="F26" s="2" t="s">
        <v>17</v>
      </c>
      <c r="G26" s="2" t="s">
        <v>393</v>
      </c>
      <c r="H26" s="2" t="s">
        <v>368</v>
      </c>
      <c r="I26" s="7" t="s">
        <v>404</v>
      </c>
      <c r="J26" s="87"/>
      <c r="K26" s="88">
        <f t="shared" si="10"/>
        <v>0</v>
      </c>
      <c r="L26" s="89">
        <v>0</v>
      </c>
      <c r="M26" s="88">
        <f t="shared" si="1"/>
        <v>0</v>
      </c>
      <c r="N26" s="88">
        <f t="shared" si="14"/>
        <v>0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30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2"/>
      <c r="BY26" s="92"/>
      <c r="BZ26" s="92"/>
      <c r="CA26" s="92"/>
      <c r="CB26" s="92"/>
      <c r="CC26" s="92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2"/>
      <c r="CO26" s="92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  <c r="DQ26" s="92"/>
      <c r="DR26" s="92"/>
      <c r="DS26" s="92"/>
      <c r="DT26" s="92"/>
      <c r="DU26" s="92"/>
      <c r="DV26" s="92"/>
      <c r="DW26" s="92"/>
      <c r="DX26" s="92"/>
      <c r="DY26" s="92"/>
      <c r="DZ26" s="92"/>
      <c r="EA26" s="92"/>
      <c r="EB26" s="92"/>
      <c r="EC26" s="92"/>
      <c r="ED26" s="92"/>
      <c r="EE26" s="92"/>
      <c r="EF26" s="92"/>
      <c r="EG26" s="92"/>
      <c r="EH26" s="92"/>
      <c r="EI26" s="92"/>
      <c r="EJ26" s="92"/>
      <c r="EK26" s="92"/>
      <c r="EL26" s="92"/>
      <c r="EM26" s="92"/>
      <c r="EN26" s="92"/>
      <c r="EO26" s="92"/>
      <c r="EP26" s="92"/>
      <c r="EQ26" s="92"/>
      <c r="ER26" s="92"/>
      <c r="ES26" s="92"/>
      <c r="ET26" s="92"/>
      <c r="EU26" s="92"/>
      <c r="EV26" s="92"/>
      <c r="EW26" s="92"/>
      <c r="EX26" s="92"/>
      <c r="EY26" s="92"/>
      <c r="EZ26" s="92"/>
      <c r="FA26" s="92"/>
      <c r="FB26" s="92"/>
      <c r="FC26" s="92"/>
      <c r="FD26" s="92"/>
      <c r="FE26" s="92"/>
      <c r="FF26" s="92"/>
      <c r="FG26" s="92"/>
      <c r="FH26" s="92"/>
      <c r="FI26" s="92"/>
      <c r="FJ26" s="92"/>
      <c r="FK26" s="92"/>
      <c r="FL26" s="92"/>
      <c r="FM26" s="92"/>
      <c r="FN26" s="92"/>
      <c r="FO26" s="92"/>
      <c r="FP26" s="92"/>
      <c r="FQ26" s="92"/>
      <c r="FR26" s="92"/>
      <c r="FS26" s="92"/>
      <c r="FT26" s="92"/>
      <c r="FU26" s="92"/>
      <c r="FV26" s="92"/>
      <c r="FW26" s="92"/>
      <c r="FX26" s="92"/>
      <c r="FY26" s="92"/>
      <c r="FZ26" s="92"/>
      <c r="GA26" s="92"/>
      <c r="GB26" s="92"/>
      <c r="GC26" s="92"/>
      <c r="GD26" s="92"/>
      <c r="GE26" s="92"/>
      <c r="GF26" s="92"/>
      <c r="GG26" s="92"/>
      <c r="GH26" s="92"/>
      <c r="GI26" s="92"/>
      <c r="GJ26" s="92"/>
      <c r="GK26" s="92"/>
      <c r="GL26" s="92"/>
      <c r="GM26" s="92"/>
      <c r="GN26" s="92"/>
      <c r="GO26" s="92"/>
      <c r="GP26" s="92"/>
      <c r="GQ26" s="92"/>
      <c r="GR26" s="92"/>
      <c r="GS26" s="92"/>
      <c r="GT26" s="92"/>
      <c r="GU26" s="92"/>
      <c r="GV26" s="92"/>
      <c r="GW26" s="92"/>
      <c r="GX26" s="92"/>
      <c r="GY26" s="92"/>
      <c r="GZ26" s="92"/>
      <c r="HA26" s="92"/>
      <c r="HB26" s="92"/>
      <c r="HC26" s="92"/>
      <c r="HD26" s="92"/>
      <c r="HE26" s="92"/>
      <c r="HF26" s="92"/>
      <c r="HG26" s="92"/>
      <c r="HH26" s="92"/>
      <c r="HI26" s="92"/>
      <c r="HJ26" s="92"/>
      <c r="HK26" s="92"/>
      <c r="HL26" s="92"/>
      <c r="HM26" s="92"/>
      <c r="HN26" s="92"/>
      <c r="HO26" s="92"/>
      <c r="HP26" s="92"/>
      <c r="HQ26" s="92"/>
      <c r="HR26" s="92"/>
      <c r="HS26" s="92"/>
      <c r="HT26" s="92"/>
      <c r="HU26" s="92"/>
      <c r="HV26" s="92"/>
      <c r="HW26" s="92"/>
      <c r="HX26" s="92"/>
      <c r="HY26" s="92"/>
      <c r="HZ26" s="92"/>
      <c r="IA26" s="92"/>
      <c r="IB26" s="92"/>
      <c r="IC26" s="92"/>
      <c r="ID26" s="92"/>
      <c r="IE26" s="92"/>
      <c r="IF26" s="92"/>
      <c r="IG26" s="92"/>
      <c r="IH26" s="92"/>
      <c r="II26" s="92"/>
      <c r="IJ26" s="92"/>
      <c r="IK26" s="92"/>
      <c r="IL26" s="92"/>
      <c r="IM26" s="92"/>
      <c r="IN26" s="92"/>
      <c r="IO26" s="92"/>
      <c r="IP26" s="92"/>
      <c r="IQ26" s="92"/>
      <c r="IR26" s="92"/>
      <c r="IS26" s="92"/>
      <c r="IT26" s="92"/>
      <c r="IU26" s="92"/>
      <c r="IV26" s="92"/>
      <c r="IW26" s="92"/>
      <c r="IX26" s="92"/>
      <c r="IY26" s="92"/>
    </row>
    <row r="27" spans="1:259" x14ac:dyDescent="0.3">
      <c r="A27" s="2" t="s">
        <v>197</v>
      </c>
      <c r="B27" s="2"/>
      <c r="C27" s="2"/>
      <c r="D27" s="2"/>
      <c r="E27" s="2" t="s">
        <v>303</v>
      </c>
      <c r="F27" s="2" t="s">
        <v>17</v>
      </c>
      <c r="G27" s="2" t="s">
        <v>393</v>
      </c>
      <c r="H27" s="2" t="s">
        <v>369</v>
      </c>
      <c r="I27" s="7" t="s">
        <v>404</v>
      </c>
      <c r="J27" s="87"/>
      <c r="K27" s="88">
        <f t="shared" si="10"/>
        <v>0</v>
      </c>
      <c r="L27" s="89">
        <v>0</v>
      </c>
      <c r="M27" s="88">
        <f t="shared" si="1"/>
        <v>0</v>
      </c>
      <c r="N27" s="88">
        <f t="shared" si="14"/>
        <v>0</v>
      </c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1"/>
      <c r="AU27" s="30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DZ27" s="92"/>
      <c r="EA27" s="92"/>
      <c r="EB27" s="92"/>
      <c r="EC27" s="92"/>
      <c r="ED27" s="92"/>
      <c r="EE27" s="92"/>
      <c r="EF27" s="92"/>
      <c r="EG27" s="92"/>
      <c r="EH27" s="92"/>
      <c r="EI27" s="92"/>
      <c r="EJ27" s="92"/>
      <c r="EK27" s="92"/>
      <c r="EL27" s="92"/>
      <c r="EM27" s="92"/>
      <c r="EN27" s="92"/>
      <c r="EO27" s="92"/>
      <c r="EP27" s="92"/>
      <c r="EQ27" s="92"/>
      <c r="ER27" s="92"/>
      <c r="ES27" s="92"/>
      <c r="ET27" s="92"/>
      <c r="EU27" s="92"/>
      <c r="EV27" s="92"/>
      <c r="EW27" s="92"/>
      <c r="EX27" s="92"/>
      <c r="EY27" s="92"/>
      <c r="EZ27" s="92"/>
      <c r="FA27" s="92"/>
      <c r="FB27" s="92"/>
      <c r="FC27" s="92"/>
      <c r="FD27" s="92"/>
      <c r="FE27" s="92"/>
      <c r="FF27" s="92"/>
      <c r="FG27" s="92"/>
      <c r="FH27" s="92"/>
      <c r="FI27" s="92"/>
      <c r="FJ27" s="92"/>
      <c r="FK27" s="92"/>
      <c r="FL27" s="92"/>
      <c r="FM27" s="92"/>
      <c r="FN27" s="92"/>
      <c r="FO27" s="92"/>
      <c r="FP27" s="92"/>
      <c r="FQ27" s="92"/>
      <c r="FR27" s="92"/>
      <c r="FS27" s="92"/>
      <c r="FT27" s="92"/>
      <c r="FU27" s="92"/>
      <c r="FV27" s="92"/>
      <c r="FW27" s="92"/>
      <c r="FX27" s="92"/>
      <c r="FY27" s="92"/>
      <c r="FZ27" s="92"/>
      <c r="GA27" s="92"/>
      <c r="GB27" s="92"/>
      <c r="GC27" s="92"/>
      <c r="GD27" s="92"/>
      <c r="GE27" s="92"/>
      <c r="GF27" s="92"/>
      <c r="GG27" s="92"/>
      <c r="GH27" s="92"/>
      <c r="GI27" s="92"/>
      <c r="GJ27" s="92"/>
      <c r="GK27" s="92"/>
      <c r="GL27" s="92"/>
      <c r="GM27" s="92"/>
      <c r="GN27" s="92"/>
      <c r="GO27" s="92"/>
      <c r="GP27" s="92"/>
      <c r="GQ27" s="92"/>
      <c r="GR27" s="92"/>
      <c r="GS27" s="92"/>
      <c r="GT27" s="92"/>
      <c r="GU27" s="92"/>
      <c r="GV27" s="92"/>
      <c r="GW27" s="92"/>
      <c r="GX27" s="92"/>
      <c r="GY27" s="92"/>
      <c r="GZ27" s="92"/>
      <c r="HA27" s="92"/>
      <c r="HB27" s="92"/>
      <c r="HC27" s="92"/>
      <c r="HD27" s="92"/>
      <c r="HE27" s="92"/>
      <c r="HF27" s="92"/>
      <c r="HG27" s="92"/>
      <c r="HH27" s="92"/>
      <c r="HI27" s="92"/>
      <c r="HJ27" s="92"/>
      <c r="HK27" s="92"/>
      <c r="HL27" s="92"/>
      <c r="HM27" s="92"/>
      <c r="HN27" s="92"/>
      <c r="HO27" s="92"/>
      <c r="HP27" s="92"/>
      <c r="HQ27" s="92"/>
      <c r="HR27" s="92"/>
      <c r="HS27" s="92"/>
      <c r="HT27" s="92"/>
      <c r="HU27" s="92"/>
      <c r="HV27" s="92"/>
      <c r="HW27" s="92"/>
      <c r="HX27" s="92"/>
      <c r="HY27" s="92"/>
      <c r="HZ27" s="92"/>
      <c r="IA27" s="92"/>
      <c r="IB27" s="92"/>
      <c r="IC27" s="92"/>
      <c r="ID27" s="92"/>
      <c r="IE27" s="92"/>
      <c r="IF27" s="92"/>
      <c r="IG27" s="92"/>
      <c r="IH27" s="92"/>
      <c r="II27" s="92"/>
      <c r="IJ27" s="92"/>
      <c r="IK27" s="92"/>
      <c r="IL27" s="92"/>
      <c r="IM27" s="92"/>
      <c r="IN27" s="92"/>
      <c r="IO27" s="92"/>
      <c r="IP27" s="92"/>
      <c r="IQ27" s="92"/>
      <c r="IR27" s="92"/>
      <c r="IS27" s="92"/>
      <c r="IT27" s="92"/>
      <c r="IU27" s="92"/>
      <c r="IV27" s="92"/>
      <c r="IW27" s="92"/>
      <c r="IX27" s="92"/>
      <c r="IY27" s="92"/>
    </row>
    <row r="28" spans="1:259" x14ac:dyDescent="0.3">
      <c r="A28" s="2" t="s">
        <v>197</v>
      </c>
      <c r="B28" s="2"/>
      <c r="C28" s="2"/>
      <c r="D28" s="2"/>
      <c r="E28" s="2" t="s">
        <v>303</v>
      </c>
      <c r="F28" s="2" t="s">
        <v>17</v>
      </c>
      <c r="G28" s="2" t="s">
        <v>393</v>
      </c>
      <c r="H28" s="2" t="s">
        <v>370</v>
      </c>
      <c r="I28" s="2" t="s">
        <v>439</v>
      </c>
      <c r="J28" s="87"/>
      <c r="K28" s="88">
        <f t="shared" si="10"/>
        <v>0</v>
      </c>
      <c r="L28" s="89">
        <v>0</v>
      </c>
      <c r="M28" s="88">
        <f t="shared" si="1"/>
        <v>0</v>
      </c>
      <c r="N28" s="88">
        <f t="shared" si="14"/>
        <v>0</v>
      </c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1"/>
      <c r="AU28" s="30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DZ28" s="92"/>
      <c r="EA28" s="92"/>
      <c r="EB28" s="92"/>
      <c r="EC28" s="92"/>
      <c r="ED28" s="92"/>
      <c r="EE28" s="92"/>
      <c r="EF28" s="92"/>
      <c r="EG28" s="92"/>
      <c r="EH28" s="92"/>
      <c r="EI28" s="92"/>
      <c r="EJ28" s="92"/>
      <c r="EK28" s="92"/>
      <c r="EL28" s="92"/>
      <c r="EM28" s="92"/>
      <c r="EN28" s="92"/>
      <c r="EO28" s="92"/>
      <c r="EP28" s="92"/>
      <c r="EQ28" s="92"/>
      <c r="ER28" s="92"/>
      <c r="ES28" s="92"/>
      <c r="ET28" s="92"/>
      <c r="EU28" s="92"/>
      <c r="EV28" s="92"/>
      <c r="EW28" s="92"/>
      <c r="EX28" s="92"/>
      <c r="EY28" s="92"/>
      <c r="EZ28" s="92"/>
      <c r="FA28" s="92"/>
      <c r="FB28" s="92"/>
      <c r="FC28" s="92"/>
      <c r="FD28" s="92"/>
      <c r="FE28" s="92"/>
      <c r="FF28" s="92"/>
      <c r="FG28" s="92"/>
      <c r="FH28" s="92"/>
      <c r="FI28" s="92"/>
      <c r="FJ28" s="92"/>
      <c r="FK28" s="92"/>
      <c r="FL28" s="92"/>
      <c r="FM28" s="92"/>
      <c r="FN28" s="92"/>
      <c r="FO28" s="92"/>
      <c r="FP28" s="92"/>
      <c r="FQ28" s="92"/>
      <c r="FR28" s="92"/>
      <c r="FS28" s="92"/>
      <c r="FT28" s="92"/>
      <c r="FU28" s="92"/>
      <c r="FV28" s="92"/>
      <c r="FW28" s="92"/>
      <c r="FX28" s="92"/>
      <c r="FY28" s="92"/>
      <c r="FZ28" s="92"/>
      <c r="GA28" s="92"/>
      <c r="GB28" s="92"/>
      <c r="GC28" s="92"/>
      <c r="GD28" s="92"/>
      <c r="GE28" s="92"/>
      <c r="GF28" s="92"/>
      <c r="GG28" s="92"/>
      <c r="GH28" s="92"/>
      <c r="GI28" s="92"/>
      <c r="GJ28" s="92"/>
      <c r="GK28" s="92"/>
      <c r="GL28" s="92"/>
      <c r="GM28" s="92"/>
      <c r="GN28" s="92"/>
      <c r="GO28" s="92"/>
      <c r="GP28" s="92"/>
      <c r="GQ28" s="92"/>
      <c r="GR28" s="92"/>
      <c r="GS28" s="92"/>
      <c r="GT28" s="92"/>
      <c r="GU28" s="92"/>
      <c r="GV28" s="92"/>
      <c r="GW28" s="92"/>
      <c r="GX28" s="92"/>
      <c r="GY28" s="92"/>
      <c r="GZ28" s="92"/>
      <c r="HA28" s="92"/>
      <c r="HB28" s="92"/>
      <c r="HC28" s="92"/>
      <c r="HD28" s="92"/>
      <c r="HE28" s="92"/>
      <c r="HF28" s="92"/>
      <c r="HG28" s="92"/>
      <c r="HH28" s="92"/>
      <c r="HI28" s="92"/>
      <c r="HJ28" s="92"/>
      <c r="HK28" s="92"/>
      <c r="HL28" s="92"/>
      <c r="HM28" s="92"/>
      <c r="HN28" s="92"/>
      <c r="HO28" s="92"/>
      <c r="HP28" s="92"/>
      <c r="HQ28" s="92"/>
      <c r="HR28" s="92"/>
      <c r="HS28" s="92"/>
      <c r="HT28" s="92"/>
      <c r="HU28" s="92"/>
      <c r="HV28" s="92"/>
      <c r="HW28" s="92"/>
      <c r="HX28" s="92"/>
      <c r="HY28" s="92"/>
      <c r="HZ28" s="92"/>
      <c r="IA28" s="92"/>
      <c r="IB28" s="92"/>
      <c r="IC28" s="92"/>
      <c r="ID28" s="92"/>
      <c r="IE28" s="92"/>
      <c r="IF28" s="92"/>
      <c r="IG28" s="92"/>
      <c r="IH28" s="92"/>
      <c r="II28" s="92"/>
      <c r="IJ28" s="92"/>
      <c r="IK28" s="92"/>
      <c r="IL28" s="92"/>
      <c r="IM28" s="92"/>
      <c r="IN28" s="92"/>
      <c r="IO28" s="92"/>
      <c r="IP28" s="92"/>
      <c r="IQ28" s="92"/>
      <c r="IR28" s="92"/>
      <c r="IS28" s="92"/>
      <c r="IT28" s="92"/>
      <c r="IU28" s="92"/>
      <c r="IV28" s="92"/>
      <c r="IW28" s="92"/>
      <c r="IX28" s="92"/>
      <c r="IY28" s="92"/>
    </row>
    <row r="29" spans="1:259" x14ac:dyDescent="0.3">
      <c r="A29" s="2" t="s">
        <v>197</v>
      </c>
      <c r="B29" s="2"/>
      <c r="C29" s="2"/>
      <c r="D29" s="2"/>
      <c r="E29" s="2" t="s">
        <v>303</v>
      </c>
      <c r="F29" s="2" t="s">
        <v>17</v>
      </c>
      <c r="G29" s="2" t="s">
        <v>393</v>
      </c>
      <c r="H29" s="2" t="s">
        <v>371</v>
      </c>
      <c r="I29" s="2" t="s">
        <v>439</v>
      </c>
      <c r="J29" s="87"/>
      <c r="K29" s="88">
        <f t="shared" si="10"/>
        <v>0</v>
      </c>
      <c r="L29" s="89">
        <v>0</v>
      </c>
      <c r="M29" s="88">
        <f t="shared" si="1"/>
        <v>0</v>
      </c>
      <c r="N29" s="88">
        <f t="shared" si="14"/>
        <v>0</v>
      </c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1"/>
      <c r="AU29" s="30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2"/>
      <c r="BY29" s="92"/>
      <c r="BZ29" s="92"/>
      <c r="CA29" s="92"/>
      <c r="CB29" s="92"/>
      <c r="CC29" s="92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2"/>
      <c r="DA29" s="92"/>
      <c r="DB29" s="92"/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  <c r="DQ29" s="92"/>
      <c r="DR29" s="92"/>
      <c r="DS29" s="92"/>
      <c r="DT29" s="92"/>
      <c r="DU29" s="92"/>
      <c r="DV29" s="92"/>
      <c r="DW29" s="92"/>
      <c r="DX29" s="92"/>
      <c r="DY29" s="92"/>
      <c r="DZ29" s="92"/>
      <c r="EA29" s="92"/>
      <c r="EB29" s="92"/>
      <c r="EC29" s="92"/>
      <c r="ED29" s="92"/>
      <c r="EE29" s="92"/>
      <c r="EF29" s="92"/>
      <c r="EG29" s="92"/>
      <c r="EH29" s="92"/>
      <c r="EI29" s="92"/>
      <c r="EJ29" s="92"/>
      <c r="EK29" s="92"/>
      <c r="EL29" s="92"/>
      <c r="EM29" s="92"/>
      <c r="EN29" s="92"/>
      <c r="EO29" s="92"/>
      <c r="EP29" s="92"/>
      <c r="EQ29" s="92"/>
      <c r="ER29" s="92"/>
      <c r="ES29" s="92"/>
      <c r="ET29" s="92"/>
      <c r="EU29" s="92"/>
      <c r="EV29" s="92"/>
      <c r="EW29" s="92"/>
      <c r="EX29" s="92"/>
      <c r="EY29" s="92"/>
      <c r="EZ29" s="92"/>
      <c r="FA29" s="92"/>
      <c r="FB29" s="92"/>
      <c r="FC29" s="92"/>
      <c r="FD29" s="92"/>
      <c r="FE29" s="92"/>
      <c r="FF29" s="92"/>
      <c r="FG29" s="92"/>
      <c r="FH29" s="92"/>
      <c r="FI29" s="92"/>
      <c r="FJ29" s="92"/>
      <c r="FK29" s="92"/>
      <c r="FL29" s="92"/>
      <c r="FM29" s="92"/>
      <c r="FN29" s="92"/>
      <c r="FO29" s="92"/>
      <c r="FP29" s="92"/>
      <c r="FQ29" s="92"/>
      <c r="FR29" s="92"/>
      <c r="FS29" s="92"/>
      <c r="FT29" s="92"/>
      <c r="FU29" s="92"/>
      <c r="FV29" s="92"/>
      <c r="FW29" s="92"/>
      <c r="FX29" s="92"/>
      <c r="FY29" s="92"/>
      <c r="FZ29" s="92"/>
      <c r="GA29" s="92"/>
      <c r="GB29" s="92"/>
      <c r="GC29" s="92"/>
      <c r="GD29" s="92"/>
      <c r="GE29" s="92"/>
      <c r="GF29" s="92"/>
      <c r="GG29" s="92"/>
      <c r="GH29" s="92"/>
      <c r="GI29" s="92"/>
      <c r="GJ29" s="92"/>
      <c r="GK29" s="92"/>
      <c r="GL29" s="92"/>
      <c r="GM29" s="92"/>
      <c r="GN29" s="92"/>
      <c r="GO29" s="92"/>
      <c r="GP29" s="92"/>
      <c r="GQ29" s="92"/>
      <c r="GR29" s="92"/>
      <c r="GS29" s="92"/>
      <c r="GT29" s="92"/>
      <c r="GU29" s="92"/>
      <c r="GV29" s="92"/>
      <c r="GW29" s="92"/>
      <c r="GX29" s="92"/>
      <c r="GY29" s="92"/>
      <c r="GZ29" s="92"/>
      <c r="HA29" s="92"/>
      <c r="HB29" s="92"/>
      <c r="HC29" s="92"/>
      <c r="HD29" s="92"/>
      <c r="HE29" s="92"/>
      <c r="HF29" s="92"/>
      <c r="HG29" s="92"/>
      <c r="HH29" s="92"/>
      <c r="HI29" s="92"/>
      <c r="HJ29" s="92"/>
      <c r="HK29" s="92"/>
      <c r="HL29" s="92"/>
      <c r="HM29" s="92"/>
      <c r="HN29" s="92"/>
      <c r="HO29" s="92"/>
      <c r="HP29" s="92"/>
      <c r="HQ29" s="92"/>
      <c r="HR29" s="92"/>
      <c r="HS29" s="92"/>
      <c r="HT29" s="92"/>
      <c r="HU29" s="92"/>
      <c r="HV29" s="92"/>
      <c r="HW29" s="92"/>
      <c r="HX29" s="92"/>
      <c r="HY29" s="92"/>
      <c r="HZ29" s="92"/>
      <c r="IA29" s="92"/>
      <c r="IB29" s="92"/>
      <c r="IC29" s="92"/>
      <c r="ID29" s="92"/>
      <c r="IE29" s="92"/>
      <c r="IF29" s="92"/>
      <c r="IG29" s="92"/>
      <c r="IH29" s="92"/>
      <c r="II29" s="92"/>
      <c r="IJ29" s="92"/>
      <c r="IK29" s="92"/>
      <c r="IL29" s="92"/>
      <c r="IM29" s="92"/>
      <c r="IN29" s="92"/>
      <c r="IO29" s="92"/>
      <c r="IP29" s="92"/>
      <c r="IQ29" s="92"/>
      <c r="IR29" s="92"/>
      <c r="IS29" s="92"/>
      <c r="IT29" s="92"/>
      <c r="IU29" s="92"/>
      <c r="IV29" s="92"/>
      <c r="IW29" s="92"/>
      <c r="IX29" s="92"/>
      <c r="IY29" s="92"/>
    </row>
    <row r="30" spans="1:259" x14ac:dyDescent="0.3">
      <c r="A30" s="2" t="s">
        <v>197</v>
      </c>
      <c r="B30" s="2"/>
      <c r="C30" s="2"/>
      <c r="D30" s="2"/>
      <c r="E30" s="2" t="s">
        <v>303</v>
      </c>
      <c r="F30" s="2" t="s">
        <v>17</v>
      </c>
      <c r="G30" s="2" t="s">
        <v>393</v>
      </c>
      <c r="H30" s="2" t="s">
        <v>372</v>
      </c>
      <c r="I30" s="2" t="s">
        <v>477</v>
      </c>
      <c r="J30" s="87"/>
      <c r="K30" s="88">
        <f t="shared" si="10"/>
        <v>0</v>
      </c>
      <c r="L30" s="89">
        <v>0</v>
      </c>
      <c r="M30" s="88">
        <f t="shared" si="1"/>
        <v>0</v>
      </c>
      <c r="N30" s="88">
        <f t="shared" si="14"/>
        <v>0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1"/>
      <c r="AU30" s="30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  <c r="DR30" s="92"/>
      <c r="DS30" s="92"/>
      <c r="DT30" s="92"/>
      <c r="DU30" s="92"/>
      <c r="DV30" s="92"/>
      <c r="DW30" s="92"/>
      <c r="DX30" s="92"/>
      <c r="DY30" s="92"/>
      <c r="DZ30" s="92"/>
      <c r="EA30" s="92"/>
      <c r="EB30" s="92"/>
      <c r="EC30" s="92"/>
      <c r="ED30" s="92"/>
      <c r="EE30" s="92"/>
      <c r="EF30" s="92"/>
      <c r="EG30" s="92"/>
      <c r="EH30" s="92"/>
      <c r="EI30" s="92"/>
      <c r="EJ30" s="92"/>
      <c r="EK30" s="92"/>
      <c r="EL30" s="92"/>
      <c r="EM30" s="92"/>
      <c r="EN30" s="92"/>
      <c r="EO30" s="92"/>
      <c r="EP30" s="92"/>
      <c r="EQ30" s="92"/>
      <c r="ER30" s="92"/>
      <c r="ES30" s="92"/>
      <c r="ET30" s="92"/>
      <c r="EU30" s="92"/>
      <c r="EV30" s="92"/>
      <c r="EW30" s="92"/>
      <c r="EX30" s="92"/>
      <c r="EY30" s="92"/>
      <c r="EZ30" s="92"/>
      <c r="FA30" s="92"/>
      <c r="FB30" s="92"/>
      <c r="FC30" s="92"/>
      <c r="FD30" s="92"/>
      <c r="FE30" s="92"/>
      <c r="FF30" s="92"/>
      <c r="FG30" s="92"/>
      <c r="FH30" s="92"/>
      <c r="FI30" s="92"/>
      <c r="FJ30" s="92"/>
      <c r="FK30" s="92"/>
      <c r="FL30" s="92"/>
      <c r="FM30" s="92"/>
      <c r="FN30" s="92"/>
      <c r="FO30" s="92"/>
      <c r="FP30" s="92"/>
      <c r="FQ30" s="92"/>
      <c r="FR30" s="92"/>
      <c r="FS30" s="92"/>
      <c r="FT30" s="92"/>
      <c r="FU30" s="92"/>
      <c r="FV30" s="92"/>
      <c r="FW30" s="92"/>
      <c r="FX30" s="92"/>
      <c r="FY30" s="92"/>
      <c r="FZ30" s="92"/>
      <c r="GA30" s="92"/>
      <c r="GB30" s="92"/>
      <c r="GC30" s="92"/>
      <c r="GD30" s="92"/>
      <c r="GE30" s="92"/>
      <c r="GF30" s="92"/>
      <c r="GG30" s="92"/>
      <c r="GH30" s="92"/>
      <c r="GI30" s="92"/>
      <c r="GJ30" s="92"/>
      <c r="GK30" s="92"/>
      <c r="GL30" s="92"/>
      <c r="GM30" s="92"/>
      <c r="GN30" s="92"/>
      <c r="GO30" s="92"/>
      <c r="GP30" s="92"/>
      <c r="GQ30" s="92"/>
      <c r="GR30" s="92"/>
      <c r="GS30" s="92"/>
      <c r="GT30" s="92"/>
      <c r="GU30" s="92"/>
      <c r="GV30" s="92"/>
      <c r="GW30" s="92"/>
      <c r="GX30" s="92"/>
      <c r="GY30" s="92"/>
      <c r="GZ30" s="92"/>
      <c r="HA30" s="92"/>
      <c r="HB30" s="92"/>
      <c r="HC30" s="92"/>
      <c r="HD30" s="92"/>
      <c r="HE30" s="92"/>
      <c r="HF30" s="92"/>
      <c r="HG30" s="92"/>
      <c r="HH30" s="92"/>
      <c r="HI30" s="92"/>
      <c r="HJ30" s="92"/>
      <c r="HK30" s="92"/>
      <c r="HL30" s="92"/>
      <c r="HM30" s="92"/>
      <c r="HN30" s="92"/>
      <c r="HO30" s="92"/>
      <c r="HP30" s="92"/>
      <c r="HQ30" s="92"/>
      <c r="HR30" s="92"/>
      <c r="HS30" s="92"/>
      <c r="HT30" s="92"/>
      <c r="HU30" s="92"/>
      <c r="HV30" s="92"/>
      <c r="HW30" s="92"/>
      <c r="HX30" s="92"/>
      <c r="HY30" s="92"/>
      <c r="HZ30" s="92"/>
      <c r="IA30" s="92"/>
      <c r="IB30" s="92"/>
      <c r="IC30" s="92"/>
      <c r="ID30" s="92"/>
      <c r="IE30" s="92"/>
      <c r="IF30" s="92"/>
      <c r="IG30" s="92"/>
      <c r="IH30" s="92"/>
      <c r="II30" s="92"/>
      <c r="IJ30" s="92"/>
      <c r="IK30" s="92"/>
      <c r="IL30" s="92"/>
      <c r="IM30" s="92"/>
      <c r="IN30" s="92"/>
      <c r="IO30" s="92"/>
      <c r="IP30" s="92"/>
      <c r="IQ30" s="92"/>
      <c r="IR30" s="92"/>
      <c r="IS30" s="92"/>
      <c r="IT30" s="92"/>
      <c r="IU30" s="92"/>
      <c r="IV30" s="92"/>
      <c r="IW30" s="92"/>
      <c r="IX30" s="92"/>
      <c r="IY30" s="92"/>
    </row>
    <row r="31" spans="1:259" x14ac:dyDescent="0.3">
      <c r="A31" s="2" t="s">
        <v>197</v>
      </c>
      <c r="B31" s="2"/>
      <c r="C31" s="2"/>
      <c r="D31" s="2"/>
      <c r="E31" s="2" t="s">
        <v>303</v>
      </c>
      <c r="F31" s="2" t="s">
        <v>17</v>
      </c>
      <c r="G31" s="2" t="s">
        <v>393</v>
      </c>
      <c r="H31" s="2" t="s">
        <v>373</v>
      </c>
      <c r="I31" s="7" t="s">
        <v>497</v>
      </c>
      <c r="J31" s="87"/>
      <c r="K31" s="88">
        <f t="shared" si="10"/>
        <v>0</v>
      </c>
      <c r="L31" s="89">
        <v>0</v>
      </c>
      <c r="M31" s="88">
        <f t="shared" si="1"/>
        <v>0</v>
      </c>
      <c r="N31" s="88">
        <f t="shared" si="14"/>
        <v>0</v>
      </c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1"/>
      <c r="AU31" s="30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2"/>
      <c r="BY31" s="92"/>
      <c r="BZ31" s="92"/>
      <c r="CA31" s="92"/>
      <c r="CB31" s="92"/>
      <c r="CC31" s="92"/>
      <c r="CD31" s="92"/>
      <c r="CE31" s="92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2"/>
      <c r="DA31" s="92"/>
      <c r="DB31" s="92"/>
      <c r="DC31" s="92"/>
      <c r="DD31" s="92"/>
      <c r="DE31" s="92"/>
      <c r="DF31" s="92"/>
      <c r="DG31" s="92"/>
      <c r="DH31" s="92"/>
      <c r="DI31" s="92"/>
      <c r="DJ31" s="92"/>
      <c r="DK31" s="92"/>
      <c r="DL31" s="92"/>
      <c r="DM31" s="92"/>
      <c r="DN31" s="92"/>
      <c r="DO31" s="92"/>
      <c r="DP31" s="92"/>
      <c r="DQ31" s="92"/>
      <c r="DR31" s="92"/>
      <c r="DS31" s="92"/>
      <c r="DT31" s="92"/>
      <c r="DU31" s="92"/>
      <c r="DV31" s="92"/>
      <c r="DW31" s="92"/>
      <c r="DX31" s="92"/>
      <c r="DY31" s="92"/>
      <c r="DZ31" s="92"/>
      <c r="EA31" s="92"/>
      <c r="EB31" s="92"/>
      <c r="EC31" s="92"/>
      <c r="ED31" s="92"/>
      <c r="EE31" s="92"/>
      <c r="EF31" s="92"/>
      <c r="EG31" s="92"/>
      <c r="EH31" s="92"/>
      <c r="EI31" s="92"/>
      <c r="EJ31" s="92"/>
      <c r="EK31" s="92"/>
      <c r="EL31" s="92"/>
      <c r="EM31" s="92"/>
      <c r="EN31" s="92"/>
      <c r="EO31" s="92"/>
      <c r="EP31" s="92"/>
      <c r="EQ31" s="92"/>
      <c r="ER31" s="92"/>
      <c r="ES31" s="92"/>
      <c r="ET31" s="92"/>
      <c r="EU31" s="92"/>
      <c r="EV31" s="92"/>
      <c r="EW31" s="92"/>
      <c r="EX31" s="92"/>
      <c r="EY31" s="92"/>
      <c r="EZ31" s="92"/>
      <c r="FA31" s="92"/>
      <c r="FB31" s="92"/>
      <c r="FC31" s="92"/>
      <c r="FD31" s="92"/>
      <c r="FE31" s="92"/>
      <c r="FF31" s="92"/>
      <c r="FG31" s="92"/>
      <c r="FH31" s="92"/>
      <c r="FI31" s="92"/>
      <c r="FJ31" s="92"/>
      <c r="FK31" s="92"/>
      <c r="FL31" s="92"/>
      <c r="FM31" s="92"/>
      <c r="FN31" s="92"/>
      <c r="FO31" s="92"/>
      <c r="FP31" s="92"/>
      <c r="FQ31" s="92"/>
      <c r="FR31" s="92"/>
      <c r="FS31" s="92"/>
      <c r="FT31" s="92"/>
      <c r="FU31" s="92"/>
      <c r="FV31" s="92"/>
      <c r="FW31" s="92"/>
      <c r="FX31" s="92"/>
      <c r="FY31" s="92"/>
      <c r="FZ31" s="92"/>
      <c r="GA31" s="92"/>
      <c r="GB31" s="92"/>
      <c r="GC31" s="92"/>
      <c r="GD31" s="92"/>
      <c r="GE31" s="92"/>
      <c r="GF31" s="92"/>
      <c r="GG31" s="92"/>
      <c r="GH31" s="92"/>
      <c r="GI31" s="92"/>
      <c r="GJ31" s="92"/>
      <c r="GK31" s="92"/>
      <c r="GL31" s="92"/>
      <c r="GM31" s="92"/>
      <c r="GN31" s="92"/>
      <c r="GO31" s="92"/>
      <c r="GP31" s="92"/>
      <c r="GQ31" s="92"/>
      <c r="GR31" s="92"/>
      <c r="GS31" s="92"/>
      <c r="GT31" s="92"/>
      <c r="GU31" s="92"/>
      <c r="GV31" s="92"/>
      <c r="GW31" s="92"/>
      <c r="GX31" s="92"/>
      <c r="GY31" s="92"/>
      <c r="GZ31" s="92"/>
      <c r="HA31" s="92"/>
      <c r="HB31" s="92"/>
      <c r="HC31" s="92"/>
      <c r="HD31" s="92"/>
      <c r="HE31" s="92"/>
      <c r="HF31" s="92"/>
      <c r="HG31" s="92"/>
      <c r="HH31" s="92"/>
      <c r="HI31" s="92"/>
      <c r="HJ31" s="92"/>
      <c r="HK31" s="92"/>
      <c r="HL31" s="92"/>
      <c r="HM31" s="92"/>
      <c r="HN31" s="92"/>
      <c r="HO31" s="92"/>
      <c r="HP31" s="92"/>
      <c r="HQ31" s="92"/>
      <c r="HR31" s="92"/>
      <c r="HS31" s="92"/>
      <c r="HT31" s="92"/>
      <c r="HU31" s="92"/>
      <c r="HV31" s="92"/>
      <c r="HW31" s="92"/>
      <c r="HX31" s="92"/>
      <c r="HY31" s="92"/>
      <c r="HZ31" s="92"/>
      <c r="IA31" s="92"/>
      <c r="IB31" s="92"/>
      <c r="IC31" s="92"/>
      <c r="ID31" s="92"/>
      <c r="IE31" s="92"/>
      <c r="IF31" s="92"/>
      <c r="IG31" s="92"/>
      <c r="IH31" s="92"/>
      <c r="II31" s="92"/>
      <c r="IJ31" s="92"/>
      <c r="IK31" s="92"/>
      <c r="IL31" s="92"/>
      <c r="IM31" s="92"/>
      <c r="IN31" s="92"/>
      <c r="IO31" s="92"/>
      <c r="IP31" s="92"/>
      <c r="IQ31" s="92"/>
      <c r="IR31" s="92"/>
      <c r="IS31" s="92"/>
      <c r="IT31" s="92"/>
      <c r="IU31" s="92"/>
      <c r="IV31" s="92"/>
      <c r="IW31" s="92"/>
      <c r="IX31" s="92"/>
      <c r="IY31" s="92"/>
    </row>
    <row r="32" spans="1:259" x14ac:dyDescent="0.3">
      <c r="A32" s="2" t="s">
        <v>197</v>
      </c>
      <c r="B32" s="2"/>
      <c r="C32" s="2"/>
      <c r="D32" s="2"/>
      <c r="E32" s="2" t="s">
        <v>303</v>
      </c>
      <c r="F32" s="2" t="s">
        <v>17</v>
      </c>
      <c r="G32" s="2" t="s">
        <v>393</v>
      </c>
      <c r="H32" s="2" t="s">
        <v>374</v>
      </c>
      <c r="I32" s="2" t="s">
        <v>505</v>
      </c>
      <c r="J32" s="87"/>
      <c r="K32" s="88">
        <f t="shared" si="10"/>
        <v>0</v>
      </c>
      <c r="L32" s="89">
        <v>0</v>
      </c>
      <c r="M32" s="88">
        <f t="shared" si="1"/>
        <v>0</v>
      </c>
      <c r="N32" s="88">
        <f t="shared" si="14"/>
        <v>0</v>
      </c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1"/>
      <c r="AU32" s="30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92"/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  <c r="DQ32" s="92"/>
      <c r="DR32" s="92"/>
      <c r="DS32" s="92"/>
      <c r="DT32" s="92"/>
      <c r="DU32" s="92"/>
      <c r="DV32" s="92"/>
      <c r="DW32" s="92"/>
      <c r="DX32" s="92"/>
      <c r="DY32" s="92"/>
      <c r="DZ32" s="92"/>
      <c r="EA32" s="92"/>
      <c r="EB32" s="92"/>
      <c r="EC32" s="92"/>
      <c r="ED32" s="92"/>
      <c r="EE32" s="92"/>
      <c r="EF32" s="92"/>
      <c r="EG32" s="92"/>
      <c r="EH32" s="92"/>
      <c r="EI32" s="92"/>
      <c r="EJ32" s="92"/>
      <c r="EK32" s="92"/>
      <c r="EL32" s="92"/>
      <c r="EM32" s="92"/>
      <c r="EN32" s="92"/>
      <c r="EO32" s="92"/>
      <c r="EP32" s="92"/>
      <c r="EQ32" s="92"/>
      <c r="ER32" s="92"/>
      <c r="ES32" s="92"/>
      <c r="ET32" s="92"/>
      <c r="EU32" s="92"/>
      <c r="EV32" s="92"/>
      <c r="EW32" s="92"/>
      <c r="EX32" s="92"/>
      <c r="EY32" s="92"/>
      <c r="EZ32" s="92"/>
      <c r="FA32" s="92"/>
      <c r="FB32" s="92"/>
      <c r="FC32" s="92"/>
      <c r="FD32" s="92"/>
      <c r="FE32" s="92"/>
      <c r="FF32" s="92"/>
      <c r="FG32" s="92"/>
      <c r="FH32" s="92"/>
      <c r="FI32" s="92"/>
      <c r="FJ32" s="92"/>
      <c r="FK32" s="92"/>
      <c r="FL32" s="92"/>
      <c r="FM32" s="92"/>
      <c r="FN32" s="92"/>
      <c r="FO32" s="92"/>
      <c r="FP32" s="92"/>
      <c r="FQ32" s="92"/>
      <c r="FR32" s="92"/>
      <c r="FS32" s="92"/>
      <c r="FT32" s="92"/>
      <c r="FU32" s="92"/>
      <c r="FV32" s="92"/>
      <c r="FW32" s="92"/>
      <c r="FX32" s="92"/>
      <c r="FY32" s="92"/>
      <c r="FZ32" s="92"/>
      <c r="GA32" s="92"/>
      <c r="GB32" s="92"/>
      <c r="GC32" s="92"/>
      <c r="GD32" s="92"/>
      <c r="GE32" s="92"/>
      <c r="GF32" s="92"/>
      <c r="GG32" s="92"/>
      <c r="GH32" s="92"/>
      <c r="GI32" s="92"/>
      <c r="GJ32" s="92"/>
      <c r="GK32" s="92"/>
      <c r="GL32" s="92"/>
      <c r="GM32" s="92"/>
      <c r="GN32" s="92"/>
      <c r="GO32" s="92"/>
      <c r="GP32" s="92"/>
      <c r="GQ32" s="92"/>
      <c r="GR32" s="92"/>
      <c r="GS32" s="92"/>
      <c r="GT32" s="92"/>
      <c r="GU32" s="92"/>
      <c r="GV32" s="92"/>
      <c r="GW32" s="92"/>
      <c r="GX32" s="92"/>
      <c r="GY32" s="92"/>
      <c r="GZ32" s="92"/>
      <c r="HA32" s="92"/>
      <c r="HB32" s="92"/>
      <c r="HC32" s="92"/>
      <c r="HD32" s="92"/>
      <c r="HE32" s="92"/>
      <c r="HF32" s="92"/>
      <c r="HG32" s="92"/>
      <c r="HH32" s="92"/>
      <c r="HI32" s="92"/>
      <c r="HJ32" s="92"/>
      <c r="HK32" s="92"/>
      <c r="HL32" s="92"/>
      <c r="HM32" s="92"/>
      <c r="HN32" s="92"/>
      <c r="HO32" s="92"/>
      <c r="HP32" s="92"/>
      <c r="HQ32" s="92"/>
      <c r="HR32" s="92"/>
      <c r="HS32" s="92"/>
      <c r="HT32" s="92"/>
      <c r="HU32" s="92"/>
      <c r="HV32" s="92"/>
      <c r="HW32" s="92"/>
      <c r="HX32" s="92"/>
      <c r="HY32" s="92"/>
      <c r="HZ32" s="92"/>
      <c r="IA32" s="92"/>
      <c r="IB32" s="92"/>
      <c r="IC32" s="92"/>
      <c r="ID32" s="92"/>
      <c r="IE32" s="92"/>
      <c r="IF32" s="92"/>
      <c r="IG32" s="92"/>
      <c r="IH32" s="92"/>
      <c r="II32" s="92"/>
      <c r="IJ32" s="92"/>
      <c r="IK32" s="92"/>
      <c r="IL32" s="92"/>
      <c r="IM32" s="92"/>
      <c r="IN32" s="92"/>
      <c r="IO32" s="92"/>
      <c r="IP32" s="92"/>
      <c r="IQ32" s="92"/>
      <c r="IR32" s="92"/>
      <c r="IS32" s="92"/>
      <c r="IT32" s="92"/>
      <c r="IU32" s="92"/>
      <c r="IV32" s="92"/>
      <c r="IW32" s="92"/>
      <c r="IX32" s="92"/>
      <c r="IY32" s="92"/>
    </row>
    <row r="33" spans="1:259" x14ac:dyDescent="0.3">
      <c r="A33" s="2" t="s">
        <v>197</v>
      </c>
      <c r="B33" s="2"/>
      <c r="C33" s="2"/>
      <c r="D33" s="2"/>
      <c r="E33" s="2" t="s">
        <v>303</v>
      </c>
      <c r="F33" s="2" t="s">
        <v>17</v>
      </c>
      <c r="G33" s="2" t="s">
        <v>393</v>
      </c>
      <c r="H33" s="2" t="s">
        <v>375</v>
      </c>
      <c r="I33" s="2" t="s">
        <v>308</v>
      </c>
      <c r="J33" s="87"/>
      <c r="K33" s="88">
        <f t="shared" si="10"/>
        <v>1</v>
      </c>
      <c r="L33" s="89">
        <v>1</v>
      </c>
      <c r="M33" s="88">
        <f t="shared" si="1"/>
        <v>0</v>
      </c>
      <c r="N33" s="88">
        <f t="shared" si="14"/>
        <v>1</v>
      </c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30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2"/>
      <c r="DA33" s="92"/>
      <c r="DB33" s="92"/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2"/>
      <c r="DS33" s="92"/>
      <c r="DT33" s="92"/>
      <c r="DU33" s="92"/>
      <c r="DV33" s="92"/>
      <c r="DW33" s="92"/>
      <c r="DX33" s="92"/>
      <c r="DY33" s="92"/>
      <c r="DZ33" s="92"/>
      <c r="EA33" s="92"/>
      <c r="EB33" s="92"/>
      <c r="EC33" s="92"/>
      <c r="ED33" s="92"/>
      <c r="EE33" s="92"/>
      <c r="EF33" s="92"/>
      <c r="EG33" s="92"/>
      <c r="EH33" s="92"/>
      <c r="EI33" s="92"/>
      <c r="EJ33" s="92"/>
      <c r="EK33" s="92"/>
      <c r="EL33" s="92"/>
      <c r="EM33" s="92"/>
      <c r="EN33" s="92"/>
      <c r="EO33" s="92"/>
      <c r="EP33" s="92"/>
      <c r="EQ33" s="92"/>
      <c r="ER33" s="92"/>
      <c r="ES33" s="92"/>
      <c r="ET33" s="92"/>
      <c r="EU33" s="92"/>
      <c r="EV33" s="92"/>
      <c r="EW33" s="92"/>
      <c r="EX33" s="92"/>
      <c r="EY33" s="92"/>
      <c r="EZ33" s="92"/>
      <c r="FA33" s="92"/>
      <c r="FB33" s="92"/>
      <c r="FC33" s="92"/>
      <c r="FD33" s="92"/>
      <c r="FE33" s="92"/>
      <c r="FF33" s="92"/>
      <c r="FG33" s="92"/>
      <c r="FH33" s="92"/>
      <c r="FI33" s="92"/>
      <c r="FJ33" s="92"/>
      <c r="FK33" s="92"/>
      <c r="FL33" s="92"/>
      <c r="FM33" s="92"/>
      <c r="FN33" s="92"/>
      <c r="FO33" s="92"/>
      <c r="FP33" s="92"/>
      <c r="FQ33" s="92"/>
      <c r="FR33" s="92"/>
      <c r="FS33" s="92"/>
      <c r="FT33" s="92"/>
      <c r="FU33" s="92"/>
      <c r="FV33" s="92"/>
      <c r="FW33" s="92"/>
      <c r="FX33" s="92"/>
      <c r="FY33" s="92"/>
      <c r="FZ33" s="92"/>
      <c r="GA33" s="92"/>
      <c r="GB33" s="92"/>
      <c r="GC33" s="92"/>
      <c r="GD33" s="92"/>
      <c r="GE33" s="92"/>
      <c r="GF33" s="92"/>
      <c r="GG33" s="92"/>
      <c r="GH33" s="92"/>
      <c r="GI33" s="92"/>
      <c r="GJ33" s="92"/>
      <c r="GK33" s="92"/>
      <c r="GL33" s="92"/>
      <c r="GM33" s="92"/>
      <c r="GN33" s="92"/>
      <c r="GO33" s="92"/>
      <c r="GP33" s="92"/>
      <c r="GQ33" s="92"/>
      <c r="GR33" s="92"/>
      <c r="GS33" s="92"/>
      <c r="GT33" s="92"/>
      <c r="GU33" s="92"/>
      <c r="GV33" s="92"/>
      <c r="GW33" s="92"/>
      <c r="GX33" s="92"/>
      <c r="GY33" s="92"/>
      <c r="GZ33" s="92"/>
      <c r="HA33" s="92"/>
      <c r="HB33" s="92"/>
      <c r="HC33" s="92"/>
      <c r="HD33" s="92"/>
      <c r="HE33" s="92"/>
      <c r="HF33" s="92"/>
      <c r="HG33" s="92"/>
      <c r="HH33" s="92"/>
      <c r="HI33" s="92"/>
      <c r="HJ33" s="92"/>
      <c r="HK33" s="92"/>
      <c r="HL33" s="92"/>
      <c r="HM33" s="92"/>
      <c r="HN33" s="92"/>
      <c r="HO33" s="92"/>
      <c r="HP33" s="92"/>
      <c r="HQ33" s="92"/>
      <c r="HR33" s="92"/>
      <c r="HS33" s="92"/>
      <c r="HT33" s="92"/>
      <c r="HU33" s="92"/>
      <c r="HV33" s="92"/>
      <c r="HW33" s="92"/>
      <c r="HX33" s="92"/>
      <c r="HY33" s="92"/>
      <c r="HZ33" s="92"/>
      <c r="IA33" s="92"/>
      <c r="IB33" s="92"/>
      <c r="IC33" s="92"/>
      <c r="ID33" s="92"/>
      <c r="IE33" s="92"/>
      <c r="IF33" s="92"/>
      <c r="IG33" s="92"/>
      <c r="IH33" s="92"/>
      <c r="II33" s="92"/>
      <c r="IJ33" s="92"/>
      <c r="IK33" s="92"/>
      <c r="IL33" s="92"/>
      <c r="IM33" s="92"/>
      <c r="IN33" s="92"/>
      <c r="IO33" s="92"/>
      <c r="IP33" s="92"/>
      <c r="IQ33" s="92"/>
      <c r="IR33" s="92"/>
      <c r="IS33" s="92"/>
      <c r="IT33" s="92"/>
      <c r="IU33" s="92"/>
      <c r="IV33" s="92"/>
      <c r="IW33" s="92"/>
      <c r="IX33" s="92"/>
      <c r="IY33" s="92"/>
    </row>
    <row r="34" spans="1:259" x14ac:dyDescent="0.3">
      <c r="A34" s="2" t="s">
        <v>242</v>
      </c>
      <c r="B34" s="2"/>
      <c r="C34" s="2"/>
      <c r="D34" s="2"/>
      <c r="E34" s="2" t="s">
        <v>255</v>
      </c>
      <c r="F34" s="2" t="s">
        <v>17</v>
      </c>
      <c r="G34" s="2" t="s">
        <v>291</v>
      </c>
      <c r="H34" s="3"/>
      <c r="I34" s="3" t="s">
        <v>308</v>
      </c>
      <c r="J34" s="87"/>
      <c r="K34" s="88">
        <f t="shared" si="0"/>
        <v>8</v>
      </c>
      <c r="L34" s="89">
        <f>5+4</f>
        <v>9</v>
      </c>
      <c r="M34" s="88">
        <f t="shared" si="1"/>
        <v>1</v>
      </c>
      <c r="N34" s="88">
        <f t="shared" si="2"/>
        <v>8</v>
      </c>
      <c r="O34" s="90"/>
      <c r="P34" s="90"/>
      <c r="Q34" s="90"/>
      <c r="R34" s="88">
        <f>1</f>
        <v>1</v>
      </c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1"/>
      <c r="AU34" s="30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2"/>
      <c r="DS34" s="92"/>
      <c r="DT34" s="92"/>
      <c r="DU34" s="92"/>
      <c r="DV34" s="92"/>
      <c r="DW34" s="92"/>
      <c r="DX34" s="92"/>
      <c r="DY34" s="92"/>
      <c r="DZ34" s="92"/>
      <c r="EA34" s="92"/>
      <c r="EB34" s="92"/>
      <c r="EC34" s="92"/>
      <c r="ED34" s="92"/>
      <c r="EE34" s="92"/>
      <c r="EF34" s="92"/>
      <c r="EG34" s="92"/>
      <c r="EH34" s="92"/>
      <c r="EI34" s="92"/>
      <c r="EJ34" s="92"/>
      <c r="EK34" s="92"/>
      <c r="EL34" s="92"/>
      <c r="EM34" s="92"/>
      <c r="EN34" s="92"/>
      <c r="EO34" s="92"/>
      <c r="EP34" s="92"/>
      <c r="EQ34" s="92"/>
      <c r="ER34" s="92"/>
      <c r="ES34" s="92"/>
      <c r="ET34" s="92"/>
      <c r="EU34" s="92"/>
      <c r="EV34" s="92"/>
      <c r="EW34" s="92"/>
      <c r="EX34" s="92"/>
      <c r="EY34" s="92"/>
      <c r="EZ34" s="92"/>
      <c r="FA34" s="92"/>
      <c r="FB34" s="92"/>
      <c r="FC34" s="92"/>
      <c r="FD34" s="92"/>
      <c r="FE34" s="92"/>
      <c r="FF34" s="92"/>
      <c r="FG34" s="92"/>
      <c r="FH34" s="92"/>
      <c r="FI34" s="92"/>
      <c r="FJ34" s="92"/>
      <c r="FK34" s="92"/>
      <c r="FL34" s="92"/>
      <c r="FM34" s="92"/>
      <c r="FN34" s="92"/>
      <c r="FO34" s="92"/>
      <c r="FP34" s="92"/>
      <c r="FQ34" s="92"/>
      <c r="FR34" s="92"/>
      <c r="FS34" s="92"/>
      <c r="FT34" s="92"/>
      <c r="FU34" s="92"/>
      <c r="FV34" s="92"/>
      <c r="FW34" s="92"/>
      <c r="FX34" s="92"/>
      <c r="FY34" s="92"/>
      <c r="FZ34" s="92"/>
      <c r="GA34" s="92"/>
      <c r="GB34" s="92"/>
      <c r="GC34" s="92"/>
      <c r="GD34" s="92"/>
      <c r="GE34" s="92"/>
      <c r="GF34" s="92"/>
      <c r="GG34" s="92"/>
      <c r="GH34" s="92"/>
      <c r="GI34" s="92"/>
      <c r="GJ34" s="92"/>
      <c r="GK34" s="92"/>
      <c r="GL34" s="92"/>
      <c r="GM34" s="92"/>
      <c r="GN34" s="92"/>
      <c r="GO34" s="92"/>
      <c r="GP34" s="92"/>
      <c r="GQ34" s="92"/>
      <c r="GR34" s="92"/>
      <c r="GS34" s="92"/>
      <c r="GT34" s="92"/>
      <c r="GU34" s="92"/>
      <c r="GV34" s="92"/>
      <c r="GW34" s="92"/>
      <c r="GX34" s="92"/>
      <c r="GY34" s="92"/>
      <c r="GZ34" s="92"/>
      <c r="HA34" s="92"/>
      <c r="HB34" s="92"/>
      <c r="HC34" s="92"/>
      <c r="HD34" s="92"/>
      <c r="HE34" s="92"/>
      <c r="HF34" s="92"/>
      <c r="HG34" s="92"/>
      <c r="HH34" s="92"/>
      <c r="HI34" s="92"/>
      <c r="HJ34" s="92"/>
      <c r="HK34" s="92"/>
      <c r="HL34" s="92"/>
      <c r="HM34" s="92"/>
      <c r="HN34" s="92"/>
      <c r="HO34" s="92"/>
      <c r="HP34" s="92"/>
      <c r="HQ34" s="92"/>
      <c r="HR34" s="92"/>
      <c r="HS34" s="92"/>
      <c r="HT34" s="92"/>
      <c r="HU34" s="92"/>
      <c r="HV34" s="92"/>
      <c r="HW34" s="92"/>
      <c r="HX34" s="92"/>
      <c r="HY34" s="92"/>
      <c r="HZ34" s="92"/>
      <c r="IA34" s="92"/>
      <c r="IB34" s="92"/>
      <c r="IC34" s="92"/>
      <c r="ID34" s="92"/>
      <c r="IE34" s="92"/>
      <c r="IF34" s="92"/>
      <c r="IG34" s="92"/>
      <c r="IH34" s="92"/>
      <c r="II34" s="92"/>
      <c r="IJ34" s="92"/>
      <c r="IK34" s="92"/>
      <c r="IL34" s="92"/>
      <c r="IM34" s="92"/>
      <c r="IN34" s="92"/>
      <c r="IO34" s="92"/>
      <c r="IP34" s="92"/>
      <c r="IQ34" s="92"/>
      <c r="IR34" s="92"/>
      <c r="IS34" s="92"/>
      <c r="IT34" s="92"/>
      <c r="IU34" s="92"/>
      <c r="IV34" s="92"/>
      <c r="IW34" s="92"/>
      <c r="IX34" s="92"/>
      <c r="IY34" s="92"/>
    </row>
    <row r="35" spans="1:259" x14ac:dyDescent="0.3">
      <c r="A35" s="2" t="s">
        <v>170</v>
      </c>
      <c r="B35" s="2"/>
      <c r="C35" s="2"/>
      <c r="D35" s="2"/>
      <c r="E35" s="7" t="s">
        <v>319</v>
      </c>
      <c r="F35" s="2" t="s">
        <v>17</v>
      </c>
      <c r="G35" s="2" t="s">
        <v>291</v>
      </c>
      <c r="H35" s="3"/>
      <c r="I35" s="3" t="s">
        <v>308</v>
      </c>
      <c r="J35" s="87"/>
      <c r="K35" s="88">
        <f t="shared" si="0"/>
        <v>5</v>
      </c>
      <c r="L35" s="89">
        <v>6</v>
      </c>
      <c r="M35" s="88">
        <f t="shared" si="1"/>
        <v>1</v>
      </c>
      <c r="N35" s="88">
        <f t="shared" si="2"/>
        <v>5</v>
      </c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88">
        <f>1</f>
        <v>1</v>
      </c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1"/>
      <c r="AU35" s="30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2"/>
      <c r="DN35" s="92"/>
      <c r="DO35" s="92"/>
      <c r="DP35" s="92"/>
      <c r="DQ35" s="92"/>
      <c r="DR35" s="92"/>
      <c r="DS35" s="92"/>
      <c r="DT35" s="92"/>
      <c r="DU35" s="92"/>
      <c r="DV35" s="92"/>
      <c r="DW35" s="92"/>
      <c r="DX35" s="92"/>
      <c r="DY35" s="92"/>
      <c r="DZ35" s="92"/>
      <c r="EA35" s="92"/>
      <c r="EB35" s="92"/>
      <c r="EC35" s="92"/>
      <c r="ED35" s="92"/>
      <c r="EE35" s="92"/>
      <c r="EF35" s="92"/>
      <c r="EG35" s="92"/>
      <c r="EH35" s="92"/>
      <c r="EI35" s="92"/>
      <c r="EJ35" s="92"/>
      <c r="EK35" s="92"/>
      <c r="EL35" s="92"/>
      <c r="EM35" s="92"/>
      <c r="EN35" s="92"/>
      <c r="EO35" s="92"/>
      <c r="EP35" s="92"/>
      <c r="EQ35" s="92"/>
      <c r="ER35" s="92"/>
      <c r="ES35" s="92"/>
      <c r="ET35" s="92"/>
      <c r="EU35" s="92"/>
      <c r="EV35" s="92"/>
      <c r="EW35" s="92"/>
      <c r="EX35" s="92"/>
      <c r="EY35" s="92"/>
      <c r="EZ35" s="92"/>
      <c r="FA35" s="92"/>
      <c r="FB35" s="92"/>
      <c r="FC35" s="92"/>
      <c r="FD35" s="92"/>
      <c r="FE35" s="92"/>
      <c r="FF35" s="92"/>
      <c r="FG35" s="92"/>
      <c r="FH35" s="92"/>
      <c r="FI35" s="92"/>
      <c r="FJ35" s="92"/>
      <c r="FK35" s="92"/>
      <c r="FL35" s="92"/>
      <c r="FM35" s="92"/>
      <c r="FN35" s="92"/>
      <c r="FO35" s="92"/>
      <c r="FP35" s="92"/>
      <c r="FQ35" s="92"/>
      <c r="FR35" s="92"/>
      <c r="FS35" s="92"/>
      <c r="FT35" s="92"/>
      <c r="FU35" s="92"/>
      <c r="FV35" s="92"/>
      <c r="FW35" s="92"/>
      <c r="FX35" s="92"/>
      <c r="FY35" s="92"/>
      <c r="FZ35" s="92"/>
      <c r="GA35" s="92"/>
      <c r="GB35" s="92"/>
      <c r="GC35" s="92"/>
      <c r="GD35" s="92"/>
      <c r="GE35" s="92"/>
      <c r="GF35" s="92"/>
      <c r="GG35" s="92"/>
      <c r="GH35" s="92"/>
      <c r="GI35" s="92"/>
      <c r="GJ35" s="92"/>
      <c r="GK35" s="92"/>
      <c r="GL35" s="92"/>
      <c r="GM35" s="92"/>
      <c r="GN35" s="92"/>
      <c r="GO35" s="92"/>
      <c r="GP35" s="92"/>
      <c r="GQ35" s="92"/>
      <c r="GR35" s="92"/>
      <c r="GS35" s="92"/>
      <c r="GT35" s="92"/>
      <c r="GU35" s="92"/>
      <c r="GV35" s="92"/>
      <c r="GW35" s="92"/>
      <c r="GX35" s="92"/>
      <c r="GY35" s="92"/>
      <c r="GZ35" s="92"/>
      <c r="HA35" s="92"/>
      <c r="HB35" s="92"/>
      <c r="HC35" s="92"/>
      <c r="HD35" s="92"/>
      <c r="HE35" s="92"/>
      <c r="HF35" s="92"/>
      <c r="HG35" s="92"/>
      <c r="HH35" s="92"/>
      <c r="HI35" s="92"/>
      <c r="HJ35" s="92"/>
      <c r="HK35" s="92"/>
      <c r="HL35" s="92"/>
      <c r="HM35" s="92"/>
      <c r="HN35" s="92"/>
      <c r="HO35" s="92"/>
      <c r="HP35" s="92"/>
      <c r="HQ35" s="92"/>
      <c r="HR35" s="92"/>
      <c r="HS35" s="92"/>
      <c r="HT35" s="92"/>
      <c r="HU35" s="92"/>
      <c r="HV35" s="92"/>
      <c r="HW35" s="92"/>
      <c r="HX35" s="92"/>
      <c r="HY35" s="92"/>
      <c r="HZ35" s="92"/>
      <c r="IA35" s="92"/>
      <c r="IB35" s="92"/>
      <c r="IC35" s="92"/>
      <c r="ID35" s="92"/>
      <c r="IE35" s="92"/>
      <c r="IF35" s="92"/>
      <c r="IG35" s="92"/>
      <c r="IH35" s="92"/>
      <c r="II35" s="92"/>
      <c r="IJ35" s="92"/>
      <c r="IK35" s="92"/>
      <c r="IL35" s="92"/>
      <c r="IM35" s="92"/>
      <c r="IN35" s="92"/>
      <c r="IO35" s="92"/>
      <c r="IP35" s="92"/>
      <c r="IQ35" s="92"/>
      <c r="IR35" s="92"/>
      <c r="IS35" s="92"/>
      <c r="IT35" s="92"/>
      <c r="IU35" s="92"/>
      <c r="IV35" s="92"/>
      <c r="IW35" s="92"/>
      <c r="IX35" s="92"/>
      <c r="IY35" s="92"/>
    </row>
    <row r="36" spans="1:259" x14ac:dyDescent="0.3">
      <c r="A36" s="2" t="s">
        <v>170</v>
      </c>
      <c r="B36" s="2"/>
      <c r="C36" s="2"/>
      <c r="D36" s="2"/>
      <c r="E36" s="7" t="s">
        <v>319</v>
      </c>
      <c r="F36" s="2" t="s">
        <v>17</v>
      </c>
      <c r="G36" s="2" t="s">
        <v>336</v>
      </c>
      <c r="H36" s="3"/>
      <c r="I36" s="3" t="s">
        <v>391</v>
      </c>
      <c r="J36" s="87"/>
      <c r="K36" s="88">
        <f t="shared" si="0"/>
        <v>0</v>
      </c>
      <c r="L36" s="89">
        <v>0</v>
      </c>
      <c r="M36" s="88">
        <f t="shared" si="1"/>
        <v>0</v>
      </c>
      <c r="N36" s="88">
        <f t="shared" si="2"/>
        <v>0</v>
      </c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1"/>
      <c r="AU36" s="30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2"/>
      <c r="DA36" s="92"/>
      <c r="DB36" s="92"/>
      <c r="DC36" s="92"/>
      <c r="DD36" s="92"/>
      <c r="DE36" s="92"/>
      <c r="DF36" s="92"/>
      <c r="DG36" s="92"/>
      <c r="DH36" s="92"/>
      <c r="DI36" s="92"/>
      <c r="DJ36" s="92"/>
      <c r="DK36" s="92"/>
      <c r="DL36" s="92"/>
      <c r="DM36" s="92"/>
      <c r="DN36" s="92"/>
      <c r="DO36" s="92"/>
      <c r="DP36" s="92"/>
      <c r="DQ36" s="92"/>
      <c r="DR36" s="92"/>
      <c r="DS36" s="92"/>
      <c r="DT36" s="92"/>
      <c r="DU36" s="92"/>
      <c r="DV36" s="92"/>
      <c r="DW36" s="92"/>
      <c r="DX36" s="92"/>
      <c r="DY36" s="92"/>
      <c r="DZ36" s="92"/>
      <c r="EA36" s="92"/>
      <c r="EB36" s="92"/>
      <c r="EC36" s="92"/>
      <c r="ED36" s="92"/>
      <c r="EE36" s="92"/>
      <c r="EF36" s="92"/>
      <c r="EG36" s="92"/>
      <c r="EH36" s="92"/>
      <c r="EI36" s="92"/>
      <c r="EJ36" s="92"/>
      <c r="EK36" s="92"/>
      <c r="EL36" s="92"/>
      <c r="EM36" s="92"/>
      <c r="EN36" s="92"/>
      <c r="EO36" s="92"/>
      <c r="EP36" s="92"/>
      <c r="EQ36" s="92"/>
      <c r="ER36" s="92"/>
      <c r="ES36" s="92"/>
      <c r="ET36" s="92"/>
      <c r="EU36" s="92"/>
      <c r="EV36" s="92"/>
      <c r="EW36" s="92"/>
      <c r="EX36" s="92"/>
      <c r="EY36" s="92"/>
      <c r="EZ36" s="92"/>
      <c r="FA36" s="92"/>
      <c r="FB36" s="92"/>
      <c r="FC36" s="92"/>
      <c r="FD36" s="92"/>
      <c r="FE36" s="92"/>
      <c r="FF36" s="92"/>
      <c r="FG36" s="92"/>
      <c r="FH36" s="92"/>
      <c r="FI36" s="92"/>
      <c r="FJ36" s="92"/>
      <c r="FK36" s="92"/>
      <c r="FL36" s="92"/>
      <c r="FM36" s="92"/>
      <c r="FN36" s="92"/>
      <c r="FO36" s="92"/>
      <c r="FP36" s="92"/>
      <c r="FQ36" s="92"/>
      <c r="FR36" s="92"/>
      <c r="FS36" s="92"/>
      <c r="FT36" s="92"/>
      <c r="FU36" s="92"/>
      <c r="FV36" s="92"/>
      <c r="FW36" s="92"/>
      <c r="FX36" s="92"/>
      <c r="FY36" s="92"/>
      <c r="FZ36" s="92"/>
      <c r="GA36" s="92"/>
      <c r="GB36" s="92"/>
      <c r="GC36" s="92"/>
      <c r="GD36" s="92"/>
      <c r="GE36" s="92"/>
      <c r="GF36" s="92"/>
      <c r="GG36" s="92"/>
      <c r="GH36" s="92"/>
      <c r="GI36" s="92"/>
      <c r="GJ36" s="92"/>
      <c r="GK36" s="92"/>
      <c r="GL36" s="92"/>
      <c r="GM36" s="92"/>
      <c r="GN36" s="92"/>
      <c r="GO36" s="92"/>
      <c r="GP36" s="92"/>
      <c r="GQ36" s="92"/>
      <c r="GR36" s="92"/>
      <c r="GS36" s="92"/>
      <c r="GT36" s="92"/>
      <c r="GU36" s="92"/>
      <c r="GV36" s="92"/>
      <c r="GW36" s="92"/>
      <c r="GX36" s="92"/>
      <c r="GY36" s="92"/>
      <c r="GZ36" s="92"/>
      <c r="HA36" s="92"/>
      <c r="HB36" s="92"/>
      <c r="HC36" s="92"/>
      <c r="HD36" s="92"/>
      <c r="HE36" s="92"/>
      <c r="HF36" s="92"/>
      <c r="HG36" s="92"/>
      <c r="HH36" s="92"/>
      <c r="HI36" s="92"/>
      <c r="HJ36" s="92"/>
      <c r="HK36" s="92"/>
      <c r="HL36" s="92"/>
      <c r="HM36" s="92"/>
      <c r="HN36" s="92"/>
      <c r="HO36" s="92"/>
      <c r="HP36" s="92"/>
      <c r="HQ36" s="92"/>
      <c r="HR36" s="92"/>
      <c r="HS36" s="92"/>
      <c r="HT36" s="92"/>
      <c r="HU36" s="92"/>
      <c r="HV36" s="92"/>
      <c r="HW36" s="92"/>
      <c r="HX36" s="92"/>
      <c r="HY36" s="92"/>
      <c r="HZ36" s="92"/>
      <c r="IA36" s="92"/>
      <c r="IB36" s="92"/>
      <c r="IC36" s="92"/>
      <c r="ID36" s="92"/>
      <c r="IE36" s="92"/>
      <c r="IF36" s="92"/>
      <c r="IG36" s="92"/>
      <c r="IH36" s="92"/>
      <c r="II36" s="92"/>
      <c r="IJ36" s="92"/>
      <c r="IK36" s="92"/>
      <c r="IL36" s="92"/>
      <c r="IM36" s="92"/>
      <c r="IN36" s="92"/>
      <c r="IO36" s="92"/>
      <c r="IP36" s="92"/>
      <c r="IQ36" s="92"/>
      <c r="IR36" s="92"/>
      <c r="IS36" s="92"/>
      <c r="IT36" s="92"/>
      <c r="IU36" s="92"/>
      <c r="IV36" s="92"/>
      <c r="IW36" s="92"/>
      <c r="IX36" s="92"/>
      <c r="IY36" s="92"/>
    </row>
    <row r="37" spans="1:259" x14ac:dyDescent="0.3">
      <c r="A37" s="2" t="s">
        <v>170</v>
      </c>
      <c r="B37" s="2"/>
      <c r="C37" s="2"/>
      <c r="D37" s="2"/>
      <c r="E37" s="7" t="s">
        <v>319</v>
      </c>
      <c r="F37" s="2" t="s">
        <v>17</v>
      </c>
      <c r="G37" s="2" t="s">
        <v>336</v>
      </c>
      <c r="H37" s="3"/>
      <c r="I37" s="3" t="s">
        <v>350</v>
      </c>
      <c r="J37" s="87"/>
      <c r="K37" s="88">
        <f t="shared" si="0"/>
        <v>0</v>
      </c>
      <c r="L37" s="89">
        <v>0</v>
      </c>
      <c r="M37" s="88">
        <f t="shared" si="1"/>
        <v>0</v>
      </c>
      <c r="N37" s="88">
        <f t="shared" ref="N37" si="15">K37</f>
        <v>0</v>
      </c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1"/>
      <c r="AU37" s="30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2"/>
      <c r="BY37" s="92"/>
      <c r="BZ37" s="92"/>
      <c r="CA37" s="92"/>
      <c r="CB37" s="92"/>
      <c r="CC37" s="92"/>
      <c r="CD37" s="92"/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92"/>
      <c r="DF37" s="92"/>
      <c r="DG37" s="92"/>
      <c r="DH37" s="92"/>
      <c r="DI37" s="92"/>
      <c r="DJ37" s="92"/>
      <c r="DK37" s="92"/>
      <c r="DL37" s="92"/>
      <c r="DM37" s="92"/>
      <c r="DN37" s="92"/>
      <c r="DO37" s="92"/>
      <c r="DP37" s="92"/>
      <c r="DQ37" s="92"/>
      <c r="DR37" s="92"/>
      <c r="DS37" s="92"/>
      <c r="DT37" s="92"/>
      <c r="DU37" s="92"/>
      <c r="DV37" s="92"/>
      <c r="DW37" s="92"/>
      <c r="DX37" s="92"/>
      <c r="DY37" s="92"/>
      <c r="DZ37" s="92"/>
      <c r="EA37" s="92"/>
      <c r="EB37" s="92"/>
      <c r="EC37" s="92"/>
      <c r="ED37" s="92"/>
      <c r="EE37" s="92"/>
      <c r="EF37" s="92"/>
      <c r="EG37" s="92"/>
      <c r="EH37" s="92"/>
      <c r="EI37" s="92"/>
      <c r="EJ37" s="92"/>
      <c r="EK37" s="92"/>
      <c r="EL37" s="92"/>
      <c r="EM37" s="92"/>
      <c r="EN37" s="92"/>
      <c r="EO37" s="92"/>
      <c r="EP37" s="92"/>
      <c r="EQ37" s="92"/>
      <c r="ER37" s="92"/>
      <c r="ES37" s="92"/>
      <c r="ET37" s="92"/>
      <c r="EU37" s="92"/>
      <c r="EV37" s="92"/>
      <c r="EW37" s="92"/>
      <c r="EX37" s="92"/>
      <c r="EY37" s="92"/>
      <c r="EZ37" s="92"/>
      <c r="FA37" s="92"/>
      <c r="FB37" s="92"/>
      <c r="FC37" s="92"/>
      <c r="FD37" s="92"/>
      <c r="FE37" s="92"/>
      <c r="FF37" s="92"/>
      <c r="FG37" s="92"/>
      <c r="FH37" s="92"/>
      <c r="FI37" s="92"/>
      <c r="FJ37" s="92"/>
      <c r="FK37" s="92"/>
      <c r="FL37" s="92"/>
      <c r="FM37" s="92"/>
      <c r="FN37" s="92"/>
      <c r="FO37" s="92"/>
      <c r="FP37" s="92"/>
      <c r="FQ37" s="92"/>
      <c r="FR37" s="92"/>
      <c r="FS37" s="92"/>
      <c r="FT37" s="92"/>
      <c r="FU37" s="92"/>
      <c r="FV37" s="92"/>
      <c r="FW37" s="92"/>
      <c r="FX37" s="92"/>
      <c r="FY37" s="92"/>
      <c r="FZ37" s="92"/>
      <c r="GA37" s="92"/>
      <c r="GB37" s="92"/>
      <c r="GC37" s="92"/>
      <c r="GD37" s="92"/>
      <c r="GE37" s="92"/>
      <c r="GF37" s="92"/>
      <c r="GG37" s="92"/>
      <c r="GH37" s="92"/>
      <c r="GI37" s="92"/>
      <c r="GJ37" s="92"/>
      <c r="GK37" s="92"/>
      <c r="GL37" s="92"/>
      <c r="GM37" s="92"/>
      <c r="GN37" s="92"/>
      <c r="GO37" s="92"/>
      <c r="GP37" s="92"/>
      <c r="GQ37" s="92"/>
      <c r="GR37" s="92"/>
      <c r="GS37" s="92"/>
      <c r="GT37" s="92"/>
      <c r="GU37" s="92"/>
      <c r="GV37" s="92"/>
      <c r="GW37" s="92"/>
      <c r="GX37" s="92"/>
      <c r="GY37" s="92"/>
      <c r="GZ37" s="92"/>
      <c r="HA37" s="92"/>
      <c r="HB37" s="92"/>
      <c r="HC37" s="92"/>
      <c r="HD37" s="92"/>
      <c r="HE37" s="92"/>
      <c r="HF37" s="92"/>
      <c r="HG37" s="92"/>
      <c r="HH37" s="92"/>
      <c r="HI37" s="92"/>
      <c r="HJ37" s="92"/>
      <c r="HK37" s="92"/>
      <c r="HL37" s="92"/>
      <c r="HM37" s="92"/>
      <c r="HN37" s="92"/>
      <c r="HO37" s="92"/>
      <c r="HP37" s="92"/>
      <c r="HQ37" s="92"/>
      <c r="HR37" s="92"/>
      <c r="HS37" s="92"/>
      <c r="HT37" s="92"/>
      <c r="HU37" s="92"/>
      <c r="HV37" s="92"/>
      <c r="HW37" s="92"/>
      <c r="HX37" s="92"/>
      <c r="HY37" s="92"/>
      <c r="HZ37" s="92"/>
      <c r="IA37" s="92"/>
      <c r="IB37" s="92"/>
      <c r="IC37" s="92"/>
      <c r="ID37" s="92"/>
      <c r="IE37" s="92"/>
      <c r="IF37" s="92"/>
      <c r="IG37" s="92"/>
      <c r="IH37" s="92"/>
      <c r="II37" s="92"/>
      <c r="IJ37" s="92"/>
      <c r="IK37" s="92"/>
      <c r="IL37" s="92"/>
      <c r="IM37" s="92"/>
      <c r="IN37" s="92"/>
      <c r="IO37" s="92"/>
      <c r="IP37" s="92"/>
      <c r="IQ37" s="92"/>
      <c r="IR37" s="92"/>
      <c r="IS37" s="92"/>
      <c r="IT37" s="92"/>
      <c r="IU37" s="92"/>
      <c r="IV37" s="92"/>
      <c r="IW37" s="92"/>
      <c r="IX37" s="92"/>
      <c r="IY37" s="92"/>
    </row>
    <row r="38" spans="1:259" x14ac:dyDescent="0.3">
      <c r="A38" s="2" t="s">
        <v>170</v>
      </c>
      <c r="B38" s="2"/>
      <c r="C38" s="2"/>
      <c r="D38" s="2"/>
      <c r="E38" s="7" t="s">
        <v>319</v>
      </c>
      <c r="F38" s="2" t="s">
        <v>17</v>
      </c>
      <c r="G38" s="2" t="s">
        <v>336</v>
      </c>
      <c r="H38" s="3"/>
      <c r="I38" s="3" t="s">
        <v>354</v>
      </c>
      <c r="J38" s="87"/>
      <c r="K38" s="88">
        <f t="shared" si="0"/>
        <v>2</v>
      </c>
      <c r="L38" s="89">
        <v>2</v>
      </c>
      <c r="M38" s="88">
        <f t="shared" si="1"/>
        <v>0</v>
      </c>
      <c r="N38" s="88">
        <f t="shared" ref="N38" si="16">K38</f>
        <v>2</v>
      </c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1"/>
      <c r="AU38" s="30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  <c r="DQ38" s="92"/>
      <c r="DR38" s="92"/>
      <c r="DS38" s="92"/>
      <c r="DT38" s="92"/>
      <c r="DU38" s="92"/>
      <c r="DV38" s="92"/>
      <c r="DW38" s="92"/>
      <c r="DX38" s="92"/>
      <c r="DY38" s="92"/>
      <c r="DZ38" s="92"/>
      <c r="EA38" s="92"/>
      <c r="EB38" s="92"/>
      <c r="EC38" s="92"/>
      <c r="ED38" s="92"/>
      <c r="EE38" s="92"/>
      <c r="EF38" s="92"/>
      <c r="EG38" s="92"/>
      <c r="EH38" s="92"/>
      <c r="EI38" s="92"/>
      <c r="EJ38" s="92"/>
      <c r="EK38" s="92"/>
      <c r="EL38" s="92"/>
      <c r="EM38" s="92"/>
      <c r="EN38" s="92"/>
      <c r="EO38" s="92"/>
      <c r="EP38" s="92"/>
      <c r="EQ38" s="92"/>
      <c r="ER38" s="92"/>
      <c r="ES38" s="92"/>
      <c r="ET38" s="92"/>
      <c r="EU38" s="92"/>
      <c r="EV38" s="92"/>
      <c r="EW38" s="92"/>
      <c r="EX38" s="92"/>
      <c r="EY38" s="92"/>
      <c r="EZ38" s="92"/>
      <c r="FA38" s="92"/>
      <c r="FB38" s="92"/>
      <c r="FC38" s="92"/>
      <c r="FD38" s="92"/>
      <c r="FE38" s="92"/>
      <c r="FF38" s="92"/>
      <c r="FG38" s="92"/>
      <c r="FH38" s="92"/>
      <c r="FI38" s="92"/>
      <c r="FJ38" s="92"/>
      <c r="FK38" s="92"/>
      <c r="FL38" s="92"/>
      <c r="FM38" s="92"/>
      <c r="FN38" s="92"/>
      <c r="FO38" s="92"/>
      <c r="FP38" s="92"/>
      <c r="FQ38" s="92"/>
      <c r="FR38" s="92"/>
      <c r="FS38" s="92"/>
      <c r="FT38" s="92"/>
      <c r="FU38" s="92"/>
      <c r="FV38" s="92"/>
      <c r="FW38" s="92"/>
      <c r="FX38" s="92"/>
      <c r="FY38" s="92"/>
      <c r="FZ38" s="92"/>
      <c r="GA38" s="92"/>
      <c r="GB38" s="92"/>
      <c r="GC38" s="92"/>
      <c r="GD38" s="92"/>
      <c r="GE38" s="92"/>
      <c r="GF38" s="92"/>
      <c r="GG38" s="92"/>
      <c r="GH38" s="92"/>
      <c r="GI38" s="92"/>
      <c r="GJ38" s="92"/>
      <c r="GK38" s="92"/>
      <c r="GL38" s="92"/>
      <c r="GM38" s="92"/>
      <c r="GN38" s="92"/>
      <c r="GO38" s="92"/>
      <c r="GP38" s="92"/>
      <c r="GQ38" s="92"/>
      <c r="GR38" s="92"/>
      <c r="GS38" s="92"/>
      <c r="GT38" s="92"/>
      <c r="GU38" s="92"/>
      <c r="GV38" s="92"/>
      <c r="GW38" s="92"/>
      <c r="GX38" s="92"/>
      <c r="GY38" s="92"/>
      <c r="GZ38" s="92"/>
      <c r="HA38" s="92"/>
      <c r="HB38" s="92"/>
      <c r="HC38" s="92"/>
      <c r="HD38" s="92"/>
      <c r="HE38" s="92"/>
      <c r="HF38" s="92"/>
      <c r="HG38" s="92"/>
      <c r="HH38" s="92"/>
      <c r="HI38" s="92"/>
      <c r="HJ38" s="92"/>
      <c r="HK38" s="92"/>
      <c r="HL38" s="92"/>
      <c r="HM38" s="92"/>
      <c r="HN38" s="92"/>
      <c r="HO38" s="92"/>
      <c r="HP38" s="92"/>
      <c r="HQ38" s="92"/>
      <c r="HR38" s="92"/>
      <c r="HS38" s="92"/>
      <c r="HT38" s="92"/>
      <c r="HU38" s="92"/>
      <c r="HV38" s="92"/>
      <c r="HW38" s="92"/>
      <c r="HX38" s="92"/>
      <c r="HY38" s="92"/>
      <c r="HZ38" s="92"/>
      <c r="IA38" s="92"/>
      <c r="IB38" s="92"/>
      <c r="IC38" s="92"/>
      <c r="ID38" s="92"/>
      <c r="IE38" s="92"/>
      <c r="IF38" s="92"/>
      <c r="IG38" s="92"/>
      <c r="IH38" s="92"/>
      <c r="II38" s="92"/>
      <c r="IJ38" s="92"/>
      <c r="IK38" s="92"/>
      <c r="IL38" s="92"/>
      <c r="IM38" s="92"/>
      <c r="IN38" s="92"/>
      <c r="IO38" s="92"/>
      <c r="IP38" s="92"/>
      <c r="IQ38" s="92"/>
      <c r="IR38" s="92"/>
      <c r="IS38" s="92"/>
      <c r="IT38" s="92"/>
      <c r="IU38" s="92"/>
      <c r="IV38" s="92"/>
      <c r="IW38" s="92"/>
      <c r="IX38" s="92"/>
      <c r="IY38" s="92"/>
    </row>
    <row r="39" spans="1:259" x14ac:dyDescent="0.3">
      <c r="A39" s="2" t="s">
        <v>170</v>
      </c>
      <c r="B39" s="2"/>
      <c r="C39" s="2"/>
      <c r="D39" s="2"/>
      <c r="E39" s="7" t="s">
        <v>319</v>
      </c>
      <c r="F39" s="2" t="s">
        <v>17</v>
      </c>
      <c r="G39" s="2" t="s">
        <v>336</v>
      </c>
      <c r="H39" s="3"/>
      <c r="I39" s="3" t="s">
        <v>415</v>
      </c>
      <c r="J39" s="87"/>
      <c r="K39" s="88">
        <f t="shared" si="0"/>
        <v>0</v>
      </c>
      <c r="L39" s="89">
        <v>0</v>
      </c>
      <c r="M39" s="88">
        <f t="shared" si="1"/>
        <v>0</v>
      </c>
      <c r="N39" s="88">
        <f t="shared" ref="N39" si="17">K39</f>
        <v>0</v>
      </c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1"/>
      <c r="AU39" s="30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2"/>
      <c r="DA39" s="92"/>
      <c r="DB39" s="92"/>
      <c r="DC39" s="92"/>
      <c r="DD39" s="92"/>
      <c r="DE39" s="92"/>
      <c r="DF39" s="92"/>
      <c r="DG39" s="92"/>
      <c r="DH39" s="92"/>
      <c r="DI39" s="92"/>
      <c r="DJ39" s="92"/>
      <c r="DK39" s="92"/>
      <c r="DL39" s="92"/>
      <c r="DM39" s="92"/>
      <c r="DN39" s="92"/>
      <c r="DO39" s="92"/>
      <c r="DP39" s="92"/>
      <c r="DQ39" s="92"/>
      <c r="DR39" s="92"/>
      <c r="DS39" s="92"/>
      <c r="DT39" s="92"/>
      <c r="DU39" s="92"/>
      <c r="DV39" s="92"/>
      <c r="DW39" s="92"/>
      <c r="DX39" s="92"/>
      <c r="DY39" s="92"/>
      <c r="DZ39" s="92"/>
      <c r="EA39" s="92"/>
      <c r="EB39" s="92"/>
      <c r="EC39" s="92"/>
      <c r="ED39" s="92"/>
      <c r="EE39" s="92"/>
      <c r="EF39" s="92"/>
      <c r="EG39" s="92"/>
      <c r="EH39" s="92"/>
      <c r="EI39" s="92"/>
      <c r="EJ39" s="92"/>
      <c r="EK39" s="92"/>
      <c r="EL39" s="92"/>
      <c r="EM39" s="92"/>
      <c r="EN39" s="92"/>
      <c r="EO39" s="92"/>
      <c r="EP39" s="92"/>
      <c r="EQ39" s="92"/>
      <c r="ER39" s="92"/>
      <c r="ES39" s="92"/>
      <c r="ET39" s="92"/>
      <c r="EU39" s="92"/>
      <c r="EV39" s="92"/>
      <c r="EW39" s="92"/>
      <c r="EX39" s="92"/>
      <c r="EY39" s="92"/>
      <c r="EZ39" s="92"/>
      <c r="FA39" s="92"/>
      <c r="FB39" s="92"/>
      <c r="FC39" s="92"/>
      <c r="FD39" s="92"/>
      <c r="FE39" s="92"/>
      <c r="FF39" s="92"/>
      <c r="FG39" s="92"/>
      <c r="FH39" s="92"/>
      <c r="FI39" s="92"/>
      <c r="FJ39" s="92"/>
      <c r="FK39" s="92"/>
      <c r="FL39" s="92"/>
      <c r="FM39" s="92"/>
      <c r="FN39" s="92"/>
      <c r="FO39" s="92"/>
      <c r="FP39" s="92"/>
      <c r="FQ39" s="92"/>
      <c r="FR39" s="92"/>
      <c r="FS39" s="92"/>
      <c r="FT39" s="92"/>
      <c r="FU39" s="92"/>
      <c r="FV39" s="92"/>
      <c r="FW39" s="92"/>
      <c r="FX39" s="92"/>
      <c r="FY39" s="92"/>
      <c r="FZ39" s="92"/>
      <c r="GA39" s="92"/>
      <c r="GB39" s="92"/>
      <c r="GC39" s="92"/>
      <c r="GD39" s="92"/>
      <c r="GE39" s="92"/>
      <c r="GF39" s="92"/>
      <c r="GG39" s="92"/>
      <c r="GH39" s="92"/>
      <c r="GI39" s="92"/>
      <c r="GJ39" s="92"/>
      <c r="GK39" s="92"/>
      <c r="GL39" s="92"/>
      <c r="GM39" s="92"/>
      <c r="GN39" s="92"/>
      <c r="GO39" s="92"/>
      <c r="GP39" s="92"/>
      <c r="GQ39" s="92"/>
      <c r="GR39" s="92"/>
      <c r="GS39" s="92"/>
      <c r="GT39" s="92"/>
      <c r="GU39" s="92"/>
      <c r="GV39" s="92"/>
      <c r="GW39" s="92"/>
      <c r="GX39" s="92"/>
      <c r="GY39" s="92"/>
      <c r="GZ39" s="92"/>
      <c r="HA39" s="92"/>
      <c r="HB39" s="92"/>
      <c r="HC39" s="92"/>
      <c r="HD39" s="92"/>
      <c r="HE39" s="92"/>
      <c r="HF39" s="92"/>
      <c r="HG39" s="92"/>
      <c r="HH39" s="92"/>
      <c r="HI39" s="92"/>
      <c r="HJ39" s="92"/>
      <c r="HK39" s="92"/>
      <c r="HL39" s="92"/>
      <c r="HM39" s="92"/>
      <c r="HN39" s="92"/>
      <c r="HO39" s="92"/>
      <c r="HP39" s="92"/>
      <c r="HQ39" s="92"/>
      <c r="HR39" s="92"/>
      <c r="HS39" s="92"/>
      <c r="HT39" s="92"/>
      <c r="HU39" s="92"/>
      <c r="HV39" s="92"/>
      <c r="HW39" s="92"/>
      <c r="HX39" s="92"/>
      <c r="HY39" s="92"/>
      <c r="HZ39" s="92"/>
      <c r="IA39" s="92"/>
      <c r="IB39" s="92"/>
      <c r="IC39" s="92"/>
      <c r="ID39" s="92"/>
      <c r="IE39" s="92"/>
      <c r="IF39" s="92"/>
      <c r="IG39" s="92"/>
      <c r="IH39" s="92"/>
      <c r="II39" s="92"/>
      <c r="IJ39" s="92"/>
      <c r="IK39" s="92"/>
      <c r="IL39" s="92"/>
      <c r="IM39" s="92"/>
      <c r="IN39" s="92"/>
      <c r="IO39" s="92"/>
      <c r="IP39" s="92"/>
      <c r="IQ39" s="92"/>
      <c r="IR39" s="92"/>
      <c r="IS39" s="92"/>
      <c r="IT39" s="92"/>
      <c r="IU39" s="92"/>
      <c r="IV39" s="92"/>
      <c r="IW39" s="92"/>
      <c r="IX39" s="92"/>
      <c r="IY39" s="92"/>
    </row>
    <row r="40" spans="1:259" x14ac:dyDescent="0.3">
      <c r="A40" s="2" t="s">
        <v>170</v>
      </c>
      <c r="B40" s="2"/>
      <c r="C40" s="2"/>
      <c r="D40" s="2"/>
      <c r="E40" s="7" t="s">
        <v>319</v>
      </c>
      <c r="F40" s="2" t="s">
        <v>17</v>
      </c>
      <c r="G40" s="2" t="s">
        <v>336</v>
      </c>
      <c r="H40" s="3"/>
      <c r="I40" s="3" t="s">
        <v>405</v>
      </c>
      <c r="J40" s="87"/>
      <c r="K40" s="88">
        <f t="shared" si="0"/>
        <v>0</v>
      </c>
      <c r="L40" s="89">
        <v>0</v>
      </c>
      <c r="M40" s="88">
        <f t="shared" si="1"/>
        <v>0</v>
      </c>
      <c r="N40" s="88">
        <f t="shared" ref="N40" si="18">K40</f>
        <v>0</v>
      </c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30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2"/>
      <c r="DA40" s="92"/>
      <c r="DB40" s="92"/>
      <c r="DC40" s="92"/>
      <c r="DD40" s="92"/>
      <c r="DE40" s="92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/>
      <c r="DQ40" s="92"/>
      <c r="DR40" s="92"/>
      <c r="DS40" s="92"/>
      <c r="DT40" s="92"/>
      <c r="DU40" s="92"/>
      <c r="DV40" s="92"/>
      <c r="DW40" s="92"/>
      <c r="DX40" s="92"/>
      <c r="DY40" s="92"/>
      <c r="DZ40" s="92"/>
      <c r="EA40" s="92"/>
      <c r="EB40" s="92"/>
      <c r="EC40" s="92"/>
      <c r="ED40" s="92"/>
      <c r="EE40" s="92"/>
      <c r="EF40" s="92"/>
      <c r="EG40" s="92"/>
      <c r="EH40" s="92"/>
      <c r="EI40" s="92"/>
      <c r="EJ40" s="92"/>
      <c r="EK40" s="92"/>
      <c r="EL40" s="92"/>
      <c r="EM40" s="92"/>
      <c r="EN40" s="92"/>
      <c r="EO40" s="92"/>
      <c r="EP40" s="92"/>
      <c r="EQ40" s="92"/>
      <c r="ER40" s="92"/>
      <c r="ES40" s="92"/>
      <c r="ET40" s="92"/>
      <c r="EU40" s="92"/>
      <c r="EV40" s="92"/>
      <c r="EW40" s="92"/>
      <c r="EX40" s="92"/>
      <c r="EY40" s="92"/>
      <c r="EZ40" s="92"/>
      <c r="FA40" s="92"/>
      <c r="FB40" s="92"/>
      <c r="FC40" s="92"/>
      <c r="FD40" s="92"/>
      <c r="FE40" s="92"/>
      <c r="FF40" s="92"/>
      <c r="FG40" s="92"/>
      <c r="FH40" s="92"/>
      <c r="FI40" s="92"/>
      <c r="FJ40" s="92"/>
      <c r="FK40" s="92"/>
      <c r="FL40" s="92"/>
      <c r="FM40" s="92"/>
      <c r="FN40" s="92"/>
      <c r="FO40" s="92"/>
      <c r="FP40" s="92"/>
      <c r="FQ40" s="92"/>
      <c r="FR40" s="92"/>
      <c r="FS40" s="92"/>
      <c r="FT40" s="92"/>
      <c r="FU40" s="92"/>
      <c r="FV40" s="92"/>
      <c r="FW40" s="92"/>
      <c r="FX40" s="92"/>
      <c r="FY40" s="92"/>
      <c r="FZ40" s="92"/>
      <c r="GA40" s="92"/>
      <c r="GB40" s="92"/>
      <c r="GC40" s="92"/>
      <c r="GD40" s="92"/>
      <c r="GE40" s="92"/>
      <c r="GF40" s="92"/>
      <c r="GG40" s="92"/>
      <c r="GH40" s="92"/>
      <c r="GI40" s="92"/>
      <c r="GJ40" s="92"/>
      <c r="GK40" s="92"/>
      <c r="GL40" s="92"/>
      <c r="GM40" s="92"/>
      <c r="GN40" s="92"/>
      <c r="GO40" s="92"/>
      <c r="GP40" s="92"/>
      <c r="GQ40" s="92"/>
      <c r="GR40" s="92"/>
      <c r="GS40" s="92"/>
      <c r="GT40" s="92"/>
      <c r="GU40" s="92"/>
      <c r="GV40" s="92"/>
      <c r="GW40" s="92"/>
      <c r="GX40" s="92"/>
      <c r="GY40" s="92"/>
      <c r="GZ40" s="92"/>
      <c r="HA40" s="92"/>
      <c r="HB40" s="92"/>
      <c r="HC40" s="92"/>
      <c r="HD40" s="92"/>
      <c r="HE40" s="92"/>
      <c r="HF40" s="92"/>
      <c r="HG40" s="92"/>
      <c r="HH40" s="92"/>
      <c r="HI40" s="92"/>
      <c r="HJ40" s="92"/>
      <c r="HK40" s="92"/>
      <c r="HL40" s="92"/>
      <c r="HM40" s="92"/>
      <c r="HN40" s="92"/>
      <c r="HO40" s="92"/>
      <c r="HP40" s="92"/>
      <c r="HQ40" s="92"/>
      <c r="HR40" s="92"/>
      <c r="HS40" s="92"/>
      <c r="HT40" s="92"/>
      <c r="HU40" s="92"/>
      <c r="HV40" s="92"/>
      <c r="HW40" s="92"/>
      <c r="HX40" s="92"/>
      <c r="HY40" s="92"/>
      <c r="HZ40" s="92"/>
      <c r="IA40" s="92"/>
      <c r="IB40" s="92"/>
      <c r="IC40" s="92"/>
      <c r="ID40" s="92"/>
      <c r="IE40" s="92"/>
      <c r="IF40" s="92"/>
      <c r="IG40" s="92"/>
      <c r="IH40" s="92"/>
      <c r="II40" s="92"/>
      <c r="IJ40" s="92"/>
      <c r="IK40" s="92"/>
      <c r="IL40" s="92"/>
      <c r="IM40" s="92"/>
      <c r="IN40" s="92"/>
      <c r="IO40" s="92"/>
      <c r="IP40" s="92"/>
      <c r="IQ40" s="92"/>
      <c r="IR40" s="92"/>
      <c r="IS40" s="92"/>
      <c r="IT40" s="92"/>
      <c r="IU40" s="92"/>
      <c r="IV40" s="92"/>
      <c r="IW40" s="92"/>
      <c r="IX40" s="92"/>
      <c r="IY40" s="92"/>
    </row>
    <row r="41" spans="1:259" x14ac:dyDescent="0.3">
      <c r="A41" s="2" t="s">
        <v>170</v>
      </c>
      <c r="B41" s="2"/>
      <c r="C41" s="2"/>
      <c r="D41" s="2"/>
      <c r="E41" s="7" t="s">
        <v>319</v>
      </c>
      <c r="F41" s="2" t="s">
        <v>17</v>
      </c>
      <c r="G41" s="2" t="s">
        <v>336</v>
      </c>
      <c r="H41" s="3"/>
      <c r="I41" s="3" t="s">
        <v>535</v>
      </c>
      <c r="J41" s="87"/>
      <c r="K41" s="88">
        <f t="shared" ref="K41" si="19">L41-M41</f>
        <v>0</v>
      </c>
      <c r="L41" s="89">
        <v>1</v>
      </c>
      <c r="M41" s="88">
        <f t="shared" si="1"/>
        <v>1</v>
      </c>
      <c r="N41" s="88">
        <f t="shared" ref="N41" si="20">K41</f>
        <v>0</v>
      </c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88">
        <f>1</f>
        <v>1</v>
      </c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1"/>
      <c r="AU41" s="30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2"/>
      <c r="BY41" s="92"/>
      <c r="BZ41" s="92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2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2"/>
      <c r="DA41" s="92"/>
      <c r="DB41" s="92"/>
      <c r="DC41" s="92"/>
      <c r="DD41" s="92"/>
      <c r="DE41" s="92"/>
      <c r="DF41" s="92"/>
      <c r="DG41" s="92"/>
      <c r="DH41" s="92"/>
      <c r="DI41" s="92"/>
      <c r="DJ41" s="92"/>
      <c r="DK41" s="92"/>
      <c r="DL41" s="92"/>
      <c r="DM41" s="92"/>
      <c r="DN41" s="92"/>
      <c r="DO41" s="92"/>
      <c r="DP41" s="92"/>
      <c r="DQ41" s="92"/>
      <c r="DR41" s="92"/>
      <c r="DS41" s="92"/>
      <c r="DT41" s="92"/>
      <c r="DU41" s="92"/>
      <c r="DV41" s="92"/>
      <c r="DW41" s="92"/>
      <c r="DX41" s="92"/>
      <c r="DY41" s="92"/>
      <c r="DZ41" s="92"/>
      <c r="EA41" s="92"/>
      <c r="EB41" s="92"/>
      <c r="EC41" s="92"/>
      <c r="ED41" s="92"/>
      <c r="EE41" s="92"/>
      <c r="EF41" s="92"/>
      <c r="EG41" s="92"/>
      <c r="EH41" s="92"/>
      <c r="EI41" s="92"/>
      <c r="EJ41" s="92"/>
      <c r="EK41" s="92"/>
      <c r="EL41" s="92"/>
      <c r="EM41" s="92"/>
      <c r="EN41" s="92"/>
      <c r="EO41" s="92"/>
      <c r="EP41" s="92"/>
      <c r="EQ41" s="92"/>
      <c r="ER41" s="92"/>
      <c r="ES41" s="92"/>
      <c r="ET41" s="92"/>
      <c r="EU41" s="92"/>
      <c r="EV41" s="92"/>
      <c r="EW41" s="92"/>
      <c r="EX41" s="92"/>
      <c r="EY41" s="92"/>
      <c r="EZ41" s="92"/>
      <c r="FA41" s="92"/>
      <c r="FB41" s="92"/>
      <c r="FC41" s="92"/>
      <c r="FD41" s="92"/>
      <c r="FE41" s="92"/>
      <c r="FF41" s="92"/>
      <c r="FG41" s="92"/>
      <c r="FH41" s="92"/>
      <c r="FI41" s="92"/>
      <c r="FJ41" s="92"/>
      <c r="FK41" s="92"/>
      <c r="FL41" s="92"/>
      <c r="FM41" s="92"/>
      <c r="FN41" s="92"/>
      <c r="FO41" s="92"/>
      <c r="FP41" s="92"/>
      <c r="FQ41" s="92"/>
      <c r="FR41" s="92"/>
      <c r="FS41" s="92"/>
      <c r="FT41" s="92"/>
      <c r="FU41" s="92"/>
      <c r="FV41" s="92"/>
      <c r="FW41" s="92"/>
      <c r="FX41" s="92"/>
      <c r="FY41" s="92"/>
      <c r="FZ41" s="92"/>
      <c r="GA41" s="92"/>
      <c r="GB41" s="92"/>
      <c r="GC41" s="92"/>
      <c r="GD41" s="92"/>
      <c r="GE41" s="92"/>
      <c r="GF41" s="92"/>
      <c r="GG41" s="92"/>
      <c r="GH41" s="92"/>
      <c r="GI41" s="92"/>
      <c r="GJ41" s="92"/>
      <c r="GK41" s="92"/>
      <c r="GL41" s="92"/>
      <c r="GM41" s="92"/>
      <c r="GN41" s="92"/>
      <c r="GO41" s="92"/>
      <c r="GP41" s="92"/>
      <c r="GQ41" s="92"/>
      <c r="GR41" s="92"/>
      <c r="GS41" s="92"/>
      <c r="GT41" s="92"/>
      <c r="GU41" s="92"/>
      <c r="GV41" s="92"/>
      <c r="GW41" s="92"/>
      <c r="GX41" s="92"/>
      <c r="GY41" s="92"/>
      <c r="GZ41" s="92"/>
      <c r="HA41" s="92"/>
      <c r="HB41" s="92"/>
      <c r="HC41" s="92"/>
      <c r="HD41" s="92"/>
      <c r="HE41" s="92"/>
      <c r="HF41" s="92"/>
      <c r="HG41" s="92"/>
      <c r="HH41" s="92"/>
      <c r="HI41" s="92"/>
      <c r="HJ41" s="92"/>
      <c r="HK41" s="92"/>
      <c r="HL41" s="92"/>
      <c r="HM41" s="92"/>
      <c r="HN41" s="92"/>
      <c r="HO41" s="92"/>
      <c r="HP41" s="92"/>
      <c r="HQ41" s="92"/>
      <c r="HR41" s="92"/>
      <c r="HS41" s="92"/>
      <c r="HT41" s="92"/>
      <c r="HU41" s="92"/>
      <c r="HV41" s="92"/>
      <c r="HW41" s="92"/>
      <c r="HX41" s="92"/>
      <c r="HY41" s="92"/>
      <c r="HZ41" s="92"/>
      <c r="IA41" s="92"/>
      <c r="IB41" s="92"/>
      <c r="IC41" s="92"/>
      <c r="ID41" s="92"/>
      <c r="IE41" s="92"/>
      <c r="IF41" s="92"/>
      <c r="IG41" s="92"/>
      <c r="IH41" s="92"/>
      <c r="II41" s="92"/>
      <c r="IJ41" s="92"/>
      <c r="IK41" s="92"/>
      <c r="IL41" s="92"/>
      <c r="IM41" s="92"/>
      <c r="IN41" s="92"/>
      <c r="IO41" s="92"/>
      <c r="IP41" s="92"/>
      <c r="IQ41" s="92"/>
      <c r="IR41" s="92"/>
      <c r="IS41" s="92"/>
      <c r="IT41" s="92"/>
      <c r="IU41" s="92"/>
      <c r="IV41" s="92"/>
      <c r="IW41" s="92"/>
      <c r="IX41" s="92"/>
      <c r="IY41" s="92"/>
    </row>
    <row r="42" spans="1:259" x14ac:dyDescent="0.3">
      <c r="A42" s="2" t="s">
        <v>170</v>
      </c>
      <c r="B42" s="2"/>
      <c r="C42" s="2"/>
      <c r="D42" s="2"/>
      <c r="E42" s="7" t="s">
        <v>319</v>
      </c>
      <c r="F42" s="2" t="s">
        <v>17</v>
      </c>
      <c r="G42" s="2" t="s">
        <v>336</v>
      </c>
      <c r="H42" s="3"/>
      <c r="I42" s="3" t="s">
        <v>534</v>
      </c>
      <c r="J42" s="87"/>
      <c r="K42" s="88">
        <f t="shared" ref="K42" si="21">L42-M42</f>
        <v>1</v>
      </c>
      <c r="L42" s="89">
        <v>1</v>
      </c>
      <c r="M42" s="88">
        <f t="shared" si="1"/>
        <v>0</v>
      </c>
      <c r="N42" s="88">
        <f t="shared" ref="N42" si="22">K42</f>
        <v>1</v>
      </c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1"/>
      <c r="AU42" s="30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2"/>
      <c r="DA42" s="92"/>
      <c r="DB42" s="92"/>
      <c r="DC42" s="92"/>
      <c r="DD42" s="92"/>
      <c r="DE42" s="92"/>
      <c r="DF42" s="92"/>
      <c r="DG42" s="92"/>
      <c r="DH42" s="92"/>
      <c r="DI42" s="92"/>
      <c r="DJ42" s="92"/>
      <c r="DK42" s="92"/>
      <c r="DL42" s="92"/>
      <c r="DM42" s="92"/>
      <c r="DN42" s="92"/>
      <c r="DO42" s="92"/>
      <c r="DP42" s="92"/>
      <c r="DQ42" s="92"/>
      <c r="DR42" s="92"/>
      <c r="DS42" s="92"/>
      <c r="DT42" s="92"/>
      <c r="DU42" s="92"/>
      <c r="DV42" s="92"/>
      <c r="DW42" s="92"/>
      <c r="DX42" s="92"/>
      <c r="DY42" s="92"/>
      <c r="DZ42" s="92"/>
      <c r="EA42" s="92"/>
      <c r="EB42" s="92"/>
      <c r="EC42" s="92"/>
      <c r="ED42" s="92"/>
      <c r="EE42" s="92"/>
      <c r="EF42" s="92"/>
      <c r="EG42" s="92"/>
      <c r="EH42" s="92"/>
      <c r="EI42" s="92"/>
      <c r="EJ42" s="92"/>
      <c r="EK42" s="92"/>
      <c r="EL42" s="92"/>
      <c r="EM42" s="92"/>
      <c r="EN42" s="92"/>
      <c r="EO42" s="92"/>
      <c r="EP42" s="92"/>
      <c r="EQ42" s="92"/>
      <c r="ER42" s="92"/>
      <c r="ES42" s="92"/>
      <c r="ET42" s="92"/>
      <c r="EU42" s="92"/>
      <c r="EV42" s="92"/>
      <c r="EW42" s="92"/>
      <c r="EX42" s="92"/>
      <c r="EY42" s="92"/>
      <c r="EZ42" s="92"/>
      <c r="FA42" s="92"/>
      <c r="FB42" s="92"/>
      <c r="FC42" s="92"/>
      <c r="FD42" s="92"/>
      <c r="FE42" s="92"/>
      <c r="FF42" s="92"/>
      <c r="FG42" s="92"/>
      <c r="FH42" s="92"/>
      <c r="FI42" s="92"/>
      <c r="FJ42" s="92"/>
      <c r="FK42" s="92"/>
      <c r="FL42" s="92"/>
      <c r="FM42" s="92"/>
      <c r="FN42" s="92"/>
      <c r="FO42" s="92"/>
      <c r="FP42" s="92"/>
      <c r="FQ42" s="92"/>
      <c r="FR42" s="92"/>
      <c r="FS42" s="92"/>
      <c r="FT42" s="92"/>
      <c r="FU42" s="92"/>
      <c r="FV42" s="92"/>
      <c r="FW42" s="92"/>
      <c r="FX42" s="92"/>
      <c r="FY42" s="92"/>
      <c r="FZ42" s="92"/>
      <c r="GA42" s="92"/>
      <c r="GB42" s="92"/>
      <c r="GC42" s="92"/>
      <c r="GD42" s="92"/>
      <c r="GE42" s="92"/>
      <c r="GF42" s="92"/>
      <c r="GG42" s="92"/>
      <c r="GH42" s="92"/>
      <c r="GI42" s="92"/>
      <c r="GJ42" s="92"/>
      <c r="GK42" s="92"/>
      <c r="GL42" s="92"/>
      <c r="GM42" s="92"/>
      <c r="GN42" s="92"/>
      <c r="GO42" s="92"/>
      <c r="GP42" s="92"/>
      <c r="GQ42" s="92"/>
      <c r="GR42" s="92"/>
      <c r="GS42" s="92"/>
      <c r="GT42" s="92"/>
      <c r="GU42" s="92"/>
      <c r="GV42" s="92"/>
      <c r="GW42" s="92"/>
      <c r="GX42" s="92"/>
      <c r="GY42" s="92"/>
      <c r="GZ42" s="92"/>
      <c r="HA42" s="92"/>
      <c r="HB42" s="92"/>
      <c r="HC42" s="92"/>
      <c r="HD42" s="92"/>
      <c r="HE42" s="92"/>
      <c r="HF42" s="92"/>
      <c r="HG42" s="92"/>
      <c r="HH42" s="92"/>
      <c r="HI42" s="92"/>
      <c r="HJ42" s="92"/>
      <c r="HK42" s="92"/>
      <c r="HL42" s="92"/>
      <c r="HM42" s="92"/>
      <c r="HN42" s="92"/>
      <c r="HO42" s="92"/>
      <c r="HP42" s="92"/>
      <c r="HQ42" s="92"/>
      <c r="HR42" s="92"/>
      <c r="HS42" s="92"/>
      <c r="HT42" s="92"/>
      <c r="HU42" s="92"/>
      <c r="HV42" s="92"/>
      <c r="HW42" s="92"/>
      <c r="HX42" s="92"/>
      <c r="HY42" s="92"/>
      <c r="HZ42" s="92"/>
      <c r="IA42" s="92"/>
      <c r="IB42" s="92"/>
      <c r="IC42" s="92"/>
      <c r="ID42" s="92"/>
      <c r="IE42" s="92"/>
      <c r="IF42" s="92"/>
      <c r="IG42" s="92"/>
      <c r="IH42" s="92"/>
      <c r="II42" s="92"/>
      <c r="IJ42" s="92"/>
      <c r="IK42" s="92"/>
      <c r="IL42" s="92"/>
      <c r="IM42" s="92"/>
      <c r="IN42" s="92"/>
      <c r="IO42" s="92"/>
      <c r="IP42" s="92"/>
      <c r="IQ42" s="92"/>
      <c r="IR42" s="92"/>
      <c r="IS42" s="92"/>
      <c r="IT42" s="92"/>
      <c r="IU42" s="92"/>
      <c r="IV42" s="92"/>
      <c r="IW42" s="92"/>
      <c r="IX42" s="92"/>
      <c r="IY42" s="92"/>
    </row>
    <row r="43" spans="1:259" x14ac:dyDescent="0.3">
      <c r="A43" s="2" t="s">
        <v>189</v>
      </c>
      <c r="B43" s="2"/>
      <c r="C43" s="2"/>
      <c r="D43" s="2"/>
      <c r="E43" s="7" t="s">
        <v>320</v>
      </c>
      <c r="F43" s="2" t="s">
        <v>17</v>
      </c>
      <c r="G43" s="2" t="s">
        <v>291</v>
      </c>
      <c r="H43" s="3"/>
      <c r="I43" s="3" t="s">
        <v>308</v>
      </c>
      <c r="J43" s="87"/>
      <c r="K43" s="88">
        <f>L43-M43</f>
        <v>3</v>
      </c>
      <c r="L43" s="89">
        <v>3</v>
      </c>
      <c r="M43" s="88">
        <f t="shared" si="1"/>
        <v>0</v>
      </c>
      <c r="N43" s="88">
        <f t="shared" si="2"/>
        <v>3</v>
      </c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1"/>
      <c r="AU43" s="30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  <c r="DQ43" s="92"/>
      <c r="DR43" s="92"/>
      <c r="DS43" s="92"/>
      <c r="DT43" s="92"/>
      <c r="DU43" s="92"/>
      <c r="DV43" s="92"/>
      <c r="DW43" s="92"/>
      <c r="DX43" s="92"/>
      <c r="DY43" s="92"/>
      <c r="DZ43" s="92"/>
      <c r="EA43" s="92"/>
      <c r="EB43" s="92"/>
      <c r="EC43" s="92"/>
      <c r="ED43" s="92"/>
      <c r="EE43" s="92"/>
      <c r="EF43" s="92"/>
      <c r="EG43" s="92"/>
      <c r="EH43" s="92"/>
      <c r="EI43" s="92"/>
      <c r="EJ43" s="92"/>
      <c r="EK43" s="92"/>
      <c r="EL43" s="92"/>
      <c r="EM43" s="92"/>
      <c r="EN43" s="92"/>
      <c r="EO43" s="92"/>
      <c r="EP43" s="92"/>
      <c r="EQ43" s="92"/>
      <c r="ER43" s="92"/>
      <c r="ES43" s="92"/>
      <c r="ET43" s="92"/>
      <c r="EU43" s="92"/>
      <c r="EV43" s="92"/>
      <c r="EW43" s="92"/>
      <c r="EX43" s="92"/>
      <c r="EY43" s="92"/>
      <c r="EZ43" s="92"/>
      <c r="FA43" s="92"/>
      <c r="FB43" s="92"/>
      <c r="FC43" s="92"/>
      <c r="FD43" s="92"/>
      <c r="FE43" s="92"/>
      <c r="FF43" s="92"/>
      <c r="FG43" s="92"/>
      <c r="FH43" s="92"/>
      <c r="FI43" s="92"/>
      <c r="FJ43" s="92"/>
      <c r="FK43" s="92"/>
      <c r="FL43" s="92"/>
      <c r="FM43" s="92"/>
      <c r="FN43" s="92"/>
      <c r="FO43" s="92"/>
      <c r="FP43" s="92"/>
      <c r="FQ43" s="92"/>
      <c r="FR43" s="92"/>
      <c r="FS43" s="92"/>
      <c r="FT43" s="92"/>
      <c r="FU43" s="92"/>
      <c r="FV43" s="92"/>
      <c r="FW43" s="92"/>
      <c r="FX43" s="92"/>
      <c r="FY43" s="92"/>
      <c r="FZ43" s="92"/>
      <c r="GA43" s="92"/>
      <c r="GB43" s="92"/>
      <c r="GC43" s="92"/>
      <c r="GD43" s="92"/>
      <c r="GE43" s="92"/>
      <c r="GF43" s="92"/>
      <c r="GG43" s="92"/>
      <c r="GH43" s="92"/>
      <c r="GI43" s="92"/>
      <c r="GJ43" s="92"/>
      <c r="GK43" s="92"/>
      <c r="GL43" s="92"/>
      <c r="GM43" s="92"/>
      <c r="GN43" s="92"/>
      <c r="GO43" s="92"/>
      <c r="GP43" s="92"/>
      <c r="GQ43" s="92"/>
      <c r="GR43" s="92"/>
      <c r="GS43" s="92"/>
      <c r="GT43" s="92"/>
      <c r="GU43" s="92"/>
      <c r="GV43" s="92"/>
      <c r="GW43" s="92"/>
      <c r="GX43" s="92"/>
      <c r="GY43" s="92"/>
      <c r="GZ43" s="92"/>
      <c r="HA43" s="92"/>
      <c r="HB43" s="92"/>
      <c r="HC43" s="92"/>
      <c r="HD43" s="92"/>
      <c r="HE43" s="92"/>
      <c r="HF43" s="92"/>
      <c r="HG43" s="92"/>
      <c r="HH43" s="92"/>
      <c r="HI43" s="92"/>
      <c r="HJ43" s="92"/>
      <c r="HK43" s="92"/>
      <c r="HL43" s="92"/>
      <c r="HM43" s="92"/>
      <c r="HN43" s="92"/>
      <c r="HO43" s="92"/>
      <c r="HP43" s="92"/>
      <c r="HQ43" s="92"/>
      <c r="HR43" s="92"/>
      <c r="HS43" s="92"/>
      <c r="HT43" s="92"/>
      <c r="HU43" s="92"/>
      <c r="HV43" s="92"/>
      <c r="HW43" s="92"/>
      <c r="HX43" s="92"/>
      <c r="HY43" s="92"/>
      <c r="HZ43" s="92"/>
      <c r="IA43" s="92"/>
      <c r="IB43" s="92"/>
      <c r="IC43" s="92"/>
      <c r="ID43" s="92"/>
      <c r="IE43" s="92"/>
      <c r="IF43" s="92"/>
      <c r="IG43" s="92"/>
      <c r="IH43" s="92"/>
      <c r="II43" s="92"/>
      <c r="IJ43" s="92"/>
      <c r="IK43" s="92"/>
      <c r="IL43" s="92"/>
      <c r="IM43" s="92"/>
      <c r="IN43" s="92"/>
      <c r="IO43" s="92"/>
      <c r="IP43" s="92"/>
      <c r="IQ43" s="92"/>
      <c r="IR43" s="92"/>
      <c r="IS43" s="92"/>
      <c r="IT43" s="92"/>
      <c r="IU43" s="92"/>
      <c r="IV43" s="92"/>
      <c r="IW43" s="92"/>
      <c r="IX43" s="92"/>
      <c r="IY43" s="92"/>
    </row>
    <row r="44" spans="1:259" x14ac:dyDescent="0.3">
      <c r="A44" s="2" t="s">
        <v>321</v>
      </c>
      <c r="B44" s="2"/>
      <c r="C44" s="2"/>
      <c r="D44" s="2"/>
      <c r="E44" s="7" t="s">
        <v>321</v>
      </c>
      <c r="F44" s="2" t="s">
        <v>17</v>
      </c>
      <c r="G44" s="2" t="s">
        <v>291</v>
      </c>
      <c r="H44" s="3"/>
      <c r="I44" s="3" t="s">
        <v>308</v>
      </c>
      <c r="J44" s="87"/>
      <c r="K44" s="88">
        <f>L44-M44</f>
        <v>4</v>
      </c>
      <c r="L44" s="89">
        <v>4</v>
      </c>
      <c r="M44" s="88">
        <f t="shared" si="1"/>
        <v>0</v>
      </c>
      <c r="N44" s="88">
        <f t="shared" si="2"/>
        <v>4</v>
      </c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1"/>
      <c r="AU44" s="30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  <c r="DQ44" s="92"/>
      <c r="DR44" s="92"/>
      <c r="DS44" s="92"/>
      <c r="DT44" s="92"/>
      <c r="DU44" s="92"/>
      <c r="DV44" s="92"/>
      <c r="DW44" s="92"/>
      <c r="DX44" s="92"/>
      <c r="DY44" s="92"/>
      <c r="DZ44" s="92"/>
      <c r="EA44" s="92"/>
      <c r="EB44" s="92"/>
      <c r="EC44" s="92"/>
      <c r="ED44" s="92"/>
      <c r="EE44" s="92"/>
      <c r="EF44" s="92"/>
      <c r="EG44" s="92"/>
      <c r="EH44" s="92"/>
      <c r="EI44" s="92"/>
      <c r="EJ44" s="92"/>
      <c r="EK44" s="92"/>
      <c r="EL44" s="92"/>
      <c r="EM44" s="92"/>
      <c r="EN44" s="92"/>
      <c r="EO44" s="92"/>
      <c r="EP44" s="92"/>
      <c r="EQ44" s="92"/>
      <c r="ER44" s="92"/>
      <c r="ES44" s="92"/>
      <c r="ET44" s="92"/>
      <c r="EU44" s="92"/>
      <c r="EV44" s="92"/>
      <c r="EW44" s="92"/>
      <c r="EX44" s="92"/>
      <c r="EY44" s="92"/>
      <c r="EZ44" s="92"/>
      <c r="FA44" s="92"/>
      <c r="FB44" s="92"/>
      <c r="FC44" s="92"/>
      <c r="FD44" s="92"/>
      <c r="FE44" s="92"/>
      <c r="FF44" s="92"/>
      <c r="FG44" s="92"/>
      <c r="FH44" s="92"/>
      <c r="FI44" s="92"/>
      <c r="FJ44" s="92"/>
      <c r="FK44" s="92"/>
      <c r="FL44" s="92"/>
      <c r="FM44" s="92"/>
      <c r="FN44" s="92"/>
      <c r="FO44" s="92"/>
      <c r="FP44" s="92"/>
      <c r="FQ44" s="92"/>
      <c r="FR44" s="92"/>
      <c r="FS44" s="92"/>
      <c r="FT44" s="92"/>
      <c r="FU44" s="92"/>
      <c r="FV44" s="92"/>
      <c r="FW44" s="92"/>
      <c r="FX44" s="92"/>
      <c r="FY44" s="92"/>
      <c r="FZ44" s="92"/>
      <c r="GA44" s="92"/>
      <c r="GB44" s="92"/>
      <c r="GC44" s="92"/>
      <c r="GD44" s="92"/>
      <c r="GE44" s="92"/>
      <c r="GF44" s="92"/>
      <c r="GG44" s="92"/>
      <c r="GH44" s="92"/>
      <c r="GI44" s="92"/>
      <c r="GJ44" s="92"/>
      <c r="GK44" s="92"/>
      <c r="GL44" s="92"/>
      <c r="GM44" s="92"/>
      <c r="GN44" s="92"/>
      <c r="GO44" s="92"/>
      <c r="GP44" s="92"/>
      <c r="GQ44" s="92"/>
      <c r="GR44" s="92"/>
      <c r="GS44" s="92"/>
      <c r="GT44" s="92"/>
      <c r="GU44" s="92"/>
      <c r="GV44" s="92"/>
      <c r="GW44" s="92"/>
      <c r="GX44" s="92"/>
      <c r="GY44" s="92"/>
      <c r="GZ44" s="92"/>
      <c r="HA44" s="92"/>
      <c r="HB44" s="92"/>
      <c r="HC44" s="92"/>
      <c r="HD44" s="92"/>
      <c r="HE44" s="92"/>
      <c r="HF44" s="92"/>
      <c r="HG44" s="92"/>
      <c r="HH44" s="92"/>
      <c r="HI44" s="92"/>
      <c r="HJ44" s="92"/>
      <c r="HK44" s="92"/>
      <c r="HL44" s="92"/>
      <c r="HM44" s="92"/>
      <c r="HN44" s="92"/>
      <c r="HO44" s="92"/>
      <c r="HP44" s="92"/>
      <c r="HQ44" s="92"/>
      <c r="HR44" s="92"/>
      <c r="HS44" s="92"/>
      <c r="HT44" s="92"/>
      <c r="HU44" s="92"/>
      <c r="HV44" s="92"/>
      <c r="HW44" s="92"/>
      <c r="HX44" s="92"/>
      <c r="HY44" s="92"/>
      <c r="HZ44" s="92"/>
      <c r="IA44" s="92"/>
      <c r="IB44" s="92"/>
      <c r="IC44" s="92"/>
      <c r="ID44" s="92"/>
      <c r="IE44" s="92"/>
      <c r="IF44" s="92"/>
      <c r="IG44" s="92"/>
      <c r="IH44" s="92"/>
      <c r="II44" s="92"/>
      <c r="IJ44" s="92"/>
      <c r="IK44" s="92"/>
      <c r="IL44" s="92"/>
      <c r="IM44" s="92"/>
      <c r="IN44" s="92"/>
      <c r="IO44" s="92"/>
      <c r="IP44" s="92"/>
      <c r="IQ44" s="92"/>
      <c r="IR44" s="92"/>
      <c r="IS44" s="92"/>
      <c r="IT44" s="92"/>
      <c r="IU44" s="92"/>
      <c r="IV44" s="92"/>
      <c r="IW44" s="92"/>
      <c r="IX44" s="92"/>
      <c r="IY44" s="92"/>
    </row>
    <row r="45" spans="1:259" x14ac:dyDescent="0.3">
      <c r="A45" s="2" t="s">
        <v>188</v>
      </c>
      <c r="B45" s="2"/>
      <c r="C45" s="2"/>
      <c r="D45" s="2"/>
      <c r="E45" s="2" t="s">
        <v>322</v>
      </c>
      <c r="F45" s="2" t="s">
        <v>17</v>
      </c>
      <c r="G45" s="2" t="s">
        <v>291</v>
      </c>
      <c r="H45" s="2"/>
      <c r="I45" s="2" t="s">
        <v>308</v>
      </c>
      <c r="J45" s="87"/>
      <c r="K45" s="88">
        <f t="shared" si="0"/>
        <v>77</v>
      </c>
      <c r="L45" s="89">
        <f>2+75</f>
        <v>77</v>
      </c>
      <c r="M45" s="88">
        <f t="shared" si="1"/>
        <v>0</v>
      </c>
      <c r="N45" s="88">
        <f t="shared" si="2"/>
        <v>77</v>
      </c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1"/>
      <c r="AU45" s="30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2"/>
      <c r="DA45" s="92"/>
      <c r="DB45" s="92"/>
      <c r="DC45" s="92"/>
      <c r="DD45" s="92"/>
      <c r="DE45" s="92"/>
      <c r="DF45" s="92"/>
      <c r="DG45" s="92"/>
      <c r="DH45" s="92"/>
      <c r="DI45" s="92"/>
      <c r="DJ45" s="92"/>
      <c r="DK45" s="92"/>
      <c r="DL45" s="92"/>
      <c r="DM45" s="92"/>
      <c r="DN45" s="92"/>
      <c r="DO45" s="92"/>
      <c r="DP45" s="92"/>
      <c r="DQ45" s="92"/>
      <c r="DR45" s="92"/>
      <c r="DS45" s="92"/>
      <c r="DT45" s="92"/>
      <c r="DU45" s="92"/>
      <c r="DV45" s="92"/>
      <c r="DW45" s="92"/>
      <c r="DX45" s="92"/>
      <c r="DY45" s="92"/>
      <c r="DZ45" s="92"/>
      <c r="EA45" s="92"/>
      <c r="EB45" s="92"/>
      <c r="EC45" s="92"/>
      <c r="ED45" s="92"/>
      <c r="EE45" s="92"/>
      <c r="EF45" s="92"/>
      <c r="EG45" s="92"/>
      <c r="EH45" s="92"/>
      <c r="EI45" s="92"/>
      <c r="EJ45" s="92"/>
      <c r="EK45" s="92"/>
      <c r="EL45" s="92"/>
      <c r="EM45" s="92"/>
      <c r="EN45" s="92"/>
      <c r="EO45" s="92"/>
      <c r="EP45" s="92"/>
      <c r="EQ45" s="92"/>
      <c r="ER45" s="92"/>
      <c r="ES45" s="92"/>
      <c r="ET45" s="92"/>
      <c r="EU45" s="92"/>
      <c r="EV45" s="92"/>
      <c r="EW45" s="92"/>
      <c r="EX45" s="92"/>
      <c r="EY45" s="92"/>
      <c r="EZ45" s="92"/>
      <c r="FA45" s="92"/>
      <c r="FB45" s="92"/>
      <c r="FC45" s="92"/>
      <c r="FD45" s="92"/>
      <c r="FE45" s="92"/>
      <c r="FF45" s="92"/>
      <c r="FG45" s="92"/>
      <c r="FH45" s="92"/>
      <c r="FI45" s="92"/>
      <c r="FJ45" s="92"/>
      <c r="FK45" s="92"/>
      <c r="FL45" s="92"/>
      <c r="FM45" s="92"/>
      <c r="FN45" s="92"/>
      <c r="FO45" s="92"/>
      <c r="FP45" s="92"/>
      <c r="FQ45" s="92"/>
      <c r="FR45" s="92"/>
      <c r="FS45" s="92"/>
      <c r="FT45" s="92"/>
      <c r="FU45" s="92"/>
      <c r="FV45" s="92"/>
      <c r="FW45" s="92"/>
      <c r="FX45" s="92"/>
      <c r="FY45" s="92"/>
      <c r="FZ45" s="92"/>
      <c r="GA45" s="92"/>
      <c r="GB45" s="92"/>
      <c r="GC45" s="92"/>
      <c r="GD45" s="92"/>
      <c r="GE45" s="92"/>
      <c r="GF45" s="92"/>
      <c r="GG45" s="92"/>
      <c r="GH45" s="92"/>
      <c r="GI45" s="92"/>
      <c r="GJ45" s="92"/>
      <c r="GK45" s="92"/>
      <c r="GL45" s="92"/>
      <c r="GM45" s="92"/>
      <c r="GN45" s="92"/>
      <c r="GO45" s="92"/>
      <c r="GP45" s="92"/>
      <c r="GQ45" s="92"/>
      <c r="GR45" s="92"/>
      <c r="GS45" s="92"/>
      <c r="GT45" s="92"/>
      <c r="GU45" s="92"/>
      <c r="GV45" s="92"/>
      <c r="GW45" s="92"/>
      <c r="GX45" s="92"/>
      <c r="GY45" s="92"/>
      <c r="GZ45" s="92"/>
      <c r="HA45" s="92"/>
      <c r="HB45" s="92"/>
      <c r="HC45" s="92"/>
      <c r="HD45" s="92"/>
      <c r="HE45" s="92"/>
      <c r="HF45" s="92"/>
      <c r="HG45" s="92"/>
      <c r="HH45" s="92"/>
      <c r="HI45" s="92"/>
      <c r="HJ45" s="92"/>
      <c r="HK45" s="92"/>
      <c r="HL45" s="92"/>
      <c r="HM45" s="92"/>
      <c r="HN45" s="92"/>
      <c r="HO45" s="92"/>
      <c r="HP45" s="92"/>
      <c r="HQ45" s="92"/>
      <c r="HR45" s="92"/>
      <c r="HS45" s="92"/>
      <c r="HT45" s="92"/>
      <c r="HU45" s="92"/>
      <c r="HV45" s="92"/>
      <c r="HW45" s="92"/>
      <c r="HX45" s="92"/>
      <c r="HY45" s="92"/>
      <c r="HZ45" s="92"/>
      <c r="IA45" s="92"/>
      <c r="IB45" s="92"/>
      <c r="IC45" s="92"/>
      <c r="ID45" s="92"/>
      <c r="IE45" s="92"/>
      <c r="IF45" s="92"/>
      <c r="IG45" s="92"/>
      <c r="IH45" s="92"/>
      <c r="II45" s="92"/>
      <c r="IJ45" s="92"/>
      <c r="IK45" s="92"/>
      <c r="IL45" s="92"/>
      <c r="IM45" s="92"/>
      <c r="IN45" s="92"/>
      <c r="IO45" s="92"/>
      <c r="IP45" s="92"/>
      <c r="IQ45" s="92"/>
      <c r="IR45" s="92"/>
      <c r="IS45" s="92"/>
      <c r="IT45" s="92"/>
      <c r="IU45" s="92"/>
      <c r="IV45" s="92"/>
      <c r="IW45" s="92"/>
      <c r="IX45" s="92"/>
      <c r="IY45" s="92"/>
    </row>
    <row r="46" spans="1:259" x14ac:dyDescent="0.3">
      <c r="A46" s="2" t="s">
        <v>530</v>
      </c>
      <c r="B46" s="2"/>
      <c r="C46" s="2"/>
      <c r="D46" s="2"/>
      <c r="E46" s="2" t="s">
        <v>531</v>
      </c>
      <c r="F46" s="2" t="s">
        <v>17</v>
      </c>
      <c r="G46" s="2" t="s">
        <v>528</v>
      </c>
      <c r="H46" s="2"/>
      <c r="I46" s="2" t="s">
        <v>308</v>
      </c>
      <c r="J46" s="87"/>
      <c r="K46" s="88">
        <f t="shared" si="0"/>
        <v>1</v>
      </c>
      <c r="L46" s="89">
        <v>1</v>
      </c>
      <c r="M46" s="88">
        <f t="shared" si="1"/>
        <v>0</v>
      </c>
      <c r="N46" s="88">
        <f t="shared" si="2"/>
        <v>1</v>
      </c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1"/>
      <c r="AU46" s="30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2"/>
      <c r="DA46" s="92"/>
      <c r="DB46" s="92"/>
      <c r="DC46" s="92"/>
      <c r="DD46" s="92"/>
      <c r="DE46" s="92"/>
      <c r="DF46" s="92"/>
      <c r="DG46" s="92"/>
      <c r="DH46" s="92"/>
      <c r="DI46" s="92"/>
      <c r="DJ46" s="92"/>
      <c r="DK46" s="92"/>
      <c r="DL46" s="92"/>
      <c r="DM46" s="92"/>
      <c r="DN46" s="92"/>
      <c r="DO46" s="92"/>
      <c r="DP46" s="92"/>
      <c r="DQ46" s="92"/>
      <c r="DR46" s="92"/>
      <c r="DS46" s="92"/>
      <c r="DT46" s="92"/>
      <c r="DU46" s="92"/>
      <c r="DV46" s="92"/>
      <c r="DW46" s="92"/>
      <c r="DX46" s="92"/>
      <c r="DY46" s="92"/>
      <c r="DZ46" s="92"/>
      <c r="EA46" s="92"/>
      <c r="EB46" s="92"/>
      <c r="EC46" s="92"/>
      <c r="ED46" s="92"/>
      <c r="EE46" s="92"/>
      <c r="EF46" s="92"/>
      <c r="EG46" s="92"/>
      <c r="EH46" s="92"/>
      <c r="EI46" s="92"/>
      <c r="EJ46" s="92"/>
      <c r="EK46" s="92"/>
      <c r="EL46" s="92"/>
      <c r="EM46" s="92"/>
      <c r="EN46" s="92"/>
      <c r="EO46" s="92"/>
      <c r="EP46" s="92"/>
      <c r="EQ46" s="92"/>
      <c r="ER46" s="92"/>
      <c r="ES46" s="92"/>
      <c r="ET46" s="92"/>
      <c r="EU46" s="92"/>
      <c r="EV46" s="92"/>
      <c r="EW46" s="92"/>
      <c r="EX46" s="92"/>
      <c r="EY46" s="92"/>
      <c r="EZ46" s="92"/>
      <c r="FA46" s="92"/>
      <c r="FB46" s="92"/>
      <c r="FC46" s="92"/>
      <c r="FD46" s="92"/>
      <c r="FE46" s="92"/>
      <c r="FF46" s="92"/>
      <c r="FG46" s="92"/>
      <c r="FH46" s="92"/>
      <c r="FI46" s="92"/>
      <c r="FJ46" s="92"/>
      <c r="FK46" s="92"/>
      <c r="FL46" s="92"/>
      <c r="FM46" s="92"/>
      <c r="FN46" s="92"/>
      <c r="FO46" s="92"/>
      <c r="FP46" s="92"/>
      <c r="FQ46" s="92"/>
      <c r="FR46" s="92"/>
      <c r="FS46" s="92"/>
      <c r="FT46" s="92"/>
      <c r="FU46" s="92"/>
      <c r="FV46" s="92"/>
      <c r="FW46" s="92"/>
      <c r="FX46" s="92"/>
      <c r="FY46" s="92"/>
      <c r="FZ46" s="92"/>
      <c r="GA46" s="92"/>
      <c r="GB46" s="92"/>
      <c r="GC46" s="92"/>
      <c r="GD46" s="92"/>
      <c r="GE46" s="92"/>
      <c r="GF46" s="92"/>
      <c r="GG46" s="92"/>
      <c r="GH46" s="92"/>
      <c r="GI46" s="92"/>
      <c r="GJ46" s="92"/>
      <c r="GK46" s="92"/>
      <c r="GL46" s="92"/>
      <c r="GM46" s="92"/>
      <c r="GN46" s="92"/>
      <c r="GO46" s="92"/>
      <c r="GP46" s="92"/>
      <c r="GQ46" s="92"/>
      <c r="GR46" s="92"/>
      <c r="GS46" s="92"/>
      <c r="GT46" s="92"/>
      <c r="GU46" s="92"/>
      <c r="GV46" s="92"/>
      <c r="GW46" s="92"/>
      <c r="GX46" s="92"/>
      <c r="GY46" s="92"/>
      <c r="GZ46" s="92"/>
      <c r="HA46" s="92"/>
      <c r="HB46" s="92"/>
      <c r="HC46" s="92"/>
      <c r="HD46" s="92"/>
      <c r="HE46" s="92"/>
      <c r="HF46" s="92"/>
      <c r="HG46" s="92"/>
      <c r="HH46" s="92"/>
      <c r="HI46" s="92"/>
      <c r="HJ46" s="92"/>
      <c r="HK46" s="92"/>
      <c r="HL46" s="92"/>
      <c r="HM46" s="92"/>
      <c r="HN46" s="92"/>
      <c r="HO46" s="92"/>
      <c r="HP46" s="92"/>
      <c r="HQ46" s="92"/>
      <c r="HR46" s="92"/>
      <c r="HS46" s="92"/>
      <c r="HT46" s="92"/>
      <c r="HU46" s="92"/>
      <c r="HV46" s="92"/>
      <c r="HW46" s="92"/>
      <c r="HX46" s="92"/>
      <c r="HY46" s="92"/>
      <c r="HZ46" s="92"/>
      <c r="IA46" s="92"/>
      <c r="IB46" s="92"/>
      <c r="IC46" s="92"/>
      <c r="ID46" s="92"/>
      <c r="IE46" s="92"/>
      <c r="IF46" s="92"/>
      <c r="IG46" s="92"/>
      <c r="IH46" s="92"/>
      <c r="II46" s="92"/>
      <c r="IJ46" s="92"/>
      <c r="IK46" s="92"/>
      <c r="IL46" s="92"/>
      <c r="IM46" s="92"/>
      <c r="IN46" s="92"/>
      <c r="IO46" s="92"/>
      <c r="IP46" s="92"/>
      <c r="IQ46" s="92"/>
      <c r="IR46" s="92"/>
      <c r="IS46" s="92"/>
      <c r="IT46" s="92"/>
      <c r="IU46" s="92"/>
      <c r="IV46" s="92"/>
      <c r="IW46" s="92"/>
      <c r="IX46" s="92"/>
      <c r="IY46" s="92"/>
    </row>
    <row r="47" spans="1:259" x14ac:dyDescent="0.3">
      <c r="A47" s="2" t="s">
        <v>234</v>
      </c>
      <c r="B47" s="2"/>
      <c r="C47" s="2"/>
      <c r="D47" s="2"/>
      <c r="E47" s="2" t="s">
        <v>323</v>
      </c>
      <c r="F47" s="2" t="s">
        <v>17</v>
      </c>
      <c r="G47" s="2" t="s">
        <v>291</v>
      </c>
      <c r="H47" s="2"/>
      <c r="I47" s="2" t="s">
        <v>401</v>
      </c>
      <c r="J47" s="87"/>
      <c r="K47" s="88">
        <f t="shared" si="0"/>
        <v>0</v>
      </c>
      <c r="L47" s="89">
        <v>0</v>
      </c>
      <c r="M47" s="88">
        <f t="shared" si="1"/>
        <v>0</v>
      </c>
      <c r="N47" s="88">
        <f t="shared" si="2"/>
        <v>0</v>
      </c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30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2"/>
      <c r="BY47" s="92"/>
      <c r="BZ47" s="92"/>
      <c r="CA47" s="92"/>
      <c r="CB47" s="92"/>
      <c r="CC47" s="92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  <c r="DQ47" s="92"/>
      <c r="DR47" s="92"/>
      <c r="DS47" s="92"/>
      <c r="DT47" s="92"/>
      <c r="DU47" s="92"/>
      <c r="DV47" s="92"/>
      <c r="DW47" s="92"/>
      <c r="DX47" s="92"/>
      <c r="DY47" s="92"/>
      <c r="DZ47" s="92"/>
      <c r="EA47" s="92"/>
      <c r="EB47" s="92"/>
      <c r="EC47" s="92"/>
      <c r="ED47" s="92"/>
      <c r="EE47" s="92"/>
      <c r="EF47" s="92"/>
      <c r="EG47" s="92"/>
      <c r="EH47" s="92"/>
      <c r="EI47" s="92"/>
      <c r="EJ47" s="92"/>
      <c r="EK47" s="92"/>
      <c r="EL47" s="92"/>
      <c r="EM47" s="92"/>
      <c r="EN47" s="92"/>
      <c r="EO47" s="92"/>
      <c r="EP47" s="92"/>
      <c r="EQ47" s="92"/>
      <c r="ER47" s="92"/>
      <c r="ES47" s="92"/>
      <c r="ET47" s="92"/>
      <c r="EU47" s="92"/>
      <c r="EV47" s="92"/>
      <c r="EW47" s="92"/>
      <c r="EX47" s="92"/>
      <c r="EY47" s="92"/>
      <c r="EZ47" s="92"/>
      <c r="FA47" s="92"/>
      <c r="FB47" s="92"/>
      <c r="FC47" s="92"/>
      <c r="FD47" s="92"/>
      <c r="FE47" s="92"/>
      <c r="FF47" s="92"/>
      <c r="FG47" s="92"/>
      <c r="FH47" s="92"/>
      <c r="FI47" s="92"/>
      <c r="FJ47" s="92"/>
      <c r="FK47" s="92"/>
      <c r="FL47" s="92"/>
      <c r="FM47" s="92"/>
      <c r="FN47" s="92"/>
      <c r="FO47" s="92"/>
      <c r="FP47" s="92"/>
      <c r="FQ47" s="92"/>
      <c r="FR47" s="92"/>
      <c r="FS47" s="92"/>
      <c r="FT47" s="92"/>
      <c r="FU47" s="92"/>
      <c r="FV47" s="92"/>
      <c r="FW47" s="92"/>
      <c r="FX47" s="92"/>
      <c r="FY47" s="92"/>
      <c r="FZ47" s="92"/>
      <c r="GA47" s="92"/>
      <c r="GB47" s="92"/>
      <c r="GC47" s="92"/>
      <c r="GD47" s="92"/>
      <c r="GE47" s="92"/>
      <c r="GF47" s="92"/>
      <c r="GG47" s="92"/>
      <c r="GH47" s="92"/>
      <c r="GI47" s="92"/>
      <c r="GJ47" s="92"/>
      <c r="GK47" s="92"/>
      <c r="GL47" s="92"/>
      <c r="GM47" s="92"/>
      <c r="GN47" s="92"/>
      <c r="GO47" s="92"/>
      <c r="GP47" s="92"/>
      <c r="GQ47" s="92"/>
      <c r="GR47" s="92"/>
      <c r="GS47" s="92"/>
      <c r="GT47" s="92"/>
      <c r="GU47" s="92"/>
      <c r="GV47" s="92"/>
      <c r="GW47" s="92"/>
      <c r="GX47" s="92"/>
      <c r="GY47" s="92"/>
      <c r="GZ47" s="92"/>
      <c r="HA47" s="92"/>
      <c r="HB47" s="92"/>
      <c r="HC47" s="92"/>
      <c r="HD47" s="92"/>
      <c r="HE47" s="92"/>
      <c r="HF47" s="92"/>
      <c r="HG47" s="92"/>
      <c r="HH47" s="92"/>
      <c r="HI47" s="92"/>
      <c r="HJ47" s="92"/>
      <c r="HK47" s="92"/>
      <c r="HL47" s="92"/>
      <c r="HM47" s="92"/>
      <c r="HN47" s="92"/>
      <c r="HO47" s="92"/>
      <c r="HP47" s="92"/>
      <c r="HQ47" s="92"/>
      <c r="HR47" s="92"/>
      <c r="HS47" s="92"/>
      <c r="HT47" s="92"/>
      <c r="HU47" s="92"/>
      <c r="HV47" s="92"/>
      <c r="HW47" s="92"/>
      <c r="HX47" s="92"/>
      <c r="HY47" s="92"/>
      <c r="HZ47" s="92"/>
      <c r="IA47" s="92"/>
      <c r="IB47" s="92"/>
      <c r="IC47" s="92"/>
      <c r="ID47" s="92"/>
      <c r="IE47" s="92"/>
      <c r="IF47" s="92"/>
      <c r="IG47" s="92"/>
      <c r="IH47" s="92"/>
      <c r="II47" s="92"/>
      <c r="IJ47" s="92"/>
      <c r="IK47" s="92"/>
      <c r="IL47" s="92"/>
      <c r="IM47" s="92"/>
      <c r="IN47" s="92"/>
      <c r="IO47" s="92"/>
      <c r="IP47" s="92"/>
      <c r="IQ47" s="92"/>
      <c r="IR47" s="92"/>
      <c r="IS47" s="92"/>
      <c r="IT47" s="92"/>
      <c r="IU47" s="92"/>
      <c r="IV47" s="92"/>
      <c r="IW47" s="92"/>
      <c r="IX47" s="92"/>
      <c r="IY47" s="92"/>
    </row>
    <row r="48" spans="1:259" x14ac:dyDescent="0.3">
      <c r="A48" s="2" t="s">
        <v>234</v>
      </c>
      <c r="B48" s="2"/>
      <c r="C48" s="2"/>
      <c r="D48" s="2"/>
      <c r="E48" s="2" t="s">
        <v>323</v>
      </c>
      <c r="F48" s="2" t="s">
        <v>17</v>
      </c>
      <c r="G48" s="2" t="s">
        <v>336</v>
      </c>
      <c r="H48" s="2"/>
      <c r="I48" s="2" t="s">
        <v>308</v>
      </c>
      <c r="J48" s="87"/>
      <c r="K48" s="88">
        <f t="shared" si="0"/>
        <v>0</v>
      </c>
      <c r="L48" s="89">
        <v>1</v>
      </c>
      <c r="M48" s="88">
        <f t="shared" si="1"/>
        <v>1</v>
      </c>
      <c r="N48" s="88">
        <f t="shared" si="2"/>
        <v>0</v>
      </c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1"/>
      <c r="AU48" s="35">
        <f>1</f>
        <v>1</v>
      </c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2"/>
      <c r="FH48" s="92"/>
      <c r="FI48" s="92"/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2"/>
      <c r="FV48" s="92"/>
      <c r="FW48" s="92"/>
      <c r="FX48" s="92"/>
      <c r="FY48" s="92"/>
      <c r="FZ48" s="92"/>
      <c r="GA48" s="92"/>
      <c r="GB48" s="92"/>
      <c r="GC48" s="92"/>
      <c r="GD48" s="92"/>
      <c r="GE48" s="92"/>
      <c r="GF48" s="92"/>
      <c r="GG48" s="92"/>
      <c r="GH48" s="92"/>
      <c r="GI48" s="92"/>
      <c r="GJ48" s="92"/>
      <c r="GK48" s="92"/>
      <c r="GL48" s="92"/>
      <c r="GM48" s="92"/>
      <c r="GN48" s="92"/>
      <c r="GO48" s="92"/>
      <c r="GP48" s="92"/>
      <c r="GQ48" s="92"/>
      <c r="GR48" s="92"/>
      <c r="GS48" s="92"/>
      <c r="GT48" s="92"/>
      <c r="GU48" s="92"/>
      <c r="GV48" s="92"/>
      <c r="GW48" s="92"/>
      <c r="GX48" s="92"/>
      <c r="GY48" s="92"/>
      <c r="GZ48" s="92"/>
      <c r="HA48" s="92"/>
      <c r="HB48" s="92"/>
      <c r="HC48" s="92"/>
      <c r="HD48" s="92"/>
      <c r="HE48" s="92"/>
      <c r="HF48" s="92"/>
      <c r="HG48" s="92"/>
      <c r="HH48" s="92"/>
      <c r="HI48" s="92"/>
      <c r="HJ48" s="92"/>
      <c r="HK48" s="92"/>
      <c r="HL48" s="92"/>
      <c r="HM48" s="92"/>
      <c r="HN48" s="92"/>
      <c r="HO48" s="92"/>
      <c r="HP48" s="92"/>
      <c r="HQ48" s="92"/>
      <c r="HR48" s="92"/>
      <c r="HS48" s="92"/>
      <c r="HT48" s="92"/>
      <c r="HU48" s="92"/>
      <c r="HV48" s="92"/>
      <c r="HW48" s="92"/>
      <c r="HX48" s="92"/>
      <c r="HY48" s="92"/>
      <c r="HZ48" s="92"/>
      <c r="IA48" s="92"/>
      <c r="IB48" s="92"/>
      <c r="IC48" s="92"/>
      <c r="ID48" s="92"/>
      <c r="IE48" s="92"/>
      <c r="IF48" s="92"/>
      <c r="IG48" s="92"/>
      <c r="IH48" s="92"/>
      <c r="II48" s="92"/>
      <c r="IJ48" s="92"/>
      <c r="IK48" s="92"/>
      <c r="IL48" s="92"/>
      <c r="IM48" s="92"/>
      <c r="IN48" s="92"/>
      <c r="IO48" s="92"/>
      <c r="IP48" s="92"/>
      <c r="IQ48" s="92"/>
      <c r="IR48" s="92"/>
      <c r="IS48" s="92"/>
      <c r="IT48" s="92"/>
      <c r="IU48" s="92"/>
      <c r="IV48" s="92"/>
      <c r="IW48" s="92"/>
      <c r="IX48" s="92"/>
      <c r="IY48" s="92"/>
    </row>
    <row r="49" spans="1:259" x14ac:dyDescent="0.3">
      <c r="A49" s="2" t="s">
        <v>388</v>
      </c>
      <c r="B49" s="2"/>
      <c r="C49" s="2"/>
      <c r="D49" s="2"/>
      <c r="E49" s="2" t="s">
        <v>389</v>
      </c>
      <c r="F49" s="2" t="s">
        <v>17</v>
      </c>
      <c r="G49" s="2" t="s">
        <v>291</v>
      </c>
      <c r="H49" s="2"/>
      <c r="I49" s="2" t="s">
        <v>308</v>
      </c>
      <c r="J49" s="87"/>
      <c r="K49" s="88">
        <f t="shared" si="0"/>
        <v>6</v>
      </c>
      <c r="L49" s="89">
        <v>6</v>
      </c>
      <c r="M49" s="88">
        <f t="shared" si="1"/>
        <v>0</v>
      </c>
      <c r="N49" s="88">
        <f t="shared" ref="N49" si="23">K49</f>
        <v>6</v>
      </c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1"/>
      <c r="AU49" s="30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2"/>
      <c r="BY49" s="92"/>
      <c r="BZ49" s="92"/>
      <c r="CA49" s="92"/>
      <c r="CB49" s="92"/>
      <c r="CC49" s="92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  <c r="DQ49" s="92"/>
      <c r="DR49" s="92"/>
      <c r="DS49" s="92"/>
      <c r="DT49" s="92"/>
      <c r="DU49" s="92"/>
      <c r="DV49" s="92"/>
      <c r="DW49" s="92"/>
      <c r="DX49" s="92"/>
      <c r="DY49" s="92"/>
      <c r="DZ49" s="92"/>
      <c r="EA49" s="92"/>
      <c r="EB49" s="92"/>
      <c r="EC49" s="92"/>
      <c r="ED49" s="92"/>
      <c r="EE49" s="92"/>
      <c r="EF49" s="92"/>
      <c r="EG49" s="92"/>
      <c r="EH49" s="92"/>
      <c r="EI49" s="92"/>
      <c r="EJ49" s="92"/>
      <c r="EK49" s="92"/>
      <c r="EL49" s="92"/>
      <c r="EM49" s="92"/>
      <c r="EN49" s="92"/>
      <c r="EO49" s="92"/>
      <c r="EP49" s="92"/>
      <c r="EQ49" s="92"/>
      <c r="ER49" s="92"/>
      <c r="ES49" s="92"/>
      <c r="ET49" s="92"/>
      <c r="EU49" s="92"/>
      <c r="EV49" s="92"/>
      <c r="EW49" s="92"/>
      <c r="EX49" s="92"/>
      <c r="EY49" s="92"/>
      <c r="EZ49" s="92"/>
      <c r="FA49" s="92"/>
      <c r="FB49" s="92"/>
      <c r="FC49" s="92"/>
      <c r="FD49" s="92"/>
      <c r="FE49" s="92"/>
      <c r="FF49" s="92"/>
      <c r="FG49" s="92"/>
      <c r="FH49" s="92"/>
      <c r="FI49" s="92"/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2"/>
      <c r="FV49" s="92"/>
      <c r="FW49" s="92"/>
      <c r="FX49" s="92"/>
      <c r="FY49" s="92"/>
      <c r="FZ49" s="92"/>
      <c r="GA49" s="92"/>
      <c r="GB49" s="92"/>
      <c r="GC49" s="92"/>
      <c r="GD49" s="92"/>
      <c r="GE49" s="92"/>
      <c r="GF49" s="92"/>
      <c r="GG49" s="92"/>
      <c r="GH49" s="92"/>
      <c r="GI49" s="92"/>
      <c r="GJ49" s="92"/>
      <c r="GK49" s="92"/>
      <c r="GL49" s="92"/>
      <c r="GM49" s="92"/>
      <c r="GN49" s="92"/>
      <c r="GO49" s="92"/>
      <c r="GP49" s="92"/>
      <c r="GQ49" s="92"/>
      <c r="GR49" s="92"/>
      <c r="GS49" s="92"/>
      <c r="GT49" s="92"/>
      <c r="GU49" s="92"/>
      <c r="GV49" s="92"/>
      <c r="GW49" s="92"/>
      <c r="GX49" s="92"/>
      <c r="GY49" s="92"/>
      <c r="GZ49" s="92"/>
      <c r="HA49" s="92"/>
      <c r="HB49" s="92"/>
      <c r="HC49" s="92"/>
      <c r="HD49" s="92"/>
      <c r="HE49" s="92"/>
      <c r="HF49" s="92"/>
      <c r="HG49" s="92"/>
      <c r="HH49" s="92"/>
      <c r="HI49" s="92"/>
      <c r="HJ49" s="92"/>
      <c r="HK49" s="92"/>
      <c r="HL49" s="92"/>
      <c r="HM49" s="92"/>
      <c r="HN49" s="92"/>
      <c r="HO49" s="92"/>
      <c r="HP49" s="92"/>
      <c r="HQ49" s="92"/>
      <c r="HR49" s="92"/>
      <c r="HS49" s="92"/>
      <c r="HT49" s="92"/>
      <c r="HU49" s="92"/>
      <c r="HV49" s="92"/>
      <c r="HW49" s="92"/>
      <c r="HX49" s="92"/>
      <c r="HY49" s="92"/>
      <c r="HZ49" s="92"/>
      <c r="IA49" s="92"/>
      <c r="IB49" s="92"/>
      <c r="IC49" s="92"/>
      <c r="ID49" s="92"/>
      <c r="IE49" s="92"/>
      <c r="IF49" s="92"/>
      <c r="IG49" s="92"/>
      <c r="IH49" s="92"/>
      <c r="II49" s="92"/>
      <c r="IJ49" s="92"/>
      <c r="IK49" s="92"/>
      <c r="IL49" s="92"/>
      <c r="IM49" s="92"/>
      <c r="IN49" s="92"/>
      <c r="IO49" s="92"/>
      <c r="IP49" s="92"/>
      <c r="IQ49" s="92"/>
      <c r="IR49" s="92"/>
      <c r="IS49" s="92"/>
      <c r="IT49" s="92"/>
      <c r="IU49" s="92"/>
      <c r="IV49" s="92"/>
      <c r="IW49" s="92"/>
      <c r="IX49" s="92"/>
      <c r="IY49" s="92"/>
    </row>
    <row r="50" spans="1:259" x14ac:dyDescent="0.3">
      <c r="A50" s="2" t="s">
        <v>386</v>
      </c>
      <c r="B50" s="2"/>
      <c r="C50" s="2"/>
      <c r="D50" s="2"/>
      <c r="E50" s="2" t="s">
        <v>387</v>
      </c>
      <c r="F50" s="2" t="s">
        <v>17</v>
      </c>
      <c r="G50" s="2" t="s">
        <v>291</v>
      </c>
      <c r="H50" s="2"/>
      <c r="I50" s="2" t="s">
        <v>308</v>
      </c>
      <c r="J50" s="87"/>
      <c r="K50" s="88">
        <f t="shared" si="0"/>
        <v>10</v>
      </c>
      <c r="L50" s="89">
        <v>10</v>
      </c>
      <c r="M50" s="88">
        <f>SUM(O50:IY50)</f>
        <v>0</v>
      </c>
      <c r="N50" s="88">
        <f t="shared" ref="N50:N51" si="24">K50</f>
        <v>10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1"/>
      <c r="AU50" s="30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  <c r="DR50" s="92"/>
      <c r="DS50" s="92"/>
      <c r="DT50" s="92"/>
      <c r="DU50" s="92"/>
      <c r="DV50" s="92"/>
      <c r="DW50" s="92"/>
      <c r="DX50" s="92"/>
      <c r="DY50" s="92"/>
      <c r="DZ50" s="92"/>
      <c r="EA50" s="92"/>
      <c r="EB50" s="92"/>
      <c r="EC50" s="92"/>
      <c r="ED50" s="92"/>
      <c r="EE50" s="92"/>
      <c r="EF50" s="92"/>
      <c r="EG50" s="92"/>
      <c r="EH50" s="92"/>
      <c r="EI50" s="92"/>
      <c r="EJ50" s="92"/>
      <c r="EK50" s="92"/>
      <c r="EL50" s="92"/>
      <c r="EM50" s="92"/>
      <c r="EN50" s="92"/>
      <c r="EO50" s="92"/>
      <c r="EP50" s="92"/>
      <c r="EQ50" s="92"/>
      <c r="ER50" s="92"/>
      <c r="ES50" s="92"/>
      <c r="ET50" s="92"/>
      <c r="EU50" s="92"/>
      <c r="EV50" s="92"/>
      <c r="EW50" s="92"/>
      <c r="EX50" s="92"/>
      <c r="EY50" s="92"/>
      <c r="EZ50" s="92"/>
      <c r="FA50" s="92"/>
      <c r="FB50" s="92"/>
      <c r="FC50" s="92"/>
      <c r="FD50" s="92"/>
      <c r="FE50" s="92"/>
      <c r="FF50" s="92"/>
      <c r="FG50" s="92"/>
      <c r="FH50" s="92"/>
      <c r="FI50" s="92"/>
      <c r="FJ50" s="92"/>
      <c r="FK50" s="92"/>
      <c r="FL50" s="92"/>
      <c r="FM50" s="92"/>
      <c r="FN50" s="92"/>
      <c r="FO50" s="92"/>
      <c r="FP50" s="92"/>
      <c r="FQ50" s="92"/>
      <c r="FR50" s="92"/>
      <c r="FS50" s="92"/>
      <c r="FT50" s="92"/>
      <c r="FU50" s="92"/>
      <c r="FV50" s="92"/>
      <c r="FW50" s="92"/>
      <c r="FX50" s="92"/>
      <c r="FY50" s="92"/>
      <c r="FZ50" s="92"/>
      <c r="GA50" s="92"/>
      <c r="GB50" s="92"/>
      <c r="GC50" s="92"/>
      <c r="GD50" s="92"/>
      <c r="GE50" s="92"/>
      <c r="GF50" s="92"/>
      <c r="GG50" s="92"/>
      <c r="GH50" s="92"/>
      <c r="GI50" s="92"/>
      <c r="GJ50" s="92"/>
      <c r="GK50" s="92"/>
      <c r="GL50" s="92"/>
      <c r="GM50" s="92"/>
      <c r="GN50" s="92"/>
      <c r="GO50" s="92"/>
      <c r="GP50" s="92"/>
      <c r="GQ50" s="92"/>
      <c r="GR50" s="92"/>
      <c r="GS50" s="92"/>
      <c r="GT50" s="92"/>
      <c r="GU50" s="92"/>
      <c r="GV50" s="92"/>
      <c r="GW50" s="92"/>
      <c r="GX50" s="92"/>
      <c r="GY50" s="92"/>
      <c r="GZ50" s="92"/>
      <c r="HA50" s="92"/>
      <c r="HB50" s="92"/>
      <c r="HC50" s="92"/>
      <c r="HD50" s="92"/>
      <c r="HE50" s="92"/>
      <c r="HF50" s="92"/>
      <c r="HG50" s="92"/>
      <c r="HH50" s="92"/>
      <c r="HI50" s="92"/>
      <c r="HJ50" s="92"/>
      <c r="HK50" s="92"/>
      <c r="HL50" s="92"/>
      <c r="HM50" s="92"/>
      <c r="HN50" s="92"/>
      <c r="HO50" s="92"/>
      <c r="HP50" s="92"/>
      <c r="HQ50" s="92"/>
      <c r="HR50" s="92"/>
      <c r="HS50" s="92"/>
      <c r="HT50" s="92"/>
      <c r="HU50" s="92"/>
      <c r="HV50" s="92"/>
      <c r="HW50" s="92"/>
      <c r="HX50" s="92"/>
      <c r="HY50" s="92"/>
      <c r="HZ50" s="92"/>
      <c r="IA50" s="92"/>
      <c r="IB50" s="92"/>
      <c r="IC50" s="92"/>
      <c r="ID50" s="92"/>
      <c r="IE50" s="92"/>
      <c r="IF50" s="92"/>
      <c r="IG50" s="92"/>
      <c r="IH50" s="92"/>
      <c r="II50" s="92"/>
      <c r="IJ50" s="92"/>
      <c r="IK50" s="92"/>
      <c r="IL50" s="92"/>
      <c r="IM50" s="92"/>
      <c r="IN50" s="92"/>
      <c r="IO50" s="92"/>
      <c r="IP50" s="92"/>
      <c r="IQ50" s="92"/>
      <c r="IR50" s="92"/>
      <c r="IS50" s="92"/>
      <c r="IT50" s="92"/>
      <c r="IU50" s="92"/>
      <c r="IV50" s="92"/>
      <c r="IW50" s="92"/>
      <c r="IX50" s="92"/>
      <c r="IY50" s="92"/>
    </row>
    <row r="51" spans="1:259" x14ac:dyDescent="0.3">
      <c r="A51" s="2" t="s">
        <v>532</v>
      </c>
      <c r="B51" s="2"/>
      <c r="C51" s="2"/>
      <c r="D51" s="2"/>
      <c r="E51" s="2" t="s">
        <v>533</v>
      </c>
      <c r="F51" s="2" t="s">
        <v>17</v>
      </c>
      <c r="G51" s="2" t="s">
        <v>528</v>
      </c>
      <c r="H51" s="2"/>
      <c r="I51" s="2" t="s">
        <v>308</v>
      </c>
      <c r="J51" s="87"/>
      <c r="K51" s="88">
        <f t="shared" si="0"/>
        <v>6</v>
      </c>
      <c r="L51" s="89">
        <v>6</v>
      </c>
      <c r="M51" s="88">
        <f t="shared" si="1"/>
        <v>0</v>
      </c>
      <c r="N51" s="88">
        <f t="shared" si="24"/>
        <v>6</v>
      </c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1"/>
      <c r="AU51" s="30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2"/>
      <c r="BY51" s="92"/>
      <c r="BZ51" s="92"/>
      <c r="CA51" s="92"/>
      <c r="CB51" s="92"/>
      <c r="CC51" s="92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  <c r="DQ51" s="92"/>
      <c r="DR51" s="92"/>
      <c r="DS51" s="92"/>
      <c r="DT51" s="92"/>
      <c r="DU51" s="92"/>
      <c r="DV51" s="92"/>
      <c r="DW51" s="92"/>
      <c r="DX51" s="92"/>
      <c r="DY51" s="92"/>
      <c r="DZ51" s="92"/>
      <c r="EA51" s="92"/>
      <c r="EB51" s="92"/>
      <c r="EC51" s="92"/>
      <c r="ED51" s="92"/>
      <c r="EE51" s="92"/>
      <c r="EF51" s="92"/>
      <c r="EG51" s="92"/>
      <c r="EH51" s="92"/>
      <c r="EI51" s="92"/>
      <c r="EJ51" s="92"/>
      <c r="EK51" s="92"/>
      <c r="EL51" s="92"/>
      <c r="EM51" s="92"/>
      <c r="EN51" s="92"/>
      <c r="EO51" s="92"/>
      <c r="EP51" s="92"/>
      <c r="EQ51" s="92"/>
      <c r="ER51" s="92"/>
      <c r="ES51" s="92"/>
      <c r="ET51" s="92"/>
      <c r="EU51" s="92"/>
      <c r="EV51" s="92"/>
      <c r="EW51" s="92"/>
      <c r="EX51" s="92"/>
      <c r="EY51" s="92"/>
      <c r="EZ51" s="92"/>
      <c r="FA51" s="92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92"/>
      <c r="FT51" s="92"/>
      <c r="FU51" s="92"/>
      <c r="FV51" s="92"/>
      <c r="FW51" s="92"/>
      <c r="FX51" s="92"/>
      <c r="FY51" s="92"/>
      <c r="FZ51" s="92"/>
      <c r="GA51" s="92"/>
      <c r="GB51" s="92"/>
      <c r="GC51" s="92"/>
      <c r="GD51" s="92"/>
      <c r="GE51" s="92"/>
      <c r="GF51" s="92"/>
      <c r="GG51" s="92"/>
      <c r="GH51" s="92"/>
      <c r="GI51" s="92"/>
      <c r="GJ51" s="92"/>
      <c r="GK51" s="92"/>
      <c r="GL51" s="92"/>
      <c r="GM51" s="92"/>
      <c r="GN51" s="92"/>
      <c r="GO51" s="92"/>
      <c r="GP51" s="92"/>
      <c r="GQ51" s="92"/>
      <c r="GR51" s="92"/>
      <c r="GS51" s="92"/>
      <c r="GT51" s="92"/>
      <c r="GU51" s="92"/>
      <c r="GV51" s="92"/>
      <c r="GW51" s="92"/>
      <c r="GX51" s="92"/>
      <c r="GY51" s="92"/>
      <c r="GZ51" s="92"/>
      <c r="HA51" s="92"/>
      <c r="HB51" s="92"/>
      <c r="HC51" s="92"/>
      <c r="HD51" s="92"/>
      <c r="HE51" s="92"/>
      <c r="HF51" s="92"/>
      <c r="HG51" s="92"/>
      <c r="HH51" s="92"/>
      <c r="HI51" s="92"/>
      <c r="HJ51" s="92"/>
      <c r="HK51" s="92"/>
      <c r="HL51" s="92"/>
      <c r="HM51" s="92"/>
      <c r="HN51" s="92"/>
      <c r="HO51" s="92"/>
      <c r="HP51" s="92"/>
      <c r="HQ51" s="92"/>
      <c r="HR51" s="92"/>
      <c r="HS51" s="92"/>
      <c r="HT51" s="92"/>
      <c r="HU51" s="92"/>
      <c r="HV51" s="92"/>
      <c r="HW51" s="92"/>
      <c r="HX51" s="92"/>
      <c r="HY51" s="92"/>
      <c r="HZ51" s="92"/>
      <c r="IA51" s="92"/>
      <c r="IB51" s="92"/>
      <c r="IC51" s="92"/>
      <c r="ID51" s="92"/>
      <c r="IE51" s="92"/>
      <c r="IF51" s="92"/>
      <c r="IG51" s="92"/>
      <c r="IH51" s="92"/>
      <c r="II51" s="92"/>
      <c r="IJ51" s="92"/>
      <c r="IK51" s="92"/>
      <c r="IL51" s="92"/>
      <c r="IM51" s="92"/>
      <c r="IN51" s="92"/>
      <c r="IO51" s="92"/>
      <c r="IP51" s="92"/>
      <c r="IQ51" s="92"/>
      <c r="IR51" s="92"/>
      <c r="IS51" s="92"/>
      <c r="IT51" s="92"/>
      <c r="IU51" s="92"/>
      <c r="IV51" s="92"/>
      <c r="IW51" s="92"/>
      <c r="IX51" s="92"/>
      <c r="IY51" s="92"/>
    </row>
    <row r="52" spans="1:259" x14ac:dyDescent="0.3">
      <c r="A52" s="2" t="s">
        <v>408</v>
      </c>
      <c r="B52" s="2"/>
      <c r="C52" s="2"/>
      <c r="D52" s="2"/>
      <c r="E52" s="2" t="s">
        <v>324</v>
      </c>
      <c r="F52" s="2" t="s">
        <v>17</v>
      </c>
      <c r="G52" s="2" t="s">
        <v>291</v>
      </c>
      <c r="H52" s="2"/>
      <c r="I52" s="2" t="s">
        <v>308</v>
      </c>
      <c r="J52" s="87"/>
      <c r="K52" s="88">
        <f t="shared" si="0"/>
        <v>7</v>
      </c>
      <c r="L52" s="89">
        <v>8</v>
      </c>
      <c r="M52" s="88">
        <f t="shared" si="1"/>
        <v>1</v>
      </c>
      <c r="N52" s="88">
        <f t="shared" ref="N52" si="25">K52</f>
        <v>7</v>
      </c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88">
        <f>1</f>
        <v>1</v>
      </c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1"/>
      <c r="AU52" s="30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2"/>
      <c r="BY52" s="92"/>
      <c r="BZ52" s="92"/>
      <c r="CA52" s="92"/>
      <c r="CB52" s="92"/>
      <c r="CC52" s="92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92"/>
      <c r="CW52" s="92"/>
      <c r="CX52" s="92"/>
      <c r="CY52" s="92"/>
      <c r="CZ52" s="92"/>
      <c r="DA52" s="92"/>
      <c r="DB52" s="92"/>
      <c r="DC52" s="92"/>
      <c r="DD52" s="92"/>
      <c r="DE52" s="92"/>
      <c r="DF52" s="92"/>
      <c r="DG52" s="92"/>
      <c r="DH52" s="92"/>
      <c r="DI52" s="92"/>
      <c r="DJ52" s="92"/>
      <c r="DK52" s="92"/>
      <c r="DL52" s="92"/>
      <c r="DM52" s="92"/>
      <c r="DN52" s="92"/>
      <c r="DO52" s="92"/>
      <c r="DP52" s="92"/>
      <c r="DQ52" s="92"/>
      <c r="DR52" s="92"/>
      <c r="DS52" s="92"/>
      <c r="DT52" s="92"/>
      <c r="DU52" s="92"/>
      <c r="DV52" s="92"/>
      <c r="DW52" s="92"/>
      <c r="DX52" s="92"/>
      <c r="DY52" s="92"/>
      <c r="DZ52" s="92"/>
      <c r="EA52" s="92"/>
      <c r="EB52" s="92"/>
      <c r="EC52" s="92"/>
      <c r="ED52" s="92"/>
      <c r="EE52" s="92"/>
      <c r="EF52" s="92"/>
      <c r="EG52" s="92"/>
      <c r="EH52" s="92"/>
      <c r="EI52" s="92"/>
      <c r="EJ52" s="92"/>
      <c r="EK52" s="92"/>
      <c r="EL52" s="92"/>
      <c r="EM52" s="92"/>
      <c r="EN52" s="92"/>
      <c r="EO52" s="92"/>
      <c r="EP52" s="92"/>
      <c r="EQ52" s="92"/>
      <c r="ER52" s="92"/>
      <c r="ES52" s="92"/>
      <c r="ET52" s="92"/>
      <c r="EU52" s="92"/>
      <c r="EV52" s="92"/>
      <c r="EW52" s="92"/>
      <c r="EX52" s="92"/>
      <c r="EY52" s="92"/>
      <c r="EZ52" s="92"/>
      <c r="FA52" s="92"/>
      <c r="FB52" s="92"/>
      <c r="FC52" s="92"/>
      <c r="FD52" s="92"/>
      <c r="FE52" s="92"/>
      <c r="FF52" s="92"/>
      <c r="FG52" s="92"/>
      <c r="FH52" s="92"/>
      <c r="FI52" s="92"/>
      <c r="FJ52" s="92"/>
      <c r="FK52" s="92"/>
      <c r="FL52" s="92"/>
      <c r="FM52" s="92"/>
      <c r="FN52" s="92"/>
      <c r="FO52" s="92"/>
      <c r="FP52" s="92"/>
      <c r="FQ52" s="92"/>
      <c r="FR52" s="92"/>
      <c r="FS52" s="92"/>
      <c r="FT52" s="92"/>
      <c r="FU52" s="92"/>
      <c r="FV52" s="92"/>
      <c r="FW52" s="92"/>
      <c r="FX52" s="92"/>
      <c r="FY52" s="92"/>
      <c r="FZ52" s="92"/>
      <c r="GA52" s="92"/>
      <c r="GB52" s="92"/>
      <c r="GC52" s="92"/>
      <c r="GD52" s="92"/>
      <c r="GE52" s="92"/>
      <c r="GF52" s="92"/>
      <c r="GG52" s="92"/>
      <c r="GH52" s="92"/>
      <c r="GI52" s="92"/>
      <c r="GJ52" s="92"/>
      <c r="GK52" s="92"/>
      <c r="GL52" s="92"/>
      <c r="GM52" s="92"/>
      <c r="GN52" s="92"/>
      <c r="GO52" s="92"/>
      <c r="GP52" s="92"/>
      <c r="GQ52" s="92"/>
      <c r="GR52" s="92"/>
      <c r="GS52" s="92"/>
      <c r="GT52" s="92"/>
      <c r="GU52" s="92"/>
      <c r="GV52" s="92"/>
      <c r="GW52" s="92"/>
      <c r="GX52" s="92"/>
      <c r="GY52" s="92"/>
      <c r="GZ52" s="92"/>
      <c r="HA52" s="92"/>
      <c r="HB52" s="92"/>
      <c r="HC52" s="92"/>
      <c r="HD52" s="92"/>
      <c r="HE52" s="92"/>
      <c r="HF52" s="92"/>
      <c r="HG52" s="92"/>
      <c r="HH52" s="92"/>
      <c r="HI52" s="92"/>
      <c r="HJ52" s="92"/>
      <c r="HK52" s="92"/>
      <c r="HL52" s="92"/>
      <c r="HM52" s="92"/>
      <c r="HN52" s="92"/>
      <c r="HO52" s="92"/>
      <c r="HP52" s="92"/>
      <c r="HQ52" s="92"/>
      <c r="HR52" s="92"/>
      <c r="HS52" s="92"/>
      <c r="HT52" s="92"/>
      <c r="HU52" s="92"/>
      <c r="HV52" s="92"/>
      <c r="HW52" s="92"/>
      <c r="HX52" s="92"/>
      <c r="HY52" s="92"/>
      <c r="HZ52" s="92"/>
      <c r="IA52" s="92"/>
      <c r="IB52" s="92"/>
      <c r="IC52" s="92"/>
      <c r="ID52" s="92"/>
      <c r="IE52" s="92"/>
      <c r="IF52" s="92"/>
      <c r="IG52" s="92"/>
      <c r="IH52" s="92"/>
      <c r="II52" s="92"/>
      <c r="IJ52" s="92"/>
      <c r="IK52" s="92"/>
      <c r="IL52" s="92"/>
      <c r="IM52" s="92"/>
      <c r="IN52" s="92"/>
      <c r="IO52" s="92"/>
      <c r="IP52" s="92"/>
      <c r="IQ52" s="92"/>
      <c r="IR52" s="92"/>
      <c r="IS52" s="92"/>
      <c r="IT52" s="92"/>
      <c r="IU52" s="92"/>
      <c r="IV52" s="92"/>
      <c r="IW52" s="92"/>
      <c r="IX52" s="92"/>
      <c r="IY52" s="92"/>
    </row>
    <row r="53" spans="1:259" x14ac:dyDescent="0.3">
      <c r="A53" s="2" t="s">
        <v>187</v>
      </c>
      <c r="B53" s="2"/>
      <c r="C53" s="2"/>
      <c r="D53" s="2"/>
      <c r="E53" s="2" t="s">
        <v>324</v>
      </c>
      <c r="F53" s="2" t="s">
        <v>17</v>
      </c>
      <c r="G53" s="2" t="s">
        <v>336</v>
      </c>
      <c r="H53" s="2"/>
      <c r="I53" s="2" t="s">
        <v>308</v>
      </c>
      <c r="J53" s="87"/>
      <c r="K53" s="88">
        <f>L53-M53</f>
        <v>1</v>
      </c>
      <c r="L53" s="89">
        <v>1</v>
      </c>
      <c r="M53" s="88">
        <f t="shared" si="1"/>
        <v>0</v>
      </c>
      <c r="N53" s="88">
        <f t="shared" si="2"/>
        <v>1</v>
      </c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1"/>
      <c r="AU53" s="30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  <c r="DQ53" s="92"/>
      <c r="DR53" s="92"/>
      <c r="DS53" s="92"/>
      <c r="DT53" s="92"/>
      <c r="DU53" s="92"/>
      <c r="DV53" s="92"/>
      <c r="DW53" s="92"/>
      <c r="DX53" s="92"/>
      <c r="DY53" s="92"/>
      <c r="DZ53" s="92"/>
      <c r="EA53" s="92"/>
      <c r="EB53" s="92"/>
      <c r="EC53" s="92"/>
      <c r="ED53" s="92"/>
      <c r="EE53" s="92"/>
      <c r="EF53" s="92"/>
      <c r="EG53" s="92"/>
      <c r="EH53" s="92"/>
      <c r="EI53" s="92"/>
      <c r="EJ53" s="92"/>
      <c r="EK53" s="92"/>
      <c r="EL53" s="92"/>
      <c r="EM53" s="92"/>
      <c r="EN53" s="92"/>
      <c r="EO53" s="92"/>
      <c r="EP53" s="92"/>
      <c r="EQ53" s="92"/>
      <c r="ER53" s="92"/>
      <c r="ES53" s="92"/>
      <c r="ET53" s="92"/>
      <c r="EU53" s="92"/>
      <c r="EV53" s="92"/>
      <c r="EW53" s="92"/>
      <c r="EX53" s="92"/>
      <c r="EY53" s="92"/>
      <c r="EZ53" s="92"/>
      <c r="FA53" s="92"/>
      <c r="FB53" s="92"/>
      <c r="FC53" s="92"/>
      <c r="FD53" s="92"/>
      <c r="FE53" s="92"/>
      <c r="FF53" s="92"/>
      <c r="FG53" s="92"/>
      <c r="FH53" s="92"/>
      <c r="FI53" s="92"/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2"/>
      <c r="FV53" s="92"/>
      <c r="FW53" s="92"/>
      <c r="FX53" s="92"/>
      <c r="FY53" s="92"/>
      <c r="FZ53" s="92"/>
      <c r="GA53" s="92"/>
      <c r="GB53" s="92"/>
      <c r="GC53" s="92"/>
      <c r="GD53" s="92"/>
      <c r="GE53" s="92"/>
      <c r="GF53" s="92"/>
      <c r="GG53" s="92"/>
      <c r="GH53" s="92"/>
      <c r="GI53" s="92"/>
      <c r="GJ53" s="92"/>
      <c r="GK53" s="92"/>
      <c r="GL53" s="92"/>
      <c r="GM53" s="92"/>
      <c r="GN53" s="92"/>
      <c r="GO53" s="92"/>
      <c r="GP53" s="92"/>
      <c r="GQ53" s="92"/>
      <c r="GR53" s="92"/>
      <c r="GS53" s="92"/>
      <c r="GT53" s="92"/>
      <c r="GU53" s="92"/>
      <c r="GV53" s="92"/>
      <c r="GW53" s="92"/>
      <c r="GX53" s="92"/>
      <c r="GY53" s="92"/>
      <c r="GZ53" s="92"/>
      <c r="HA53" s="92"/>
      <c r="HB53" s="92"/>
      <c r="HC53" s="92"/>
      <c r="HD53" s="92"/>
      <c r="HE53" s="92"/>
      <c r="HF53" s="92"/>
      <c r="HG53" s="92"/>
      <c r="HH53" s="92"/>
      <c r="HI53" s="92"/>
      <c r="HJ53" s="92"/>
      <c r="HK53" s="92"/>
      <c r="HL53" s="92"/>
      <c r="HM53" s="92"/>
      <c r="HN53" s="92"/>
      <c r="HO53" s="92"/>
      <c r="HP53" s="92"/>
      <c r="HQ53" s="92"/>
      <c r="HR53" s="92"/>
      <c r="HS53" s="92"/>
      <c r="HT53" s="92"/>
      <c r="HU53" s="92"/>
      <c r="HV53" s="92"/>
      <c r="HW53" s="92"/>
      <c r="HX53" s="92"/>
      <c r="HY53" s="92"/>
      <c r="HZ53" s="92"/>
      <c r="IA53" s="92"/>
      <c r="IB53" s="92"/>
      <c r="IC53" s="92"/>
      <c r="ID53" s="92"/>
      <c r="IE53" s="92"/>
      <c r="IF53" s="92"/>
      <c r="IG53" s="92"/>
      <c r="IH53" s="92"/>
      <c r="II53" s="92"/>
      <c r="IJ53" s="92"/>
      <c r="IK53" s="92"/>
      <c r="IL53" s="92"/>
      <c r="IM53" s="92"/>
      <c r="IN53" s="92"/>
      <c r="IO53" s="92"/>
      <c r="IP53" s="92"/>
      <c r="IQ53" s="92"/>
      <c r="IR53" s="92"/>
      <c r="IS53" s="92"/>
      <c r="IT53" s="92"/>
      <c r="IU53" s="92"/>
      <c r="IV53" s="92"/>
      <c r="IW53" s="92"/>
      <c r="IX53" s="92"/>
      <c r="IY53" s="92"/>
    </row>
    <row r="54" spans="1:259" x14ac:dyDescent="0.3">
      <c r="A54" s="2" t="s">
        <v>461</v>
      </c>
      <c r="B54" s="2"/>
      <c r="C54" s="2"/>
      <c r="D54" s="2"/>
      <c r="E54" s="2" t="s">
        <v>461</v>
      </c>
      <c r="F54" s="2" t="s">
        <v>17</v>
      </c>
      <c r="G54" s="2" t="s">
        <v>336</v>
      </c>
      <c r="H54" s="2"/>
      <c r="I54" s="2" t="s">
        <v>308</v>
      </c>
      <c r="J54" s="87"/>
      <c r="K54" s="88">
        <f t="shared" si="0"/>
        <v>2</v>
      </c>
      <c r="L54" s="89">
        <v>2</v>
      </c>
      <c r="M54" s="88">
        <f t="shared" si="1"/>
        <v>0</v>
      </c>
      <c r="N54" s="88">
        <f t="shared" si="2"/>
        <v>2</v>
      </c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30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2"/>
      <c r="BY54" s="92"/>
      <c r="BZ54" s="92"/>
      <c r="CA54" s="92"/>
      <c r="CB54" s="92"/>
      <c r="CC54" s="92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  <c r="CV54" s="92"/>
      <c r="CW54" s="92"/>
      <c r="CX54" s="92"/>
      <c r="CY54" s="92"/>
      <c r="CZ54" s="92"/>
      <c r="DA54" s="92"/>
      <c r="DB54" s="92"/>
      <c r="DC54" s="92"/>
      <c r="DD54" s="92"/>
      <c r="DE54" s="92"/>
      <c r="DF54" s="92"/>
      <c r="DG54" s="92"/>
      <c r="DH54" s="92"/>
      <c r="DI54" s="92"/>
      <c r="DJ54" s="92"/>
      <c r="DK54" s="92"/>
      <c r="DL54" s="92"/>
      <c r="DM54" s="92"/>
      <c r="DN54" s="92"/>
      <c r="DO54" s="92"/>
      <c r="DP54" s="92"/>
      <c r="DQ54" s="92"/>
      <c r="DR54" s="92"/>
      <c r="DS54" s="92"/>
      <c r="DT54" s="92"/>
      <c r="DU54" s="92"/>
      <c r="DV54" s="92"/>
      <c r="DW54" s="92"/>
      <c r="DX54" s="92"/>
      <c r="DY54" s="92"/>
      <c r="DZ54" s="92"/>
      <c r="EA54" s="92"/>
      <c r="EB54" s="92"/>
      <c r="EC54" s="92"/>
      <c r="ED54" s="92"/>
      <c r="EE54" s="92"/>
      <c r="EF54" s="92"/>
      <c r="EG54" s="92"/>
      <c r="EH54" s="92"/>
      <c r="EI54" s="92"/>
      <c r="EJ54" s="92"/>
      <c r="EK54" s="92"/>
      <c r="EL54" s="92"/>
      <c r="EM54" s="92"/>
      <c r="EN54" s="92"/>
      <c r="EO54" s="92"/>
      <c r="EP54" s="92"/>
      <c r="EQ54" s="92"/>
      <c r="ER54" s="92"/>
      <c r="ES54" s="92"/>
      <c r="ET54" s="92"/>
      <c r="EU54" s="92"/>
      <c r="EV54" s="92"/>
      <c r="EW54" s="92"/>
      <c r="EX54" s="92"/>
      <c r="EY54" s="92"/>
      <c r="EZ54" s="92"/>
      <c r="FA54" s="92"/>
      <c r="FB54" s="92"/>
      <c r="FC54" s="92"/>
      <c r="FD54" s="92"/>
      <c r="FE54" s="92"/>
      <c r="FF54" s="92"/>
      <c r="FG54" s="92"/>
      <c r="FH54" s="92"/>
      <c r="FI54" s="92"/>
      <c r="FJ54" s="92"/>
      <c r="FK54" s="92"/>
      <c r="FL54" s="92"/>
      <c r="FM54" s="92"/>
      <c r="FN54" s="92"/>
      <c r="FO54" s="92"/>
      <c r="FP54" s="92"/>
      <c r="FQ54" s="92"/>
      <c r="FR54" s="92"/>
      <c r="FS54" s="92"/>
      <c r="FT54" s="92"/>
      <c r="FU54" s="92"/>
      <c r="FV54" s="92"/>
      <c r="FW54" s="92"/>
      <c r="FX54" s="92"/>
      <c r="FY54" s="92"/>
      <c r="FZ54" s="92"/>
      <c r="GA54" s="92"/>
      <c r="GB54" s="92"/>
      <c r="GC54" s="92"/>
      <c r="GD54" s="92"/>
      <c r="GE54" s="92"/>
      <c r="GF54" s="92"/>
      <c r="GG54" s="92"/>
      <c r="GH54" s="92"/>
      <c r="GI54" s="92"/>
      <c r="GJ54" s="92"/>
      <c r="GK54" s="92"/>
      <c r="GL54" s="92"/>
      <c r="GM54" s="92"/>
      <c r="GN54" s="92"/>
      <c r="GO54" s="92"/>
      <c r="GP54" s="92"/>
      <c r="GQ54" s="92"/>
      <c r="GR54" s="92"/>
      <c r="GS54" s="92"/>
      <c r="GT54" s="92"/>
      <c r="GU54" s="92"/>
      <c r="GV54" s="92"/>
      <c r="GW54" s="92"/>
      <c r="GX54" s="92"/>
      <c r="GY54" s="92"/>
      <c r="GZ54" s="92"/>
      <c r="HA54" s="92"/>
      <c r="HB54" s="92"/>
      <c r="HC54" s="92"/>
      <c r="HD54" s="92"/>
      <c r="HE54" s="92"/>
      <c r="HF54" s="92"/>
      <c r="HG54" s="92"/>
      <c r="HH54" s="92"/>
      <c r="HI54" s="92"/>
      <c r="HJ54" s="92"/>
      <c r="HK54" s="92"/>
      <c r="HL54" s="92"/>
      <c r="HM54" s="92"/>
      <c r="HN54" s="92"/>
      <c r="HO54" s="92"/>
      <c r="HP54" s="92"/>
      <c r="HQ54" s="92"/>
      <c r="HR54" s="92"/>
      <c r="HS54" s="92"/>
      <c r="HT54" s="92"/>
      <c r="HU54" s="92"/>
      <c r="HV54" s="92"/>
      <c r="HW54" s="92"/>
      <c r="HX54" s="92"/>
      <c r="HY54" s="92"/>
      <c r="HZ54" s="92"/>
      <c r="IA54" s="92"/>
      <c r="IB54" s="92"/>
      <c r="IC54" s="92"/>
      <c r="ID54" s="92"/>
      <c r="IE54" s="92"/>
      <c r="IF54" s="92"/>
      <c r="IG54" s="92"/>
      <c r="IH54" s="92"/>
      <c r="II54" s="92"/>
      <c r="IJ54" s="92"/>
      <c r="IK54" s="92"/>
      <c r="IL54" s="92"/>
      <c r="IM54" s="92"/>
      <c r="IN54" s="92"/>
      <c r="IO54" s="92"/>
      <c r="IP54" s="92"/>
      <c r="IQ54" s="92"/>
      <c r="IR54" s="92"/>
      <c r="IS54" s="92"/>
      <c r="IT54" s="92"/>
      <c r="IU54" s="92"/>
      <c r="IV54" s="92"/>
      <c r="IW54" s="92"/>
      <c r="IX54" s="92"/>
      <c r="IY54" s="92"/>
    </row>
    <row r="55" spans="1:259" x14ac:dyDescent="0.3">
      <c r="A55" s="2" t="s">
        <v>185</v>
      </c>
      <c r="B55" s="2"/>
      <c r="C55" s="2"/>
      <c r="D55" s="2"/>
      <c r="E55" s="2" t="s">
        <v>328</v>
      </c>
      <c r="F55" s="2" t="s">
        <v>17</v>
      </c>
      <c r="G55" s="2" t="s">
        <v>291</v>
      </c>
      <c r="H55" s="2"/>
      <c r="I55" s="2" t="s">
        <v>308</v>
      </c>
      <c r="J55" s="87"/>
      <c r="K55" s="88">
        <f t="shared" si="0"/>
        <v>25</v>
      </c>
      <c r="L55" s="89">
        <v>25</v>
      </c>
      <c r="M55" s="88">
        <f t="shared" si="1"/>
        <v>0</v>
      </c>
      <c r="N55" s="88">
        <f t="shared" si="2"/>
        <v>25</v>
      </c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1"/>
      <c r="AU55" s="30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92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  <c r="DQ55" s="92"/>
      <c r="DR55" s="92"/>
      <c r="DS55" s="92"/>
      <c r="DT55" s="92"/>
      <c r="DU55" s="92"/>
      <c r="DV55" s="92"/>
      <c r="DW55" s="92"/>
      <c r="DX55" s="92"/>
      <c r="DY55" s="92"/>
      <c r="DZ55" s="92"/>
      <c r="EA55" s="92"/>
      <c r="EB55" s="92"/>
      <c r="EC55" s="92"/>
      <c r="ED55" s="92"/>
      <c r="EE55" s="92"/>
      <c r="EF55" s="92"/>
      <c r="EG55" s="92"/>
      <c r="EH55" s="92"/>
      <c r="EI55" s="92"/>
      <c r="EJ55" s="92"/>
      <c r="EK55" s="92"/>
      <c r="EL55" s="92"/>
      <c r="EM55" s="92"/>
      <c r="EN55" s="92"/>
      <c r="EO55" s="92"/>
      <c r="EP55" s="92"/>
      <c r="EQ55" s="92"/>
      <c r="ER55" s="92"/>
      <c r="ES55" s="92"/>
      <c r="ET55" s="92"/>
      <c r="EU55" s="92"/>
      <c r="EV55" s="92"/>
      <c r="EW55" s="92"/>
      <c r="EX55" s="92"/>
      <c r="EY55" s="92"/>
      <c r="EZ55" s="92"/>
      <c r="FA55" s="92"/>
      <c r="FB55" s="92"/>
      <c r="FC55" s="92"/>
      <c r="FD55" s="92"/>
      <c r="FE55" s="92"/>
      <c r="FF55" s="92"/>
      <c r="FG55" s="92"/>
      <c r="FH55" s="92"/>
      <c r="FI55" s="92"/>
      <c r="FJ55" s="92"/>
      <c r="FK55" s="92"/>
      <c r="FL55" s="92"/>
      <c r="FM55" s="92"/>
      <c r="FN55" s="92"/>
      <c r="FO55" s="92"/>
      <c r="FP55" s="92"/>
      <c r="FQ55" s="92"/>
      <c r="FR55" s="92"/>
      <c r="FS55" s="92"/>
      <c r="FT55" s="92"/>
      <c r="FU55" s="92"/>
      <c r="FV55" s="92"/>
      <c r="FW55" s="92"/>
      <c r="FX55" s="92"/>
      <c r="FY55" s="92"/>
      <c r="FZ55" s="92"/>
      <c r="GA55" s="92"/>
      <c r="GB55" s="92"/>
      <c r="GC55" s="92"/>
      <c r="GD55" s="92"/>
      <c r="GE55" s="92"/>
      <c r="GF55" s="92"/>
      <c r="GG55" s="92"/>
      <c r="GH55" s="92"/>
      <c r="GI55" s="92"/>
      <c r="GJ55" s="92"/>
      <c r="GK55" s="92"/>
      <c r="GL55" s="92"/>
      <c r="GM55" s="92"/>
      <c r="GN55" s="92"/>
      <c r="GO55" s="92"/>
      <c r="GP55" s="92"/>
      <c r="GQ55" s="92"/>
      <c r="GR55" s="92"/>
      <c r="GS55" s="92"/>
      <c r="GT55" s="92"/>
      <c r="GU55" s="92"/>
      <c r="GV55" s="92"/>
      <c r="GW55" s="92"/>
      <c r="GX55" s="92"/>
      <c r="GY55" s="92"/>
      <c r="GZ55" s="92"/>
      <c r="HA55" s="92"/>
      <c r="HB55" s="92"/>
      <c r="HC55" s="92"/>
      <c r="HD55" s="92"/>
      <c r="HE55" s="92"/>
      <c r="HF55" s="92"/>
      <c r="HG55" s="92"/>
      <c r="HH55" s="92"/>
      <c r="HI55" s="92"/>
      <c r="HJ55" s="92"/>
      <c r="HK55" s="92"/>
      <c r="HL55" s="92"/>
      <c r="HM55" s="92"/>
      <c r="HN55" s="92"/>
      <c r="HO55" s="92"/>
      <c r="HP55" s="92"/>
      <c r="HQ55" s="92"/>
      <c r="HR55" s="92"/>
      <c r="HS55" s="92"/>
      <c r="HT55" s="92"/>
      <c r="HU55" s="92"/>
      <c r="HV55" s="92"/>
      <c r="HW55" s="92"/>
      <c r="HX55" s="92"/>
      <c r="HY55" s="92"/>
      <c r="HZ55" s="92"/>
      <c r="IA55" s="92"/>
      <c r="IB55" s="92"/>
      <c r="IC55" s="92"/>
      <c r="ID55" s="92"/>
      <c r="IE55" s="92"/>
      <c r="IF55" s="92"/>
      <c r="IG55" s="92"/>
      <c r="IH55" s="92"/>
      <c r="II55" s="92"/>
      <c r="IJ55" s="92"/>
      <c r="IK55" s="92"/>
      <c r="IL55" s="92"/>
      <c r="IM55" s="92"/>
      <c r="IN55" s="92"/>
      <c r="IO55" s="92"/>
      <c r="IP55" s="92"/>
      <c r="IQ55" s="92"/>
      <c r="IR55" s="92"/>
      <c r="IS55" s="92"/>
      <c r="IT55" s="92"/>
      <c r="IU55" s="92"/>
      <c r="IV55" s="92"/>
      <c r="IW55" s="92"/>
      <c r="IX55" s="92"/>
      <c r="IY55" s="92"/>
    </row>
    <row r="56" spans="1:259" x14ac:dyDescent="0.3">
      <c r="A56" s="2" t="s">
        <v>186</v>
      </c>
      <c r="B56" s="2"/>
      <c r="C56" s="2"/>
      <c r="D56" s="2"/>
      <c r="E56" s="2" t="s">
        <v>356</v>
      </c>
      <c r="F56" s="2" t="s">
        <v>17</v>
      </c>
      <c r="G56" s="2" t="s">
        <v>291</v>
      </c>
      <c r="H56" s="2"/>
      <c r="I56" s="2" t="s">
        <v>308</v>
      </c>
      <c r="J56" s="87"/>
      <c r="K56" s="88">
        <f t="shared" si="0"/>
        <v>49</v>
      </c>
      <c r="L56" s="89">
        <v>49</v>
      </c>
      <c r="M56" s="88">
        <f t="shared" si="1"/>
        <v>0</v>
      </c>
      <c r="N56" s="88">
        <f t="shared" si="2"/>
        <v>49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1"/>
      <c r="AU56" s="30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92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  <c r="DQ56" s="92"/>
      <c r="DR56" s="92"/>
      <c r="DS56" s="92"/>
      <c r="DT56" s="92"/>
      <c r="DU56" s="92"/>
      <c r="DV56" s="92"/>
      <c r="DW56" s="92"/>
      <c r="DX56" s="92"/>
      <c r="DY56" s="92"/>
      <c r="DZ56" s="92"/>
      <c r="EA56" s="92"/>
      <c r="EB56" s="92"/>
      <c r="EC56" s="92"/>
      <c r="ED56" s="92"/>
      <c r="EE56" s="92"/>
      <c r="EF56" s="92"/>
      <c r="EG56" s="92"/>
      <c r="EH56" s="92"/>
      <c r="EI56" s="92"/>
      <c r="EJ56" s="92"/>
      <c r="EK56" s="92"/>
      <c r="EL56" s="92"/>
      <c r="EM56" s="92"/>
      <c r="EN56" s="92"/>
      <c r="EO56" s="92"/>
      <c r="EP56" s="92"/>
      <c r="EQ56" s="92"/>
      <c r="ER56" s="92"/>
      <c r="ES56" s="92"/>
      <c r="ET56" s="92"/>
      <c r="EU56" s="92"/>
      <c r="EV56" s="92"/>
      <c r="EW56" s="92"/>
      <c r="EX56" s="92"/>
      <c r="EY56" s="92"/>
      <c r="EZ56" s="92"/>
      <c r="FA56" s="92"/>
      <c r="FB56" s="92"/>
      <c r="FC56" s="92"/>
      <c r="FD56" s="92"/>
      <c r="FE56" s="92"/>
      <c r="FF56" s="92"/>
      <c r="FG56" s="92"/>
      <c r="FH56" s="92"/>
      <c r="FI56" s="92"/>
      <c r="FJ56" s="92"/>
      <c r="FK56" s="92"/>
      <c r="FL56" s="92"/>
      <c r="FM56" s="92"/>
      <c r="FN56" s="92"/>
      <c r="FO56" s="92"/>
      <c r="FP56" s="92"/>
      <c r="FQ56" s="92"/>
      <c r="FR56" s="92"/>
      <c r="FS56" s="92"/>
      <c r="FT56" s="92"/>
      <c r="FU56" s="92"/>
      <c r="FV56" s="92"/>
      <c r="FW56" s="92"/>
      <c r="FX56" s="92"/>
      <c r="FY56" s="92"/>
      <c r="FZ56" s="92"/>
      <c r="GA56" s="92"/>
      <c r="GB56" s="92"/>
      <c r="GC56" s="92"/>
      <c r="GD56" s="92"/>
      <c r="GE56" s="92"/>
      <c r="GF56" s="92"/>
      <c r="GG56" s="92"/>
      <c r="GH56" s="92"/>
      <c r="GI56" s="92"/>
      <c r="GJ56" s="92"/>
      <c r="GK56" s="92"/>
      <c r="GL56" s="92"/>
      <c r="GM56" s="92"/>
      <c r="GN56" s="92"/>
      <c r="GO56" s="92"/>
      <c r="GP56" s="92"/>
      <c r="GQ56" s="92"/>
      <c r="GR56" s="92"/>
      <c r="GS56" s="92"/>
      <c r="GT56" s="92"/>
      <c r="GU56" s="92"/>
      <c r="GV56" s="92"/>
      <c r="GW56" s="92"/>
      <c r="GX56" s="92"/>
      <c r="GY56" s="92"/>
      <c r="GZ56" s="92"/>
      <c r="HA56" s="92"/>
      <c r="HB56" s="92"/>
      <c r="HC56" s="92"/>
      <c r="HD56" s="92"/>
      <c r="HE56" s="92"/>
      <c r="HF56" s="92"/>
      <c r="HG56" s="92"/>
      <c r="HH56" s="92"/>
      <c r="HI56" s="92"/>
      <c r="HJ56" s="92"/>
      <c r="HK56" s="92"/>
      <c r="HL56" s="92"/>
      <c r="HM56" s="92"/>
      <c r="HN56" s="92"/>
      <c r="HO56" s="92"/>
      <c r="HP56" s="92"/>
      <c r="HQ56" s="92"/>
      <c r="HR56" s="92"/>
      <c r="HS56" s="92"/>
      <c r="HT56" s="92"/>
      <c r="HU56" s="92"/>
      <c r="HV56" s="92"/>
      <c r="HW56" s="92"/>
      <c r="HX56" s="92"/>
      <c r="HY56" s="92"/>
      <c r="HZ56" s="92"/>
      <c r="IA56" s="92"/>
      <c r="IB56" s="92"/>
      <c r="IC56" s="92"/>
      <c r="ID56" s="92"/>
      <c r="IE56" s="92"/>
      <c r="IF56" s="92"/>
      <c r="IG56" s="92"/>
      <c r="IH56" s="92"/>
      <c r="II56" s="92"/>
      <c r="IJ56" s="92"/>
      <c r="IK56" s="92"/>
      <c r="IL56" s="92"/>
      <c r="IM56" s="92"/>
      <c r="IN56" s="92"/>
      <c r="IO56" s="92"/>
      <c r="IP56" s="92"/>
      <c r="IQ56" s="92"/>
      <c r="IR56" s="92"/>
      <c r="IS56" s="92"/>
      <c r="IT56" s="92"/>
      <c r="IU56" s="92"/>
      <c r="IV56" s="92"/>
      <c r="IW56" s="92"/>
      <c r="IX56" s="92"/>
      <c r="IY56" s="92"/>
    </row>
    <row r="57" spans="1:259" x14ac:dyDescent="0.3">
      <c r="A57" s="2" t="s">
        <v>208</v>
      </c>
      <c r="B57" s="2"/>
      <c r="C57" s="2"/>
      <c r="D57" s="2"/>
      <c r="E57" s="2" t="s">
        <v>329</v>
      </c>
      <c r="F57" s="2" t="s">
        <v>17</v>
      </c>
      <c r="G57" s="2" t="s">
        <v>352</v>
      </c>
      <c r="H57" s="2"/>
      <c r="I57" s="2" t="s">
        <v>308</v>
      </c>
      <c r="J57" s="87"/>
      <c r="K57" s="88">
        <f t="shared" si="0"/>
        <v>2</v>
      </c>
      <c r="L57" s="89">
        <v>2</v>
      </c>
      <c r="M57" s="88">
        <f t="shared" si="1"/>
        <v>0</v>
      </c>
      <c r="N57" s="88">
        <f t="shared" si="2"/>
        <v>2</v>
      </c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1"/>
      <c r="AU57" s="30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2"/>
      <c r="BY57" s="92"/>
      <c r="BZ57" s="92"/>
      <c r="CA57" s="92"/>
      <c r="CB57" s="92"/>
      <c r="CC57" s="92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  <c r="CW57" s="92"/>
      <c r="CX57" s="92"/>
      <c r="CY57" s="92"/>
      <c r="CZ57" s="92"/>
      <c r="DA57" s="92"/>
      <c r="DB57" s="92"/>
      <c r="DC57" s="92"/>
      <c r="DD57" s="92"/>
      <c r="DE57" s="92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  <c r="DQ57" s="92"/>
      <c r="DR57" s="92"/>
      <c r="DS57" s="92"/>
      <c r="DT57" s="92"/>
      <c r="DU57" s="92"/>
      <c r="DV57" s="92"/>
      <c r="DW57" s="92"/>
      <c r="DX57" s="92"/>
      <c r="DY57" s="92"/>
      <c r="DZ57" s="92"/>
      <c r="EA57" s="92"/>
      <c r="EB57" s="92"/>
      <c r="EC57" s="92"/>
      <c r="ED57" s="92"/>
      <c r="EE57" s="92"/>
      <c r="EF57" s="92"/>
      <c r="EG57" s="92"/>
      <c r="EH57" s="92"/>
      <c r="EI57" s="92"/>
      <c r="EJ57" s="92"/>
      <c r="EK57" s="92"/>
      <c r="EL57" s="92"/>
      <c r="EM57" s="92"/>
      <c r="EN57" s="92"/>
      <c r="EO57" s="92"/>
      <c r="EP57" s="92"/>
      <c r="EQ57" s="92"/>
      <c r="ER57" s="92"/>
      <c r="ES57" s="92"/>
      <c r="ET57" s="92"/>
      <c r="EU57" s="92"/>
      <c r="EV57" s="92"/>
      <c r="EW57" s="92"/>
      <c r="EX57" s="92"/>
      <c r="EY57" s="92"/>
      <c r="EZ57" s="92"/>
      <c r="FA57" s="92"/>
      <c r="FB57" s="92"/>
      <c r="FC57" s="92"/>
      <c r="FD57" s="92"/>
      <c r="FE57" s="92"/>
      <c r="FF57" s="92"/>
      <c r="FG57" s="92"/>
      <c r="FH57" s="92"/>
      <c r="FI57" s="92"/>
      <c r="FJ57" s="92"/>
      <c r="FK57" s="92"/>
      <c r="FL57" s="92"/>
      <c r="FM57" s="92"/>
      <c r="FN57" s="92"/>
      <c r="FO57" s="92"/>
      <c r="FP57" s="92"/>
      <c r="FQ57" s="92"/>
      <c r="FR57" s="92"/>
      <c r="FS57" s="92"/>
      <c r="FT57" s="92"/>
      <c r="FU57" s="92"/>
      <c r="FV57" s="92"/>
      <c r="FW57" s="92"/>
      <c r="FX57" s="92"/>
      <c r="FY57" s="92"/>
      <c r="FZ57" s="92"/>
      <c r="GA57" s="92"/>
      <c r="GB57" s="92"/>
      <c r="GC57" s="92"/>
      <c r="GD57" s="92"/>
      <c r="GE57" s="92"/>
      <c r="GF57" s="92"/>
      <c r="GG57" s="92"/>
      <c r="GH57" s="92"/>
      <c r="GI57" s="92"/>
      <c r="GJ57" s="92"/>
      <c r="GK57" s="92"/>
      <c r="GL57" s="92"/>
      <c r="GM57" s="92"/>
      <c r="GN57" s="92"/>
      <c r="GO57" s="92"/>
      <c r="GP57" s="92"/>
      <c r="GQ57" s="92"/>
      <c r="GR57" s="92"/>
      <c r="GS57" s="92"/>
      <c r="GT57" s="92"/>
      <c r="GU57" s="92"/>
      <c r="GV57" s="92"/>
      <c r="GW57" s="92"/>
      <c r="GX57" s="92"/>
      <c r="GY57" s="92"/>
      <c r="GZ57" s="92"/>
      <c r="HA57" s="92"/>
      <c r="HB57" s="92"/>
      <c r="HC57" s="92"/>
      <c r="HD57" s="92"/>
      <c r="HE57" s="92"/>
      <c r="HF57" s="92"/>
      <c r="HG57" s="92"/>
      <c r="HH57" s="92"/>
      <c r="HI57" s="92"/>
      <c r="HJ57" s="92"/>
      <c r="HK57" s="92"/>
      <c r="HL57" s="92"/>
      <c r="HM57" s="92"/>
      <c r="HN57" s="92"/>
      <c r="HO57" s="92"/>
      <c r="HP57" s="92"/>
      <c r="HQ57" s="92"/>
      <c r="HR57" s="92"/>
      <c r="HS57" s="92"/>
      <c r="HT57" s="92"/>
      <c r="HU57" s="92"/>
      <c r="HV57" s="92"/>
      <c r="HW57" s="92"/>
      <c r="HX57" s="92"/>
      <c r="HY57" s="92"/>
      <c r="HZ57" s="92"/>
      <c r="IA57" s="92"/>
      <c r="IB57" s="92"/>
      <c r="IC57" s="92"/>
      <c r="ID57" s="92"/>
      <c r="IE57" s="92"/>
      <c r="IF57" s="92"/>
      <c r="IG57" s="92"/>
      <c r="IH57" s="92"/>
      <c r="II57" s="92"/>
      <c r="IJ57" s="92"/>
      <c r="IK57" s="92"/>
      <c r="IL57" s="92"/>
      <c r="IM57" s="92"/>
      <c r="IN57" s="92"/>
      <c r="IO57" s="92"/>
      <c r="IP57" s="92"/>
      <c r="IQ57" s="92"/>
      <c r="IR57" s="92"/>
      <c r="IS57" s="92"/>
      <c r="IT57" s="92"/>
      <c r="IU57" s="92"/>
      <c r="IV57" s="92"/>
      <c r="IW57" s="92"/>
      <c r="IX57" s="92"/>
      <c r="IY57" s="92"/>
    </row>
    <row r="58" spans="1:259" x14ac:dyDescent="0.3">
      <c r="A58" s="2" t="s">
        <v>208</v>
      </c>
      <c r="B58" s="2"/>
      <c r="C58" s="2"/>
      <c r="D58" s="2"/>
      <c r="E58" s="2" t="s">
        <v>351</v>
      </c>
      <c r="F58" s="2" t="s">
        <v>17</v>
      </c>
      <c r="G58" s="2" t="s">
        <v>352</v>
      </c>
      <c r="H58" s="2"/>
      <c r="I58" s="2" t="s">
        <v>392</v>
      </c>
      <c r="J58" s="87"/>
      <c r="K58" s="88">
        <f t="shared" si="0"/>
        <v>0</v>
      </c>
      <c r="L58" s="89">
        <v>0</v>
      </c>
      <c r="M58" s="88">
        <f t="shared" si="1"/>
        <v>0</v>
      </c>
      <c r="N58" s="88">
        <f t="shared" ref="N58" si="26">K58</f>
        <v>0</v>
      </c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1"/>
      <c r="AU58" s="30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92"/>
      <c r="CW58" s="92"/>
      <c r="CX58" s="92"/>
      <c r="CY58" s="92"/>
      <c r="CZ58" s="92"/>
      <c r="DA58" s="92"/>
      <c r="DB58" s="92"/>
      <c r="DC58" s="92"/>
      <c r="DD58" s="92"/>
      <c r="DE58" s="92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  <c r="DQ58" s="92"/>
      <c r="DR58" s="92"/>
      <c r="DS58" s="92"/>
      <c r="DT58" s="92"/>
      <c r="DU58" s="92"/>
      <c r="DV58" s="92"/>
      <c r="DW58" s="92"/>
      <c r="DX58" s="92"/>
      <c r="DY58" s="92"/>
      <c r="DZ58" s="92"/>
      <c r="EA58" s="92"/>
      <c r="EB58" s="92"/>
      <c r="EC58" s="92"/>
      <c r="ED58" s="92"/>
      <c r="EE58" s="92"/>
      <c r="EF58" s="92"/>
      <c r="EG58" s="92"/>
      <c r="EH58" s="92"/>
      <c r="EI58" s="92"/>
      <c r="EJ58" s="92"/>
      <c r="EK58" s="92"/>
      <c r="EL58" s="92"/>
      <c r="EM58" s="92"/>
      <c r="EN58" s="92"/>
      <c r="EO58" s="92"/>
      <c r="EP58" s="92"/>
      <c r="EQ58" s="92"/>
      <c r="ER58" s="92"/>
      <c r="ES58" s="92"/>
      <c r="ET58" s="92"/>
      <c r="EU58" s="92"/>
      <c r="EV58" s="92"/>
      <c r="EW58" s="92"/>
      <c r="EX58" s="92"/>
      <c r="EY58" s="92"/>
      <c r="EZ58" s="92"/>
      <c r="FA58" s="92"/>
      <c r="FB58" s="92"/>
      <c r="FC58" s="92"/>
      <c r="FD58" s="92"/>
      <c r="FE58" s="92"/>
      <c r="FF58" s="92"/>
      <c r="FG58" s="92"/>
      <c r="FH58" s="92"/>
      <c r="FI58" s="92"/>
      <c r="FJ58" s="92"/>
      <c r="FK58" s="92"/>
      <c r="FL58" s="92"/>
      <c r="FM58" s="92"/>
      <c r="FN58" s="92"/>
      <c r="FO58" s="92"/>
      <c r="FP58" s="92"/>
      <c r="FQ58" s="92"/>
      <c r="FR58" s="92"/>
      <c r="FS58" s="92"/>
      <c r="FT58" s="92"/>
      <c r="FU58" s="92"/>
      <c r="FV58" s="92"/>
      <c r="FW58" s="92"/>
      <c r="FX58" s="92"/>
      <c r="FY58" s="92"/>
      <c r="FZ58" s="92"/>
      <c r="GA58" s="92"/>
      <c r="GB58" s="92"/>
      <c r="GC58" s="92"/>
      <c r="GD58" s="92"/>
      <c r="GE58" s="92"/>
      <c r="GF58" s="92"/>
      <c r="GG58" s="92"/>
      <c r="GH58" s="92"/>
      <c r="GI58" s="92"/>
      <c r="GJ58" s="92"/>
      <c r="GK58" s="92"/>
      <c r="GL58" s="92"/>
      <c r="GM58" s="92"/>
      <c r="GN58" s="92"/>
      <c r="GO58" s="92"/>
      <c r="GP58" s="92"/>
      <c r="GQ58" s="92"/>
      <c r="GR58" s="92"/>
      <c r="GS58" s="92"/>
      <c r="GT58" s="92"/>
      <c r="GU58" s="92"/>
      <c r="GV58" s="92"/>
      <c r="GW58" s="92"/>
      <c r="GX58" s="92"/>
      <c r="GY58" s="92"/>
      <c r="GZ58" s="92"/>
      <c r="HA58" s="92"/>
      <c r="HB58" s="92"/>
      <c r="HC58" s="92"/>
      <c r="HD58" s="92"/>
      <c r="HE58" s="92"/>
      <c r="HF58" s="92"/>
      <c r="HG58" s="92"/>
      <c r="HH58" s="92"/>
      <c r="HI58" s="92"/>
      <c r="HJ58" s="92"/>
      <c r="HK58" s="92"/>
      <c r="HL58" s="92"/>
      <c r="HM58" s="92"/>
      <c r="HN58" s="92"/>
      <c r="HO58" s="92"/>
      <c r="HP58" s="92"/>
      <c r="HQ58" s="92"/>
      <c r="HR58" s="92"/>
      <c r="HS58" s="92"/>
      <c r="HT58" s="92"/>
      <c r="HU58" s="92"/>
      <c r="HV58" s="92"/>
      <c r="HW58" s="92"/>
      <c r="HX58" s="92"/>
      <c r="HY58" s="92"/>
      <c r="HZ58" s="92"/>
      <c r="IA58" s="92"/>
      <c r="IB58" s="92"/>
      <c r="IC58" s="92"/>
      <c r="ID58" s="92"/>
      <c r="IE58" s="92"/>
      <c r="IF58" s="92"/>
      <c r="IG58" s="92"/>
      <c r="IH58" s="92"/>
      <c r="II58" s="92"/>
      <c r="IJ58" s="92"/>
      <c r="IK58" s="92"/>
      <c r="IL58" s="92"/>
      <c r="IM58" s="92"/>
      <c r="IN58" s="92"/>
      <c r="IO58" s="92"/>
      <c r="IP58" s="92"/>
      <c r="IQ58" s="92"/>
      <c r="IR58" s="92"/>
      <c r="IS58" s="92"/>
      <c r="IT58" s="92"/>
      <c r="IU58" s="92"/>
      <c r="IV58" s="92"/>
      <c r="IW58" s="92"/>
      <c r="IX58" s="92"/>
      <c r="IY58" s="92"/>
    </row>
    <row r="59" spans="1:259" x14ac:dyDescent="0.3">
      <c r="A59" s="2" t="s">
        <v>208</v>
      </c>
      <c r="B59" s="2"/>
      <c r="C59" s="2"/>
      <c r="D59" s="2"/>
      <c r="E59" s="2" t="s">
        <v>351</v>
      </c>
      <c r="F59" s="2" t="s">
        <v>17</v>
      </c>
      <c r="G59" s="2" t="s">
        <v>393</v>
      </c>
      <c r="H59" s="2" t="s">
        <v>376</v>
      </c>
      <c r="I59" s="2" t="s">
        <v>401</v>
      </c>
      <c r="J59" s="87"/>
      <c r="K59" s="88">
        <f t="shared" si="0"/>
        <v>0</v>
      </c>
      <c r="L59" s="89">
        <v>0</v>
      </c>
      <c r="M59" s="88">
        <f t="shared" si="1"/>
        <v>0</v>
      </c>
      <c r="N59" s="88">
        <f t="shared" ref="N59:N69" si="27">K59</f>
        <v>0</v>
      </c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1"/>
      <c r="AU59" s="30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92"/>
      <c r="CW59" s="92"/>
      <c r="CX59" s="92"/>
      <c r="CY59" s="92"/>
      <c r="CZ59" s="92"/>
      <c r="DA59" s="92"/>
      <c r="DB59" s="92"/>
      <c r="DC59" s="92"/>
      <c r="DD59" s="92"/>
      <c r="DE59" s="92"/>
      <c r="DF59" s="92"/>
      <c r="DG59" s="92"/>
      <c r="DH59" s="92"/>
      <c r="DI59" s="92"/>
      <c r="DJ59" s="92"/>
      <c r="DK59" s="92"/>
      <c r="DL59" s="92"/>
      <c r="DM59" s="92"/>
      <c r="DN59" s="92"/>
      <c r="DO59" s="92"/>
      <c r="DP59" s="92"/>
      <c r="DQ59" s="92"/>
      <c r="DR59" s="92"/>
      <c r="DS59" s="92"/>
      <c r="DT59" s="92"/>
      <c r="DU59" s="92"/>
      <c r="DV59" s="92"/>
      <c r="DW59" s="92"/>
      <c r="DX59" s="92"/>
      <c r="DY59" s="92"/>
      <c r="DZ59" s="92"/>
      <c r="EA59" s="92"/>
      <c r="EB59" s="92"/>
      <c r="EC59" s="92"/>
      <c r="ED59" s="92"/>
      <c r="EE59" s="92"/>
      <c r="EF59" s="92"/>
      <c r="EG59" s="92"/>
      <c r="EH59" s="92"/>
      <c r="EI59" s="92"/>
      <c r="EJ59" s="92"/>
      <c r="EK59" s="92"/>
      <c r="EL59" s="92"/>
      <c r="EM59" s="92"/>
      <c r="EN59" s="92"/>
      <c r="EO59" s="92"/>
      <c r="EP59" s="92"/>
      <c r="EQ59" s="92"/>
      <c r="ER59" s="92"/>
      <c r="ES59" s="92"/>
      <c r="ET59" s="92"/>
      <c r="EU59" s="92"/>
      <c r="EV59" s="92"/>
      <c r="EW59" s="92"/>
      <c r="EX59" s="92"/>
      <c r="EY59" s="92"/>
      <c r="EZ59" s="92"/>
      <c r="FA59" s="92"/>
      <c r="FB59" s="92"/>
      <c r="FC59" s="92"/>
      <c r="FD59" s="92"/>
      <c r="FE59" s="92"/>
      <c r="FF59" s="92"/>
      <c r="FG59" s="92"/>
      <c r="FH59" s="92"/>
      <c r="FI59" s="92"/>
      <c r="FJ59" s="92"/>
      <c r="FK59" s="92"/>
      <c r="FL59" s="92"/>
      <c r="FM59" s="92"/>
      <c r="FN59" s="92"/>
      <c r="FO59" s="92"/>
      <c r="FP59" s="92"/>
      <c r="FQ59" s="92"/>
      <c r="FR59" s="92"/>
      <c r="FS59" s="92"/>
      <c r="FT59" s="92"/>
      <c r="FU59" s="92"/>
      <c r="FV59" s="92"/>
      <c r="FW59" s="92"/>
      <c r="FX59" s="92"/>
      <c r="FY59" s="92"/>
      <c r="FZ59" s="92"/>
      <c r="GA59" s="92"/>
      <c r="GB59" s="92"/>
      <c r="GC59" s="92"/>
      <c r="GD59" s="92"/>
      <c r="GE59" s="92"/>
      <c r="GF59" s="92"/>
      <c r="GG59" s="92"/>
      <c r="GH59" s="92"/>
      <c r="GI59" s="92"/>
      <c r="GJ59" s="92"/>
      <c r="GK59" s="92"/>
      <c r="GL59" s="92"/>
      <c r="GM59" s="92"/>
      <c r="GN59" s="92"/>
      <c r="GO59" s="92"/>
      <c r="GP59" s="92"/>
      <c r="GQ59" s="92"/>
      <c r="GR59" s="92"/>
      <c r="GS59" s="92"/>
      <c r="GT59" s="92"/>
      <c r="GU59" s="92"/>
      <c r="GV59" s="92"/>
      <c r="GW59" s="92"/>
      <c r="GX59" s="92"/>
      <c r="GY59" s="92"/>
      <c r="GZ59" s="92"/>
      <c r="HA59" s="92"/>
      <c r="HB59" s="92"/>
      <c r="HC59" s="92"/>
      <c r="HD59" s="92"/>
      <c r="HE59" s="92"/>
      <c r="HF59" s="92"/>
      <c r="HG59" s="92"/>
      <c r="HH59" s="92"/>
      <c r="HI59" s="92"/>
      <c r="HJ59" s="92"/>
      <c r="HK59" s="92"/>
      <c r="HL59" s="92"/>
      <c r="HM59" s="92"/>
      <c r="HN59" s="92"/>
      <c r="HO59" s="92"/>
      <c r="HP59" s="92"/>
      <c r="HQ59" s="92"/>
      <c r="HR59" s="92"/>
      <c r="HS59" s="92"/>
      <c r="HT59" s="92"/>
      <c r="HU59" s="92"/>
      <c r="HV59" s="92"/>
      <c r="HW59" s="92"/>
      <c r="HX59" s="92"/>
      <c r="HY59" s="92"/>
      <c r="HZ59" s="92"/>
      <c r="IA59" s="92"/>
      <c r="IB59" s="92"/>
      <c r="IC59" s="92"/>
      <c r="ID59" s="92"/>
      <c r="IE59" s="92"/>
      <c r="IF59" s="92"/>
      <c r="IG59" s="92"/>
      <c r="IH59" s="92"/>
      <c r="II59" s="92"/>
      <c r="IJ59" s="92"/>
      <c r="IK59" s="92"/>
      <c r="IL59" s="92"/>
      <c r="IM59" s="92"/>
      <c r="IN59" s="92"/>
      <c r="IO59" s="92"/>
      <c r="IP59" s="92"/>
      <c r="IQ59" s="92"/>
      <c r="IR59" s="92"/>
      <c r="IS59" s="92"/>
      <c r="IT59" s="92"/>
      <c r="IU59" s="92"/>
      <c r="IV59" s="92"/>
      <c r="IW59" s="92"/>
      <c r="IX59" s="92"/>
      <c r="IY59" s="92"/>
    </row>
    <row r="60" spans="1:259" x14ac:dyDescent="0.3">
      <c r="A60" s="2" t="s">
        <v>208</v>
      </c>
      <c r="B60" s="2"/>
      <c r="C60" s="2"/>
      <c r="D60" s="2"/>
      <c r="E60" s="2" t="s">
        <v>351</v>
      </c>
      <c r="F60" s="2" t="s">
        <v>17</v>
      </c>
      <c r="G60" s="2" t="s">
        <v>393</v>
      </c>
      <c r="H60" s="2" t="s">
        <v>377</v>
      </c>
      <c r="I60" s="2" t="s">
        <v>401</v>
      </c>
      <c r="J60" s="87"/>
      <c r="K60" s="88">
        <f t="shared" si="0"/>
        <v>0</v>
      </c>
      <c r="L60" s="89">
        <v>0</v>
      </c>
      <c r="M60" s="88">
        <f t="shared" si="1"/>
        <v>0</v>
      </c>
      <c r="N60" s="88">
        <f t="shared" si="27"/>
        <v>0</v>
      </c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1"/>
      <c r="AU60" s="30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2"/>
      <c r="BY60" s="92"/>
      <c r="BZ60" s="92"/>
      <c r="CA60" s="92"/>
      <c r="CB60" s="92"/>
      <c r="CC60" s="92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2"/>
      <c r="CO60" s="92"/>
      <c r="CP60" s="92"/>
      <c r="CQ60" s="92"/>
      <c r="CR60" s="92"/>
      <c r="CS60" s="92"/>
      <c r="CT60" s="92"/>
      <c r="CU60" s="92"/>
      <c r="CV60" s="92"/>
      <c r="CW60" s="92"/>
      <c r="CX60" s="92"/>
      <c r="CY60" s="92"/>
      <c r="CZ60" s="92"/>
      <c r="DA60" s="92"/>
      <c r="DB60" s="92"/>
      <c r="DC60" s="92"/>
      <c r="DD60" s="92"/>
      <c r="DE60" s="92"/>
      <c r="DF60" s="92"/>
      <c r="DG60" s="92"/>
      <c r="DH60" s="92"/>
      <c r="DI60" s="92"/>
      <c r="DJ60" s="92"/>
      <c r="DK60" s="92"/>
      <c r="DL60" s="92"/>
      <c r="DM60" s="92"/>
      <c r="DN60" s="92"/>
      <c r="DO60" s="92"/>
      <c r="DP60" s="92"/>
      <c r="DQ60" s="92"/>
      <c r="DR60" s="92"/>
      <c r="DS60" s="92"/>
      <c r="DT60" s="92"/>
      <c r="DU60" s="92"/>
      <c r="DV60" s="92"/>
      <c r="DW60" s="92"/>
      <c r="DX60" s="92"/>
      <c r="DY60" s="92"/>
      <c r="DZ60" s="92"/>
      <c r="EA60" s="92"/>
      <c r="EB60" s="92"/>
      <c r="EC60" s="92"/>
      <c r="ED60" s="92"/>
      <c r="EE60" s="92"/>
      <c r="EF60" s="92"/>
      <c r="EG60" s="92"/>
      <c r="EH60" s="92"/>
      <c r="EI60" s="92"/>
      <c r="EJ60" s="92"/>
      <c r="EK60" s="92"/>
      <c r="EL60" s="92"/>
      <c r="EM60" s="92"/>
      <c r="EN60" s="92"/>
      <c r="EO60" s="92"/>
      <c r="EP60" s="92"/>
      <c r="EQ60" s="92"/>
      <c r="ER60" s="92"/>
      <c r="ES60" s="92"/>
      <c r="ET60" s="92"/>
      <c r="EU60" s="92"/>
      <c r="EV60" s="92"/>
      <c r="EW60" s="92"/>
      <c r="EX60" s="92"/>
      <c r="EY60" s="92"/>
      <c r="EZ60" s="92"/>
      <c r="FA60" s="92"/>
      <c r="FB60" s="92"/>
      <c r="FC60" s="92"/>
      <c r="FD60" s="92"/>
      <c r="FE60" s="92"/>
      <c r="FF60" s="92"/>
      <c r="FG60" s="92"/>
      <c r="FH60" s="92"/>
      <c r="FI60" s="92"/>
      <c r="FJ60" s="92"/>
      <c r="FK60" s="92"/>
      <c r="FL60" s="92"/>
      <c r="FM60" s="92"/>
      <c r="FN60" s="92"/>
      <c r="FO60" s="92"/>
      <c r="FP60" s="92"/>
      <c r="FQ60" s="92"/>
      <c r="FR60" s="92"/>
      <c r="FS60" s="92"/>
      <c r="FT60" s="92"/>
      <c r="FU60" s="92"/>
      <c r="FV60" s="92"/>
      <c r="FW60" s="92"/>
      <c r="FX60" s="92"/>
      <c r="FY60" s="92"/>
      <c r="FZ60" s="92"/>
      <c r="GA60" s="92"/>
      <c r="GB60" s="92"/>
      <c r="GC60" s="92"/>
      <c r="GD60" s="92"/>
      <c r="GE60" s="92"/>
      <c r="GF60" s="92"/>
      <c r="GG60" s="92"/>
      <c r="GH60" s="92"/>
      <c r="GI60" s="92"/>
      <c r="GJ60" s="92"/>
      <c r="GK60" s="92"/>
      <c r="GL60" s="92"/>
      <c r="GM60" s="92"/>
      <c r="GN60" s="92"/>
      <c r="GO60" s="92"/>
      <c r="GP60" s="92"/>
      <c r="GQ60" s="92"/>
      <c r="GR60" s="92"/>
      <c r="GS60" s="92"/>
      <c r="GT60" s="92"/>
      <c r="GU60" s="92"/>
      <c r="GV60" s="92"/>
      <c r="GW60" s="92"/>
      <c r="GX60" s="92"/>
      <c r="GY60" s="92"/>
      <c r="GZ60" s="92"/>
      <c r="HA60" s="92"/>
      <c r="HB60" s="92"/>
      <c r="HC60" s="92"/>
      <c r="HD60" s="92"/>
      <c r="HE60" s="92"/>
      <c r="HF60" s="92"/>
      <c r="HG60" s="92"/>
      <c r="HH60" s="92"/>
      <c r="HI60" s="92"/>
      <c r="HJ60" s="92"/>
      <c r="HK60" s="92"/>
      <c r="HL60" s="92"/>
      <c r="HM60" s="92"/>
      <c r="HN60" s="92"/>
      <c r="HO60" s="92"/>
      <c r="HP60" s="92"/>
      <c r="HQ60" s="92"/>
      <c r="HR60" s="92"/>
      <c r="HS60" s="92"/>
      <c r="HT60" s="92"/>
      <c r="HU60" s="92"/>
      <c r="HV60" s="92"/>
      <c r="HW60" s="92"/>
      <c r="HX60" s="92"/>
      <c r="HY60" s="92"/>
      <c r="HZ60" s="92"/>
      <c r="IA60" s="92"/>
      <c r="IB60" s="92"/>
      <c r="IC60" s="92"/>
      <c r="ID60" s="92"/>
      <c r="IE60" s="92"/>
      <c r="IF60" s="92"/>
      <c r="IG60" s="92"/>
      <c r="IH60" s="92"/>
      <c r="II60" s="92"/>
      <c r="IJ60" s="92"/>
      <c r="IK60" s="92"/>
      <c r="IL60" s="92"/>
      <c r="IM60" s="92"/>
      <c r="IN60" s="92"/>
      <c r="IO60" s="92"/>
      <c r="IP60" s="92"/>
      <c r="IQ60" s="92"/>
      <c r="IR60" s="92"/>
      <c r="IS60" s="92"/>
      <c r="IT60" s="92"/>
      <c r="IU60" s="92"/>
      <c r="IV60" s="92"/>
      <c r="IW60" s="92"/>
      <c r="IX60" s="92"/>
      <c r="IY60" s="92"/>
    </row>
    <row r="61" spans="1:259" x14ac:dyDescent="0.3">
      <c r="A61" s="2" t="s">
        <v>208</v>
      </c>
      <c r="B61" s="2"/>
      <c r="C61" s="2"/>
      <c r="D61" s="2"/>
      <c r="E61" s="2" t="s">
        <v>351</v>
      </c>
      <c r="F61" s="2" t="s">
        <v>17</v>
      </c>
      <c r="G61" s="2" t="s">
        <v>393</v>
      </c>
      <c r="H61" s="2" t="s">
        <v>378</v>
      </c>
      <c r="I61" s="2" t="s">
        <v>401</v>
      </c>
      <c r="J61" s="87"/>
      <c r="K61" s="88">
        <f t="shared" si="0"/>
        <v>0</v>
      </c>
      <c r="L61" s="89">
        <v>0</v>
      </c>
      <c r="M61" s="88">
        <f t="shared" si="1"/>
        <v>0</v>
      </c>
      <c r="N61" s="88">
        <f t="shared" si="27"/>
        <v>0</v>
      </c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1"/>
      <c r="AU61" s="30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92"/>
      <c r="CW61" s="92"/>
      <c r="CX61" s="92"/>
      <c r="CY61" s="92"/>
      <c r="CZ61" s="92"/>
      <c r="DA61" s="92"/>
      <c r="DB61" s="92"/>
      <c r="DC61" s="92"/>
      <c r="DD61" s="92"/>
      <c r="DE61" s="92"/>
      <c r="DF61" s="92"/>
      <c r="DG61" s="92"/>
      <c r="DH61" s="92"/>
      <c r="DI61" s="92"/>
      <c r="DJ61" s="92"/>
      <c r="DK61" s="92"/>
      <c r="DL61" s="92"/>
      <c r="DM61" s="92"/>
      <c r="DN61" s="92"/>
      <c r="DO61" s="92"/>
      <c r="DP61" s="92"/>
      <c r="DQ61" s="92"/>
      <c r="DR61" s="92"/>
      <c r="DS61" s="92"/>
      <c r="DT61" s="92"/>
      <c r="DU61" s="92"/>
      <c r="DV61" s="92"/>
      <c r="DW61" s="92"/>
      <c r="DX61" s="92"/>
      <c r="DY61" s="92"/>
      <c r="DZ61" s="92"/>
      <c r="EA61" s="92"/>
      <c r="EB61" s="92"/>
      <c r="EC61" s="92"/>
      <c r="ED61" s="92"/>
      <c r="EE61" s="92"/>
      <c r="EF61" s="92"/>
      <c r="EG61" s="92"/>
      <c r="EH61" s="92"/>
      <c r="EI61" s="92"/>
      <c r="EJ61" s="92"/>
      <c r="EK61" s="92"/>
      <c r="EL61" s="92"/>
      <c r="EM61" s="92"/>
      <c r="EN61" s="92"/>
      <c r="EO61" s="92"/>
      <c r="EP61" s="92"/>
      <c r="EQ61" s="92"/>
      <c r="ER61" s="92"/>
      <c r="ES61" s="92"/>
      <c r="ET61" s="92"/>
      <c r="EU61" s="92"/>
      <c r="EV61" s="92"/>
      <c r="EW61" s="92"/>
      <c r="EX61" s="92"/>
      <c r="EY61" s="92"/>
      <c r="EZ61" s="92"/>
      <c r="FA61" s="92"/>
      <c r="FB61" s="92"/>
      <c r="FC61" s="92"/>
      <c r="FD61" s="92"/>
      <c r="FE61" s="92"/>
      <c r="FF61" s="92"/>
      <c r="FG61" s="92"/>
      <c r="FH61" s="92"/>
      <c r="FI61" s="92"/>
      <c r="FJ61" s="92"/>
      <c r="FK61" s="92"/>
      <c r="FL61" s="92"/>
      <c r="FM61" s="92"/>
      <c r="FN61" s="92"/>
      <c r="FO61" s="92"/>
      <c r="FP61" s="92"/>
      <c r="FQ61" s="92"/>
      <c r="FR61" s="92"/>
      <c r="FS61" s="92"/>
      <c r="FT61" s="92"/>
      <c r="FU61" s="92"/>
      <c r="FV61" s="92"/>
      <c r="FW61" s="92"/>
      <c r="FX61" s="92"/>
      <c r="FY61" s="92"/>
      <c r="FZ61" s="92"/>
      <c r="GA61" s="92"/>
      <c r="GB61" s="92"/>
      <c r="GC61" s="92"/>
      <c r="GD61" s="92"/>
      <c r="GE61" s="92"/>
      <c r="GF61" s="92"/>
      <c r="GG61" s="92"/>
      <c r="GH61" s="92"/>
      <c r="GI61" s="92"/>
      <c r="GJ61" s="92"/>
      <c r="GK61" s="92"/>
      <c r="GL61" s="92"/>
      <c r="GM61" s="92"/>
      <c r="GN61" s="92"/>
      <c r="GO61" s="92"/>
      <c r="GP61" s="92"/>
      <c r="GQ61" s="92"/>
      <c r="GR61" s="92"/>
      <c r="GS61" s="92"/>
      <c r="GT61" s="92"/>
      <c r="GU61" s="92"/>
      <c r="GV61" s="92"/>
      <c r="GW61" s="92"/>
      <c r="GX61" s="92"/>
      <c r="GY61" s="92"/>
      <c r="GZ61" s="92"/>
      <c r="HA61" s="92"/>
      <c r="HB61" s="92"/>
      <c r="HC61" s="92"/>
      <c r="HD61" s="92"/>
      <c r="HE61" s="92"/>
      <c r="HF61" s="92"/>
      <c r="HG61" s="92"/>
      <c r="HH61" s="92"/>
      <c r="HI61" s="92"/>
      <c r="HJ61" s="92"/>
      <c r="HK61" s="92"/>
      <c r="HL61" s="92"/>
      <c r="HM61" s="92"/>
      <c r="HN61" s="92"/>
      <c r="HO61" s="92"/>
      <c r="HP61" s="92"/>
      <c r="HQ61" s="92"/>
      <c r="HR61" s="92"/>
      <c r="HS61" s="92"/>
      <c r="HT61" s="92"/>
      <c r="HU61" s="92"/>
      <c r="HV61" s="92"/>
      <c r="HW61" s="92"/>
      <c r="HX61" s="92"/>
      <c r="HY61" s="92"/>
      <c r="HZ61" s="92"/>
      <c r="IA61" s="92"/>
      <c r="IB61" s="92"/>
      <c r="IC61" s="92"/>
      <c r="ID61" s="92"/>
      <c r="IE61" s="92"/>
      <c r="IF61" s="92"/>
      <c r="IG61" s="92"/>
      <c r="IH61" s="92"/>
      <c r="II61" s="92"/>
      <c r="IJ61" s="92"/>
      <c r="IK61" s="92"/>
      <c r="IL61" s="92"/>
      <c r="IM61" s="92"/>
      <c r="IN61" s="92"/>
      <c r="IO61" s="92"/>
      <c r="IP61" s="92"/>
      <c r="IQ61" s="92"/>
      <c r="IR61" s="92"/>
      <c r="IS61" s="92"/>
      <c r="IT61" s="92"/>
      <c r="IU61" s="92"/>
      <c r="IV61" s="92"/>
      <c r="IW61" s="92"/>
      <c r="IX61" s="92"/>
      <c r="IY61" s="92"/>
    </row>
    <row r="62" spans="1:259" x14ac:dyDescent="0.3">
      <c r="A62" s="2" t="s">
        <v>208</v>
      </c>
      <c r="B62" s="2"/>
      <c r="C62" s="2"/>
      <c r="D62" s="2"/>
      <c r="E62" s="2" t="s">
        <v>351</v>
      </c>
      <c r="F62" s="2" t="s">
        <v>17</v>
      </c>
      <c r="G62" s="2" t="s">
        <v>393</v>
      </c>
      <c r="H62" s="2" t="s">
        <v>379</v>
      </c>
      <c r="I62" s="7" t="s">
        <v>404</v>
      </c>
      <c r="J62" s="87"/>
      <c r="K62" s="88">
        <f t="shared" si="0"/>
        <v>0</v>
      </c>
      <c r="L62" s="89">
        <v>0</v>
      </c>
      <c r="M62" s="88">
        <f t="shared" si="1"/>
        <v>0</v>
      </c>
      <c r="N62" s="88">
        <f t="shared" si="27"/>
        <v>0</v>
      </c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1"/>
      <c r="AU62" s="30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2"/>
      <c r="CO62" s="92"/>
      <c r="CP62" s="92"/>
      <c r="CQ62" s="92"/>
      <c r="CR62" s="92"/>
      <c r="CS62" s="92"/>
      <c r="CT62" s="92"/>
      <c r="CU62" s="92"/>
      <c r="CV62" s="92"/>
      <c r="CW62" s="92"/>
      <c r="CX62" s="92"/>
      <c r="CY62" s="92"/>
      <c r="CZ62" s="92"/>
      <c r="DA62" s="92"/>
      <c r="DB62" s="92"/>
      <c r="DC62" s="92"/>
      <c r="DD62" s="92"/>
      <c r="DE62" s="92"/>
      <c r="DF62" s="92"/>
      <c r="DG62" s="92"/>
      <c r="DH62" s="92"/>
      <c r="DI62" s="92"/>
      <c r="DJ62" s="92"/>
      <c r="DK62" s="92"/>
      <c r="DL62" s="92"/>
      <c r="DM62" s="92"/>
      <c r="DN62" s="92"/>
      <c r="DO62" s="92"/>
      <c r="DP62" s="92"/>
      <c r="DQ62" s="92"/>
      <c r="DR62" s="92"/>
      <c r="DS62" s="92"/>
      <c r="DT62" s="92"/>
      <c r="DU62" s="92"/>
      <c r="DV62" s="92"/>
      <c r="DW62" s="92"/>
      <c r="DX62" s="92"/>
      <c r="DY62" s="92"/>
      <c r="DZ62" s="92"/>
      <c r="EA62" s="92"/>
      <c r="EB62" s="92"/>
      <c r="EC62" s="92"/>
      <c r="ED62" s="92"/>
      <c r="EE62" s="92"/>
      <c r="EF62" s="92"/>
      <c r="EG62" s="92"/>
      <c r="EH62" s="92"/>
      <c r="EI62" s="92"/>
      <c r="EJ62" s="92"/>
      <c r="EK62" s="92"/>
      <c r="EL62" s="92"/>
      <c r="EM62" s="92"/>
      <c r="EN62" s="92"/>
      <c r="EO62" s="92"/>
      <c r="EP62" s="92"/>
      <c r="EQ62" s="92"/>
      <c r="ER62" s="92"/>
      <c r="ES62" s="92"/>
      <c r="ET62" s="92"/>
      <c r="EU62" s="92"/>
      <c r="EV62" s="92"/>
      <c r="EW62" s="92"/>
      <c r="EX62" s="92"/>
      <c r="EY62" s="92"/>
      <c r="EZ62" s="92"/>
      <c r="FA62" s="92"/>
      <c r="FB62" s="92"/>
      <c r="FC62" s="92"/>
      <c r="FD62" s="92"/>
      <c r="FE62" s="92"/>
      <c r="FF62" s="92"/>
      <c r="FG62" s="92"/>
      <c r="FH62" s="92"/>
      <c r="FI62" s="92"/>
      <c r="FJ62" s="92"/>
      <c r="FK62" s="92"/>
      <c r="FL62" s="92"/>
      <c r="FM62" s="92"/>
      <c r="FN62" s="92"/>
      <c r="FO62" s="92"/>
      <c r="FP62" s="92"/>
      <c r="FQ62" s="92"/>
      <c r="FR62" s="92"/>
      <c r="FS62" s="92"/>
      <c r="FT62" s="92"/>
      <c r="FU62" s="92"/>
      <c r="FV62" s="92"/>
      <c r="FW62" s="92"/>
      <c r="FX62" s="92"/>
      <c r="FY62" s="92"/>
      <c r="FZ62" s="92"/>
      <c r="GA62" s="92"/>
      <c r="GB62" s="92"/>
      <c r="GC62" s="92"/>
      <c r="GD62" s="92"/>
      <c r="GE62" s="92"/>
      <c r="GF62" s="92"/>
      <c r="GG62" s="92"/>
      <c r="GH62" s="92"/>
      <c r="GI62" s="92"/>
      <c r="GJ62" s="92"/>
      <c r="GK62" s="92"/>
      <c r="GL62" s="92"/>
      <c r="GM62" s="92"/>
      <c r="GN62" s="92"/>
      <c r="GO62" s="92"/>
      <c r="GP62" s="92"/>
      <c r="GQ62" s="92"/>
      <c r="GR62" s="92"/>
      <c r="GS62" s="92"/>
      <c r="GT62" s="92"/>
      <c r="GU62" s="92"/>
      <c r="GV62" s="92"/>
      <c r="GW62" s="92"/>
      <c r="GX62" s="92"/>
      <c r="GY62" s="92"/>
      <c r="GZ62" s="92"/>
      <c r="HA62" s="92"/>
      <c r="HB62" s="92"/>
      <c r="HC62" s="92"/>
      <c r="HD62" s="92"/>
      <c r="HE62" s="92"/>
      <c r="HF62" s="92"/>
      <c r="HG62" s="92"/>
      <c r="HH62" s="92"/>
      <c r="HI62" s="92"/>
      <c r="HJ62" s="92"/>
      <c r="HK62" s="92"/>
      <c r="HL62" s="92"/>
      <c r="HM62" s="92"/>
      <c r="HN62" s="92"/>
      <c r="HO62" s="92"/>
      <c r="HP62" s="92"/>
      <c r="HQ62" s="92"/>
      <c r="HR62" s="92"/>
      <c r="HS62" s="92"/>
      <c r="HT62" s="92"/>
      <c r="HU62" s="92"/>
      <c r="HV62" s="92"/>
      <c r="HW62" s="92"/>
      <c r="HX62" s="92"/>
      <c r="HY62" s="92"/>
      <c r="HZ62" s="92"/>
      <c r="IA62" s="92"/>
      <c r="IB62" s="92"/>
      <c r="IC62" s="92"/>
      <c r="ID62" s="92"/>
      <c r="IE62" s="92"/>
      <c r="IF62" s="92"/>
      <c r="IG62" s="92"/>
      <c r="IH62" s="92"/>
      <c r="II62" s="92"/>
      <c r="IJ62" s="92"/>
      <c r="IK62" s="92"/>
      <c r="IL62" s="92"/>
      <c r="IM62" s="92"/>
      <c r="IN62" s="92"/>
      <c r="IO62" s="92"/>
      <c r="IP62" s="92"/>
      <c r="IQ62" s="92"/>
      <c r="IR62" s="92"/>
      <c r="IS62" s="92"/>
      <c r="IT62" s="92"/>
      <c r="IU62" s="92"/>
      <c r="IV62" s="92"/>
      <c r="IW62" s="92"/>
      <c r="IX62" s="92"/>
      <c r="IY62" s="92"/>
    </row>
    <row r="63" spans="1:259" x14ac:dyDescent="0.3">
      <c r="A63" s="2" t="s">
        <v>208</v>
      </c>
      <c r="B63" s="2"/>
      <c r="C63" s="2"/>
      <c r="D63" s="2"/>
      <c r="E63" s="2" t="s">
        <v>351</v>
      </c>
      <c r="F63" s="2" t="s">
        <v>17</v>
      </c>
      <c r="G63" s="2" t="s">
        <v>393</v>
      </c>
      <c r="H63" s="2" t="s">
        <v>380</v>
      </c>
      <c r="I63" s="2" t="s">
        <v>392</v>
      </c>
      <c r="J63" s="87"/>
      <c r="K63" s="88">
        <f t="shared" si="0"/>
        <v>0</v>
      </c>
      <c r="L63" s="89">
        <v>0</v>
      </c>
      <c r="M63" s="88">
        <f t="shared" si="1"/>
        <v>0</v>
      </c>
      <c r="N63" s="88">
        <f t="shared" si="27"/>
        <v>0</v>
      </c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1"/>
      <c r="AU63" s="30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2"/>
      <c r="CO63" s="92"/>
      <c r="CP63" s="92"/>
      <c r="CQ63" s="92"/>
      <c r="CR63" s="92"/>
      <c r="CS63" s="92"/>
      <c r="CT63" s="92"/>
      <c r="CU63" s="92"/>
      <c r="CV63" s="92"/>
      <c r="CW63" s="92"/>
      <c r="CX63" s="92"/>
      <c r="CY63" s="92"/>
      <c r="CZ63" s="92"/>
      <c r="DA63" s="92"/>
      <c r="DB63" s="92"/>
      <c r="DC63" s="92"/>
      <c r="DD63" s="92"/>
      <c r="DE63" s="92"/>
      <c r="DF63" s="92"/>
      <c r="DG63" s="92"/>
      <c r="DH63" s="92"/>
      <c r="DI63" s="92"/>
      <c r="DJ63" s="92"/>
      <c r="DK63" s="92"/>
      <c r="DL63" s="92"/>
      <c r="DM63" s="92"/>
      <c r="DN63" s="92"/>
      <c r="DO63" s="92"/>
      <c r="DP63" s="92"/>
      <c r="DQ63" s="92"/>
      <c r="DR63" s="92"/>
      <c r="DS63" s="92"/>
      <c r="DT63" s="92"/>
      <c r="DU63" s="92"/>
      <c r="DV63" s="92"/>
      <c r="DW63" s="92"/>
      <c r="DX63" s="92"/>
      <c r="DY63" s="92"/>
      <c r="DZ63" s="92"/>
      <c r="EA63" s="92"/>
      <c r="EB63" s="92"/>
      <c r="EC63" s="92"/>
      <c r="ED63" s="92"/>
      <c r="EE63" s="92"/>
      <c r="EF63" s="92"/>
      <c r="EG63" s="92"/>
      <c r="EH63" s="92"/>
      <c r="EI63" s="92"/>
      <c r="EJ63" s="92"/>
      <c r="EK63" s="92"/>
      <c r="EL63" s="92"/>
      <c r="EM63" s="92"/>
      <c r="EN63" s="92"/>
      <c r="EO63" s="92"/>
      <c r="EP63" s="92"/>
      <c r="EQ63" s="92"/>
      <c r="ER63" s="92"/>
      <c r="ES63" s="92"/>
      <c r="ET63" s="92"/>
      <c r="EU63" s="92"/>
      <c r="EV63" s="92"/>
      <c r="EW63" s="92"/>
      <c r="EX63" s="92"/>
      <c r="EY63" s="92"/>
      <c r="EZ63" s="92"/>
      <c r="FA63" s="92"/>
      <c r="FB63" s="92"/>
      <c r="FC63" s="92"/>
      <c r="FD63" s="92"/>
      <c r="FE63" s="92"/>
      <c r="FF63" s="92"/>
      <c r="FG63" s="92"/>
      <c r="FH63" s="92"/>
      <c r="FI63" s="92"/>
      <c r="FJ63" s="92"/>
      <c r="FK63" s="92"/>
      <c r="FL63" s="92"/>
      <c r="FM63" s="92"/>
      <c r="FN63" s="92"/>
      <c r="FO63" s="92"/>
      <c r="FP63" s="92"/>
      <c r="FQ63" s="92"/>
      <c r="FR63" s="92"/>
      <c r="FS63" s="92"/>
      <c r="FT63" s="92"/>
      <c r="FU63" s="92"/>
      <c r="FV63" s="92"/>
      <c r="FW63" s="92"/>
      <c r="FX63" s="92"/>
      <c r="FY63" s="92"/>
      <c r="FZ63" s="92"/>
      <c r="GA63" s="92"/>
      <c r="GB63" s="92"/>
      <c r="GC63" s="92"/>
      <c r="GD63" s="92"/>
      <c r="GE63" s="92"/>
      <c r="GF63" s="92"/>
      <c r="GG63" s="92"/>
      <c r="GH63" s="92"/>
      <c r="GI63" s="92"/>
      <c r="GJ63" s="92"/>
      <c r="GK63" s="92"/>
      <c r="GL63" s="92"/>
      <c r="GM63" s="92"/>
      <c r="GN63" s="92"/>
      <c r="GO63" s="92"/>
      <c r="GP63" s="92"/>
      <c r="GQ63" s="92"/>
      <c r="GR63" s="92"/>
      <c r="GS63" s="92"/>
      <c r="GT63" s="92"/>
      <c r="GU63" s="92"/>
      <c r="GV63" s="92"/>
      <c r="GW63" s="92"/>
      <c r="GX63" s="92"/>
      <c r="GY63" s="92"/>
      <c r="GZ63" s="92"/>
      <c r="HA63" s="92"/>
      <c r="HB63" s="92"/>
      <c r="HC63" s="92"/>
      <c r="HD63" s="92"/>
      <c r="HE63" s="92"/>
      <c r="HF63" s="92"/>
      <c r="HG63" s="92"/>
      <c r="HH63" s="92"/>
      <c r="HI63" s="92"/>
      <c r="HJ63" s="92"/>
      <c r="HK63" s="92"/>
      <c r="HL63" s="92"/>
      <c r="HM63" s="92"/>
      <c r="HN63" s="92"/>
      <c r="HO63" s="92"/>
      <c r="HP63" s="92"/>
      <c r="HQ63" s="92"/>
      <c r="HR63" s="92"/>
      <c r="HS63" s="92"/>
      <c r="HT63" s="92"/>
      <c r="HU63" s="92"/>
      <c r="HV63" s="92"/>
      <c r="HW63" s="92"/>
      <c r="HX63" s="92"/>
      <c r="HY63" s="92"/>
      <c r="HZ63" s="92"/>
      <c r="IA63" s="92"/>
      <c r="IB63" s="92"/>
      <c r="IC63" s="92"/>
      <c r="ID63" s="92"/>
      <c r="IE63" s="92"/>
      <c r="IF63" s="92"/>
      <c r="IG63" s="92"/>
      <c r="IH63" s="92"/>
      <c r="II63" s="92"/>
      <c r="IJ63" s="92"/>
      <c r="IK63" s="92"/>
      <c r="IL63" s="92"/>
      <c r="IM63" s="92"/>
      <c r="IN63" s="92"/>
      <c r="IO63" s="92"/>
      <c r="IP63" s="92"/>
      <c r="IQ63" s="92"/>
      <c r="IR63" s="92"/>
      <c r="IS63" s="92"/>
      <c r="IT63" s="92"/>
      <c r="IU63" s="92"/>
      <c r="IV63" s="92"/>
      <c r="IW63" s="92"/>
      <c r="IX63" s="92"/>
      <c r="IY63" s="92"/>
    </row>
    <row r="64" spans="1:259" x14ac:dyDescent="0.3">
      <c r="A64" s="2" t="s">
        <v>208</v>
      </c>
      <c r="B64" s="2"/>
      <c r="C64" s="2"/>
      <c r="D64" s="2"/>
      <c r="E64" s="2" t="s">
        <v>351</v>
      </c>
      <c r="F64" s="2" t="s">
        <v>17</v>
      </c>
      <c r="G64" s="2" t="s">
        <v>393</v>
      </c>
      <c r="H64" s="2" t="s">
        <v>381</v>
      </c>
      <c r="I64" s="2" t="s">
        <v>439</v>
      </c>
      <c r="J64" s="87"/>
      <c r="K64" s="88">
        <f t="shared" si="0"/>
        <v>0</v>
      </c>
      <c r="L64" s="89">
        <v>0</v>
      </c>
      <c r="M64" s="88">
        <f t="shared" si="1"/>
        <v>0</v>
      </c>
      <c r="N64" s="88">
        <f t="shared" si="27"/>
        <v>0</v>
      </c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1"/>
      <c r="AU64" s="30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  <c r="CV64" s="92"/>
      <c r="CW64" s="92"/>
      <c r="CX64" s="92"/>
      <c r="CY64" s="92"/>
      <c r="CZ64" s="92"/>
      <c r="DA64" s="92"/>
      <c r="DB64" s="92"/>
      <c r="DC64" s="92"/>
      <c r="DD64" s="92"/>
      <c r="DE64" s="92"/>
      <c r="DF64" s="92"/>
      <c r="DG64" s="92"/>
      <c r="DH64" s="92"/>
      <c r="DI64" s="92"/>
      <c r="DJ64" s="92"/>
      <c r="DK64" s="92"/>
      <c r="DL64" s="92"/>
      <c r="DM64" s="92"/>
      <c r="DN64" s="92"/>
      <c r="DO64" s="92"/>
      <c r="DP64" s="92"/>
      <c r="DQ64" s="92"/>
      <c r="DR64" s="92"/>
      <c r="DS64" s="92"/>
      <c r="DT64" s="92"/>
      <c r="DU64" s="92"/>
      <c r="DV64" s="92"/>
      <c r="DW64" s="92"/>
      <c r="DX64" s="92"/>
      <c r="DY64" s="92"/>
      <c r="DZ64" s="92"/>
      <c r="EA64" s="92"/>
      <c r="EB64" s="92"/>
      <c r="EC64" s="92"/>
      <c r="ED64" s="92"/>
      <c r="EE64" s="92"/>
      <c r="EF64" s="92"/>
      <c r="EG64" s="92"/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2"/>
      <c r="ET64" s="92"/>
      <c r="EU64" s="92"/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2"/>
      <c r="FH64" s="92"/>
      <c r="FI64" s="92"/>
      <c r="FJ64" s="92"/>
      <c r="FK64" s="92"/>
      <c r="FL64" s="92"/>
      <c r="FM64" s="92"/>
      <c r="FN64" s="92"/>
      <c r="FO64" s="92"/>
      <c r="FP64" s="92"/>
      <c r="FQ64" s="92"/>
      <c r="FR64" s="92"/>
      <c r="FS64" s="92"/>
      <c r="FT64" s="92"/>
      <c r="FU64" s="92"/>
      <c r="FV64" s="92"/>
      <c r="FW64" s="92"/>
      <c r="FX64" s="92"/>
      <c r="FY64" s="92"/>
      <c r="FZ64" s="92"/>
      <c r="GA64" s="92"/>
      <c r="GB64" s="92"/>
      <c r="GC64" s="92"/>
      <c r="GD64" s="92"/>
      <c r="GE64" s="92"/>
      <c r="GF64" s="92"/>
      <c r="GG64" s="92"/>
      <c r="GH64" s="92"/>
      <c r="GI64" s="92"/>
      <c r="GJ64" s="92"/>
      <c r="GK64" s="92"/>
      <c r="GL64" s="92"/>
      <c r="GM64" s="92"/>
      <c r="GN64" s="92"/>
      <c r="GO64" s="92"/>
      <c r="GP64" s="92"/>
      <c r="GQ64" s="92"/>
      <c r="GR64" s="92"/>
      <c r="GS64" s="92"/>
      <c r="GT64" s="92"/>
      <c r="GU64" s="92"/>
      <c r="GV64" s="92"/>
      <c r="GW64" s="92"/>
      <c r="GX64" s="92"/>
      <c r="GY64" s="92"/>
      <c r="GZ64" s="92"/>
      <c r="HA64" s="92"/>
      <c r="HB64" s="92"/>
      <c r="HC64" s="92"/>
      <c r="HD64" s="92"/>
      <c r="HE64" s="92"/>
      <c r="HF64" s="92"/>
      <c r="HG64" s="92"/>
      <c r="HH64" s="92"/>
      <c r="HI64" s="92"/>
      <c r="HJ64" s="92"/>
      <c r="HK64" s="92"/>
      <c r="HL64" s="92"/>
      <c r="HM64" s="92"/>
      <c r="HN64" s="92"/>
      <c r="HO64" s="92"/>
      <c r="HP64" s="92"/>
      <c r="HQ64" s="92"/>
      <c r="HR64" s="92"/>
      <c r="HS64" s="92"/>
      <c r="HT64" s="92"/>
      <c r="HU64" s="92"/>
      <c r="HV64" s="92"/>
      <c r="HW64" s="92"/>
      <c r="HX64" s="92"/>
      <c r="HY64" s="92"/>
      <c r="HZ64" s="92"/>
      <c r="IA64" s="92"/>
      <c r="IB64" s="92"/>
      <c r="IC64" s="92"/>
      <c r="ID64" s="92"/>
      <c r="IE64" s="92"/>
      <c r="IF64" s="92"/>
      <c r="IG64" s="92"/>
      <c r="IH64" s="92"/>
      <c r="II64" s="92"/>
      <c r="IJ64" s="92"/>
      <c r="IK64" s="92"/>
      <c r="IL64" s="92"/>
      <c r="IM64" s="92"/>
      <c r="IN64" s="92"/>
      <c r="IO64" s="92"/>
      <c r="IP64" s="92"/>
      <c r="IQ64" s="92"/>
      <c r="IR64" s="92"/>
      <c r="IS64" s="92"/>
      <c r="IT64" s="92"/>
      <c r="IU64" s="92"/>
      <c r="IV64" s="92"/>
      <c r="IW64" s="92"/>
      <c r="IX64" s="92"/>
      <c r="IY64" s="92"/>
    </row>
    <row r="65" spans="1:259" x14ac:dyDescent="0.3">
      <c r="A65" s="2" t="s">
        <v>208</v>
      </c>
      <c r="B65" s="2"/>
      <c r="C65" s="2"/>
      <c r="D65" s="2"/>
      <c r="E65" s="2" t="s">
        <v>351</v>
      </c>
      <c r="F65" s="2" t="s">
        <v>17</v>
      </c>
      <c r="G65" s="2" t="s">
        <v>393</v>
      </c>
      <c r="H65" s="2" t="s">
        <v>382</v>
      </c>
      <c r="I65" s="2" t="s">
        <v>439</v>
      </c>
      <c r="J65" s="87"/>
      <c r="K65" s="88">
        <f t="shared" si="0"/>
        <v>0</v>
      </c>
      <c r="L65" s="89">
        <v>0</v>
      </c>
      <c r="M65" s="88">
        <f t="shared" si="1"/>
        <v>0</v>
      </c>
      <c r="N65" s="88">
        <f t="shared" si="27"/>
        <v>0</v>
      </c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1"/>
      <c r="AU65" s="30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2"/>
      <c r="BY65" s="92"/>
      <c r="BZ65" s="92"/>
      <c r="CA65" s="92"/>
      <c r="CB65" s="92"/>
      <c r="CC65" s="92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2"/>
      <c r="CO65" s="92"/>
      <c r="CP65" s="92"/>
      <c r="CQ65" s="92"/>
      <c r="CR65" s="92"/>
      <c r="CS65" s="92"/>
      <c r="CT65" s="92"/>
      <c r="CU65" s="92"/>
      <c r="CV65" s="92"/>
      <c r="CW65" s="92"/>
      <c r="CX65" s="92"/>
      <c r="CY65" s="92"/>
      <c r="CZ65" s="92"/>
      <c r="DA65" s="92"/>
      <c r="DB65" s="92"/>
      <c r="DC65" s="92"/>
      <c r="DD65" s="92"/>
      <c r="DE65" s="92"/>
      <c r="DF65" s="92"/>
      <c r="DG65" s="92"/>
      <c r="DH65" s="92"/>
      <c r="DI65" s="92"/>
      <c r="DJ65" s="92"/>
      <c r="DK65" s="92"/>
      <c r="DL65" s="92"/>
      <c r="DM65" s="92"/>
      <c r="DN65" s="92"/>
      <c r="DO65" s="92"/>
      <c r="DP65" s="92"/>
      <c r="DQ65" s="92"/>
      <c r="DR65" s="92"/>
      <c r="DS65" s="92"/>
      <c r="DT65" s="92"/>
      <c r="DU65" s="92"/>
      <c r="DV65" s="92"/>
      <c r="DW65" s="92"/>
      <c r="DX65" s="92"/>
      <c r="DY65" s="92"/>
      <c r="DZ65" s="92"/>
      <c r="EA65" s="92"/>
      <c r="EB65" s="92"/>
      <c r="EC65" s="92"/>
      <c r="ED65" s="92"/>
      <c r="EE65" s="92"/>
      <c r="EF65" s="92"/>
      <c r="EG65" s="92"/>
      <c r="EH65" s="92"/>
      <c r="EI65" s="92"/>
      <c r="EJ65" s="92"/>
      <c r="EK65" s="92"/>
      <c r="EL65" s="92"/>
      <c r="EM65" s="92"/>
      <c r="EN65" s="92"/>
      <c r="EO65" s="92"/>
      <c r="EP65" s="92"/>
      <c r="EQ65" s="92"/>
      <c r="ER65" s="92"/>
      <c r="ES65" s="92"/>
      <c r="ET65" s="92"/>
      <c r="EU65" s="92"/>
      <c r="EV65" s="92"/>
      <c r="EW65" s="92"/>
      <c r="EX65" s="92"/>
      <c r="EY65" s="92"/>
      <c r="EZ65" s="92"/>
      <c r="FA65" s="92"/>
      <c r="FB65" s="92"/>
      <c r="FC65" s="92"/>
      <c r="FD65" s="92"/>
      <c r="FE65" s="92"/>
      <c r="FF65" s="92"/>
      <c r="FG65" s="92"/>
      <c r="FH65" s="92"/>
      <c r="FI65" s="92"/>
      <c r="FJ65" s="92"/>
      <c r="FK65" s="92"/>
      <c r="FL65" s="92"/>
      <c r="FM65" s="92"/>
      <c r="FN65" s="92"/>
      <c r="FO65" s="92"/>
      <c r="FP65" s="92"/>
      <c r="FQ65" s="92"/>
      <c r="FR65" s="92"/>
      <c r="FS65" s="92"/>
      <c r="FT65" s="92"/>
      <c r="FU65" s="92"/>
      <c r="FV65" s="92"/>
      <c r="FW65" s="92"/>
      <c r="FX65" s="92"/>
      <c r="FY65" s="92"/>
      <c r="FZ65" s="92"/>
      <c r="GA65" s="92"/>
      <c r="GB65" s="92"/>
      <c r="GC65" s="92"/>
      <c r="GD65" s="92"/>
      <c r="GE65" s="92"/>
      <c r="GF65" s="92"/>
      <c r="GG65" s="92"/>
      <c r="GH65" s="92"/>
      <c r="GI65" s="92"/>
      <c r="GJ65" s="92"/>
      <c r="GK65" s="92"/>
      <c r="GL65" s="92"/>
      <c r="GM65" s="92"/>
      <c r="GN65" s="92"/>
      <c r="GO65" s="92"/>
      <c r="GP65" s="92"/>
      <c r="GQ65" s="92"/>
      <c r="GR65" s="92"/>
      <c r="GS65" s="92"/>
      <c r="GT65" s="92"/>
      <c r="GU65" s="92"/>
      <c r="GV65" s="92"/>
      <c r="GW65" s="92"/>
      <c r="GX65" s="92"/>
      <c r="GY65" s="92"/>
      <c r="GZ65" s="92"/>
      <c r="HA65" s="92"/>
      <c r="HB65" s="92"/>
      <c r="HC65" s="92"/>
      <c r="HD65" s="92"/>
      <c r="HE65" s="92"/>
      <c r="HF65" s="92"/>
      <c r="HG65" s="92"/>
      <c r="HH65" s="92"/>
      <c r="HI65" s="92"/>
      <c r="HJ65" s="92"/>
      <c r="HK65" s="92"/>
      <c r="HL65" s="92"/>
      <c r="HM65" s="92"/>
      <c r="HN65" s="92"/>
      <c r="HO65" s="92"/>
      <c r="HP65" s="92"/>
      <c r="HQ65" s="92"/>
      <c r="HR65" s="92"/>
      <c r="HS65" s="92"/>
      <c r="HT65" s="92"/>
      <c r="HU65" s="92"/>
      <c r="HV65" s="92"/>
      <c r="HW65" s="92"/>
      <c r="HX65" s="92"/>
      <c r="HY65" s="92"/>
      <c r="HZ65" s="92"/>
      <c r="IA65" s="92"/>
      <c r="IB65" s="92"/>
      <c r="IC65" s="92"/>
      <c r="ID65" s="92"/>
      <c r="IE65" s="92"/>
      <c r="IF65" s="92"/>
      <c r="IG65" s="92"/>
      <c r="IH65" s="92"/>
      <c r="II65" s="92"/>
      <c r="IJ65" s="92"/>
      <c r="IK65" s="92"/>
      <c r="IL65" s="92"/>
      <c r="IM65" s="92"/>
      <c r="IN65" s="92"/>
      <c r="IO65" s="92"/>
      <c r="IP65" s="92"/>
      <c r="IQ65" s="92"/>
      <c r="IR65" s="92"/>
      <c r="IS65" s="92"/>
      <c r="IT65" s="92"/>
      <c r="IU65" s="92"/>
      <c r="IV65" s="92"/>
      <c r="IW65" s="92"/>
      <c r="IX65" s="92"/>
      <c r="IY65" s="92"/>
    </row>
    <row r="66" spans="1:259" x14ac:dyDescent="0.3">
      <c r="A66" s="2" t="s">
        <v>208</v>
      </c>
      <c r="B66" s="2"/>
      <c r="C66" s="2"/>
      <c r="D66" s="2"/>
      <c r="E66" s="2" t="s">
        <v>351</v>
      </c>
      <c r="F66" s="2" t="s">
        <v>17</v>
      </c>
      <c r="G66" s="2" t="s">
        <v>393</v>
      </c>
      <c r="H66" s="2" t="s">
        <v>383</v>
      </c>
      <c r="I66" s="7" t="s">
        <v>404</v>
      </c>
      <c r="J66" s="87"/>
      <c r="K66" s="88">
        <f t="shared" si="0"/>
        <v>0</v>
      </c>
      <c r="L66" s="89">
        <v>0</v>
      </c>
      <c r="M66" s="88">
        <f t="shared" si="1"/>
        <v>0</v>
      </c>
      <c r="N66" s="88">
        <f t="shared" si="27"/>
        <v>0</v>
      </c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1"/>
      <c r="AU66" s="30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2"/>
      <c r="BY66" s="92"/>
      <c r="BZ66" s="92"/>
      <c r="CA66" s="92"/>
      <c r="CB66" s="92"/>
      <c r="CC66" s="92"/>
      <c r="CD66" s="92"/>
      <c r="CE66" s="92"/>
      <c r="CF66" s="92"/>
      <c r="CG66" s="92"/>
      <c r="CH66" s="92"/>
      <c r="CI66" s="92"/>
      <c r="CJ66" s="92"/>
      <c r="CK66" s="92"/>
      <c r="CL66" s="92"/>
      <c r="CM66" s="92"/>
      <c r="CN66" s="92"/>
      <c r="CO66" s="92"/>
      <c r="CP66" s="92"/>
      <c r="CQ66" s="92"/>
      <c r="CR66" s="92"/>
      <c r="CS66" s="92"/>
      <c r="CT66" s="92"/>
      <c r="CU66" s="92"/>
      <c r="CV66" s="92"/>
      <c r="CW66" s="92"/>
      <c r="CX66" s="92"/>
      <c r="CY66" s="92"/>
      <c r="CZ66" s="92"/>
      <c r="DA66" s="92"/>
      <c r="DB66" s="92"/>
      <c r="DC66" s="92"/>
      <c r="DD66" s="92"/>
      <c r="DE66" s="92"/>
      <c r="DF66" s="92"/>
      <c r="DG66" s="92"/>
      <c r="DH66" s="92"/>
      <c r="DI66" s="92"/>
      <c r="DJ66" s="92"/>
      <c r="DK66" s="92"/>
      <c r="DL66" s="92"/>
      <c r="DM66" s="92"/>
      <c r="DN66" s="92"/>
      <c r="DO66" s="92"/>
      <c r="DP66" s="92"/>
      <c r="DQ66" s="92"/>
      <c r="DR66" s="92"/>
      <c r="DS66" s="92"/>
      <c r="DT66" s="92"/>
      <c r="DU66" s="92"/>
      <c r="DV66" s="92"/>
      <c r="DW66" s="92"/>
      <c r="DX66" s="92"/>
      <c r="DY66" s="92"/>
      <c r="DZ66" s="92"/>
      <c r="EA66" s="92"/>
      <c r="EB66" s="92"/>
      <c r="EC66" s="92"/>
      <c r="ED66" s="92"/>
      <c r="EE66" s="92"/>
      <c r="EF66" s="92"/>
      <c r="EG66" s="92"/>
      <c r="EH66" s="92"/>
      <c r="EI66" s="92"/>
      <c r="EJ66" s="92"/>
      <c r="EK66" s="92"/>
      <c r="EL66" s="92"/>
      <c r="EM66" s="92"/>
      <c r="EN66" s="92"/>
      <c r="EO66" s="92"/>
      <c r="EP66" s="92"/>
      <c r="EQ66" s="92"/>
      <c r="ER66" s="92"/>
      <c r="ES66" s="92"/>
      <c r="ET66" s="92"/>
      <c r="EU66" s="92"/>
      <c r="EV66" s="92"/>
      <c r="EW66" s="92"/>
      <c r="EX66" s="92"/>
      <c r="EY66" s="92"/>
      <c r="EZ66" s="92"/>
      <c r="FA66" s="92"/>
      <c r="FB66" s="92"/>
      <c r="FC66" s="92"/>
      <c r="FD66" s="92"/>
      <c r="FE66" s="92"/>
      <c r="FF66" s="92"/>
      <c r="FG66" s="92"/>
      <c r="FH66" s="92"/>
      <c r="FI66" s="92"/>
      <c r="FJ66" s="92"/>
      <c r="FK66" s="92"/>
      <c r="FL66" s="92"/>
      <c r="FM66" s="92"/>
      <c r="FN66" s="92"/>
      <c r="FO66" s="92"/>
      <c r="FP66" s="92"/>
      <c r="FQ66" s="92"/>
      <c r="FR66" s="92"/>
      <c r="FS66" s="92"/>
      <c r="FT66" s="92"/>
      <c r="FU66" s="92"/>
      <c r="FV66" s="92"/>
      <c r="FW66" s="92"/>
      <c r="FX66" s="92"/>
      <c r="FY66" s="92"/>
      <c r="FZ66" s="92"/>
      <c r="GA66" s="92"/>
      <c r="GB66" s="92"/>
      <c r="GC66" s="92"/>
      <c r="GD66" s="92"/>
      <c r="GE66" s="92"/>
      <c r="GF66" s="92"/>
      <c r="GG66" s="92"/>
      <c r="GH66" s="92"/>
      <c r="GI66" s="92"/>
      <c r="GJ66" s="92"/>
      <c r="GK66" s="92"/>
      <c r="GL66" s="92"/>
      <c r="GM66" s="92"/>
      <c r="GN66" s="92"/>
      <c r="GO66" s="92"/>
      <c r="GP66" s="92"/>
      <c r="GQ66" s="92"/>
      <c r="GR66" s="92"/>
      <c r="GS66" s="92"/>
      <c r="GT66" s="92"/>
      <c r="GU66" s="92"/>
      <c r="GV66" s="92"/>
      <c r="GW66" s="92"/>
      <c r="GX66" s="92"/>
      <c r="GY66" s="92"/>
      <c r="GZ66" s="92"/>
      <c r="HA66" s="92"/>
      <c r="HB66" s="92"/>
      <c r="HC66" s="92"/>
      <c r="HD66" s="92"/>
      <c r="HE66" s="92"/>
      <c r="HF66" s="92"/>
      <c r="HG66" s="92"/>
      <c r="HH66" s="92"/>
      <c r="HI66" s="92"/>
      <c r="HJ66" s="92"/>
      <c r="HK66" s="92"/>
      <c r="HL66" s="92"/>
      <c r="HM66" s="92"/>
      <c r="HN66" s="92"/>
      <c r="HO66" s="92"/>
      <c r="HP66" s="92"/>
      <c r="HQ66" s="92"/>
      <c r="HR66" s="92"/>
      <c r="HS66" s="92"/>
      <c r="HT66" s="92"/>
      <c r="HU66" s="92"/>
      <c r="HV66" s="92"/>
      <c r="HW66" s="92"/>
      <c r="HX66" s="92"/>
      <c r="HY66" s="92"/>
      <c r="HZ66" s="92"/>
      <c r="IA66" s="92"/>
      <c r="IB66" s="92"/>
      <c r="IC66" s="92"/>
      <c r="ID66" s="92"/>
      <c r="IE66" s="92"/>
      <c r="IF66" s="92"/>
      <c r="IG66" s="92"/>
      <c r="IH66" s="92"/>
      <c r="II66" s="92"/>
      <c r="IJ66" s="92"/>
      <c r="IK66" s="92"/>
      <c r="IL66" s="92"/>
      <c r="IM66" s="92"/>
      <c r="IN66" s="92"/>
      <c r="IO66" s="92"/>
      <c r="IP66" s="92"/>
      <c r="IQ66" s="92"/>
      <c r="IR66" s="92"/>
      <c r="IS66" s="92"/>
      <c r="IT66" s="92"/>
      <c r="IU66" s="92"/>
      <c r="IV66" s="92"/>
      <c r="IW66" s="92"/>
      <c r="IX66" s="92"/>
      <c r="IY66" s="92"/>
    </row>
    <row r="67" spans="1:259" x14ac:dyDescent="0.3">
      <c r="A67" s="2" t="s">
        <v>208</v>
      </c>
      <c r="B67" s="2"/>
      <c r="C67" s="2"/>
      <c r="D67" s="2"/>
      <c r="E67" s="2" t="s">
        <v>351</v>
      </c>
      <c r="F67" s="2" t="s">
        <v>17</v>
      </c>
      <c r="G67" s="2" t="s">
        <v>393</v>
      </c>
      <c r="H67" s="2" t="s">
        <v>384</v>
      </c>
      <c r="I67" s="2" t="s">
        <v>390</v>
      </c>
      <c r="J67" s="87"/>
      <c r="K67" s="88">
        <f t="shared" si="0"/>
        <v>0</v>
      </c>
      <c r="L67" s="89">
        <v>0</v>
      </c>
      <c r="M67" s="88">
        <f t="shared" ref="M67:M132" si="28">SUM(O67:IY67)</f>
        <v>0</v>
      </c>
      <c r="N67" s="88">
        <f t="shared" si="27"/>
        <v>0</v>
      </c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1"/>
      <c r="AU67" s="30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  <c r="CK67" s="92"/>
      <c r="CL67" s="92"/>
      <c r="CM67" s="92"/>
      <c r="CN67" s="92"/>
      <c r="CO67" s="92"/>
      <c r="CP67" s="92"/>
      <c r="CQ67" s="92"/>
      <c r="CR67" s="92"/>
      <c r="CS67" s="92"/>
      <c r="CT67" s="92"/>
      <c r="CU67" s="92"/>
      <c r="CV67" s="92"/>
      <c r="CW67" s="92"/>
      <c r="CX67" s="92"/>
      <c r="CY67" s="92"/>
      <c r="CZ67" s="92"/>
      <c r="DA67" s="92"/>
      <c r="DB67" s="92"/>
      <c r="DC67" s="92"/>
      <c r="DD67" s="92"/>
      <c r="DE67" s="92"/>
      <c r="DF67" s="92"/>
      <c r="DG67" s="92"/>
      <c r="DH67" s="92"/>
      <c r="DI67" s="92"/>
      <c r="DJ67" s="92"/>
      <c r="DK67" s="92"/>
      <c r="DL67" s="92"/>
      <c r="DM67" s="92"/>
      <c r="DN67" s="92"/>
      <c r="DO67" s="92"/>
      <c r="DP67" s="92"/>
      <c r="DQ67" s="92"/>
      <c r="DR67" s="92"/>
      <c r="DS67" s="92"/>
      <c r="DT67" s="92"/>
      <c r="DU67" s="92"/>
      <c r="DV67" s="92"/>
      <c r="DW67" s="92"/>
      <c r="DX67" s="92"/>
      <c r="DY67" s="92"/>
      <c r="DZ67" s="92"/>
      <c r="EA67" s="92"/>
      <c r="EB67" s="92"/>
      <c r="EC67" s="92"/>
      <c r="ED67" s="92"/>
      <c r="EE67" s="92"/>
      <c r="EF67" s="92"/>
      <c r="EG67" s="92"/>
      <c r="EH67" s="92"/>
      <c r="EI67" s="92"/>
      <c r="EJ67" s="92"/>
      <c r="EK67" s="92"/>
      <c r="EL67" s="92"/>
      <c r="EM67" s="92"/>
      <c r="EN67" s="92"/>
      <c r="EO67" s="92"/>
      <c r="EP67" s="92"/>
      <c r="EQ67" s="92"/>
      <c r="ER67" s="92"/>
      <c r="ES67" s="92"/>
      <c r="ET67" s="92"/>
      <c r="EU67" s="92"/>
      <c r="EV67" s="92"/>
      <c r="EW67" s="92"/>
      <c r="EX67" s="92"/>
      <c r="EY67" s="92"/>
      <c r="EZ67" s="92"/>
      <c r="FA67" s="92"/>
      <c r="FB67" s="92"/>
      <c r="FC67" s="92"/>
      <c r="FD67" s="92"/>
      <c r="FE67" s="92"/>
      <c r="FF67" s="92"/>
      <c r="FG67" s="92"/>
      <c r="FH67" s="92"/>
      <c r="FI67" s="92"/>
      <c r="FJ67" s="92"/>
      <c r="FK67" s="92"/>
      <c r="FL67" s="92"/>
      <c r="FM67" s="92"/>
      <c r="FN67" s="92"/>
      <c r="FO67" s="92"/>
      <c r="FP67" s="92"/>
      <c r="FQ67" s="92"/>
      <c r="FR67" s="92"/>
      <c r="FS67" s="92"/>
      <c r="FT67" s="92"/>
      <c r="FU67" s="92"/>
      <c r="FV67" s="92"/>
      <c r="FW67" s="92"/>
      <c r="FX67" s="92"/>
      <c r="FY67" s="92"/>
      <c r="FZ67" s="92"/>
      <c r="GA67" s="92"/>
      <c r="GB67" s="92"/>
      <c r="GC67" s="92"/>
      <c r="GD67" s="92"/>
      <c r="GE67" s="92"/>
      <c r="GF67" s="92"/>
      <c r="GG67" s="92"/>
      <c r="GH67" s="92"/>
      <c r="GI67" s="92"/>
      <c r="GJ67" s="92"/>
      <c r="GK67" s="92"/>
      <c r="GL67" s="92"/>
      <c r="GM67" s="92"/>
      <c r="GN67" s="92"/>
      <c r="GO67" s="92"/>
      <c r="GP67" s="92"/>
      <c r="GQ67" s="92"/>
      <c r="GR67" s="92"/>
      <c r="GS67" s="92"/>
      <c r="GT67" s="92"/>
      <c r="GU67" s="92"/>
      <c r="GV67" s="92"/>
      <c r="GW67" s="92"/>
      <c r="GX67" s="92"/>
      <c r="GY67" s="92"/>
      <c r="GZ67" s="92"/>
      <c r="HA67" s="92"/>
      <c r="HB67" s="92"/>
      <c r="HC67" s="92"/>
      <c r="HD67" s="92"/>
      <c r="HE67" s="92"/>
      <c r="HF67" s="92"/>
      <c r="HG67" s="92"/>
      <c r="HH67" s="92"/>
      <c r="HI67" s="92"/>
      <c r="HJ67" s="92"/>
      <c r="HK67" s="92"/>
      <c r="HL67" s="92"/>
      <c r="HM67" s="92"/>
      <c r="HN67" s="92"/>
      <c r="HO67" s="92"/>
      <c r="HP67" s="92"/>
      <c r="HQ67" s="92"/>
      <c r="HR67" s="92"/>
      <c r="HS67" s="92"/>
      <c r="HT67" s="92"/>
      <c r="HU67" s="92"/>
      <c r="HV67" s="92"/>
      <c r="HW67" s="92"/>
      <c r="HX67" s="92"/>
      <c r="HY67" s="92"/>
      <c r="HZ67" s="92"/>
      <c r="IA67" s="92"/>
      <c r="IB67" s="92"/>
      <c r="IC67" s="92"/>
      <c r="ID67" s="92"/>
      <c r="IE67" s="92"/>
      <c r="IF67" s="92"/>
      <c r="IG67" s="92"/>
      <c r="IH67" s="92"/>
      <c r="II67" s="92"/>
      <c r="IJ67" s="92"/>
      <c r="IK67" s="92"/>
      <c r="IL67" s="92"/>
      <c r="IM67" s="92"/>
      <c r="IN67" s="92"/>
      <c r="IO67" s="92"/>
      <c r="IP67" s="92"/>
      <c r="IQ67" s="92"/>
      <c r="IR67" s="92"/>
      <c r="IS67" s="92"/>
      <c r="IT67" s="92"/>
      <c r="IU67" s="92"/>
      <c r="IV67" s="92"/>
      <c r="IW67" s="92"/>
      <c r="IX67" s="92"/>
      <c r="IY67" s="92"/>
    </row>
    <row r="68" spans="1:259" x14ac:dyDescent="0.3">
      <c r="A68" s="2" t="s">
        <v>208</v>
      </c>
      <c r="B68" s="2"/>
      <c r="C68" s="2"/>
      <c r="D68" s="2"/>
      <c r="E68" s="2" t="s">
        <v>351</v>
      </c>
      <c r="F68" s="2" t="s">
        <v>17</v>
      </c>
      <c r="G68" s="2" t="s">
        <v>393</v>
      </c>
      <c r="H68" s="2" t="s">
        <v>385</v>
      </c>
      <c r="I68" s="2" t="s">
        <v>390</v>
      </c>
      <c r="J68" s="87"/>
      <c r="K68" s="88">
        <f t="shared" si="0"/>
        <v>0</v>
      </c>
      <c r="L68" s="89">
        <v>0</v>
      </c>
      <c r="M68" s="88">
        <f t="shared" si="28"/>
        <v>0</v>
      </c>
      <c r="N68" s="88">
        <f t="shared" si="27"/>
        <v>0</v>
      </c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1"/>
      <c r="AU68" s="30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2"/>
      <c r="CO68" s="92"/>
      <c r="CP68" s="92"/>
      <c r="CQ68" s="92"/>
      <c r="CR68" s="92"/>
      <c r="CS68" s="92"/>
      <c r="CT68" s="92"/>
      <c r="CU68" s="92"/>
      <c r="CV68" s="92"/>
      <c r="CW68" s="92"/>
      <c r="CX68" s="92"/>
      <c r="CY68" s="92"/>
      <c r="CZ68" s="92"/>
      <c r="DA68" s="92"/>
      <c r="DB68" s="92"/>
      <c r="DC68" s="92"/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  <c r="DQ68" s="92"/>
      <c r="DR68" s="92"/>
      <c r="DS68" s="92"/>
      <c r="DT68" s="92"/>
      <c r="DU68" s="92"/>
      <c r="DV68" s="92"/>
      <c r="DW68" s="92"/>
      <c r="DX68" s="92"/>
      <c r="DY68" s="92"/>
      <c r="DZ68" s="92"/>
      <c r="EA68" s="92"/>
      <c r="EB68" s="92"/>
      <c r="EC68" s="92"/>
      <c r="ED68" s="92"/>
      <c r="EE68" s="92"/>
      <c r="EF68" s="92"/>
      <c r="EG68" s="92"/>
      <c r="EH68" s="92"/>
      <c r="EI68" s="92"/>
      <c r="EJ68" s="92"/>
      <c r="EK68" s="92"/>
      <c r="EL68" s="92"/>
      <c r="EM68" s="92"/>
      <c r="EN68" s="92"/>
      <c r="EO68" s="92"/>
      <c r="EP68" s="92"/>
      <c r="EQ68" s="92"/>
      <c r="ER68" s="92"/>
      <c r="ES68" s="92"/>
      <c r="ET68" s="92"/>
      <c r="EU68" s="92"/>
      <c r="EV68" s="92"/>
      <c r="EW68" s="92"/>
      <c r="EX68" s="92"/>
      <c r="EY68" s="92"/>
      <c r="EZ68" s="92"/>
      <c r="FA68" s="92"/>
      <c r="FB68" s="92"/>
      <c r="FC68" s="92"/>
      <c r="FD68" s="92"/>
      <c r="FE68" s="92"/>
      <c r="FF68" s="92"/>
      <c r="FG68" s="92"/>
      <c r="FH68" s="92"/>
      <c r="FI68" s="92"/>
      <c r="FJ68" s="92"/>
      <c r="FK68" s="92"/>
      <c r="FL68" s="92"/>
      <c r="FM68" s="92"/>
      <c r="FN68" s="92"/>
      <c r="FO68" s="92"/>
      <c r="FP68" s="92"/>
      <c r="FQ68" s="92"/>
      <c r="FR68" s="92"/>
      <c r="FS68" s="92"/>
      <c r="FT68" s="92"/>
      <c r="FU68" s="92"/>
      <c r="FV68" s="92"/>
      <c r="FW68" s="92"/>
      <c r="FX68" s="92"/>
      <c r="FY68" s="92"/>
      <c r="FZ68" s="92"/>
      <c r="GA68" s="92"/>
      <c r="GB68" s="92"/>
      <c r="GC68" s="92"/>
      <c r="GD68" s="92"/>
      <c r="GE68" s="92"/>
      <c r="GF68" s="92"/>
      <c r="GG68" s="92"/>
      <c r="GH68" s="92"/>
      <c r="GI68" s="92"/>
      <c r="GJ68" s="92"/>
      <c r="GK68" s="92"/>
      <c r="GL68" s="92"/>
      <c r="GM68" s="92"/>
      <c r="GN68" s="92"/>
      <c r="GO68" s="92"/>
      <c r="GP68" s="92"/>
      <c r="GQ68" s="92"/>
      <c r="GR68" s="92"/>
      <c r="GS68" s="92"/>
      <c r="GT68" s="92"/>
      <c r="GU68" s="92"/>
      <c r="GV68" s="92"/>
      <c r="GW68" s="92"/>
      <c r="GX68" s="92"/>
      <c r="GY68" s="92"/>
      <c r="GZ68" s="92"/>
      <c r="HA68" s="92"/>
      <c r="HB68" s="92"/>
      <c r="HC68" s="92"/>
      <c r="HD68" s="92"/>
      <c r="HE68" s="92"/>
      <c r="HF68" s="92"/>
      <c r="HG68" s="92"/>
      <c r="HH68" s="92"/>
      <c r="HI68" s="92"/>
      <c r="HJ68" s="92"/>
      <c r="HK68" s="92"/>
      <c r="HL68" s="92"/>
      <c r="HM68" s="92"/>
      <c r="HN68" s="92"/>
      <c r="HO68" s="92"/>
      <c r="HP68" s="92"/>
      <c r="HQ68" s="92"/>
      <c r="HR68" s="92"/>
      <c r="HS68" s="92"/>
      <c r="HT68" s="92"/>
      <c r="HU68" s="92"/>
      <c r="HV68" s="92"/>
      <c r="HW68" s="92"/>
      <c r="HX68" s="92"/>
      <c r="HY68" s="92"/>
      <c r="HZ68" s="92"/>
      <c r="IA68" s="92"/>
      <c r="IB68" s="92"/>
      <c r="IC68" s="92"/>
      <c r="ID68" s="92"/>
      <c r="IE68" s="92"/>
      <c r="IF68" s="92"/>
      <c r="IG68" s="92"/>
      <c r="IH68" s="92"/>
      <c r="II68" s="92"/>
      <c r="IJ68" s="92"/>
      <c r="IK68" s="92"/>
      <c r="IL68" s="92"/>
      <c r="IM68" s="92"/>
      <c r="IN68" s="92"/>
      <c r="IO68" s="92"/>
      <c r="IP68" s="92"/>
      <c r="IQ68" s="92"/>
      <c r="IR68" s="92"/>
      <c r="IS68" s="92"/>
      <c r="IT68" s="92"/>
      <c r="IU68" s="92"/>
      <c r="IV68" s="92"/>
      <c r="IW68" s="92"/>
      <c r="IX68" s="92"/>
      <c r="IY68" s="92"/>
    </row>
    <row r="69" spans="1:259" x14ac:dyDescent="0.3">
      <c r="A69" s="14" t="s">
        <v>208</v>
      </c>
      <c r="B69" s="14"/>
      <c r="C69" s="14"/>
      <c r="D69" s="14"/>
      <c r="E69" s="14" t="s">
        <v>351</v>
      </c>
      <c r="F69" s="14" t="s">
        <v>17</v>
      </c>
      <c r="G69" s="14" t="s">
        <v>528</v>
      </c>
      <c r="H69" s="14" t="s">
        <v>529</v>
      </c>
      <c r="I69" s="14" t="s">
        <v>308</v>
      </c>
      <c r="J69" s="87"/>
      <c r="K69" s="88">
        <f t="shared" si="0"/>
        <v>2</v>
      </c>
      <c r="L69" s="89">
        <v>3</v>
      </c>
      <c r="M69" s="88">
        <f t="shared" si="28"/>
        <v>1</v>
      </c>
      <c r="N69" s="88">
        <f t="shared" si="27"/>
        <v>2</v>
      </c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88">
        <f>1</f>
        <v>1</v>
      </c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1"/>
      <c r="AU69" s="30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2"/>
      <c r="CM69" s="92"/>
      <c r="CN69" s="92"/>
      <c r="CO69" s="92"/>
      <c r="CP69" s="92"/>
      <c r="CQ69" s="92"/>
      <c r="CR69" s="92"/>
      <c r="CS69" s="92"/>
      <c r="CT69" s="92"/>
      <c r="CU69" s="92"/>
      <c r="CV69" s="92"/>
      <c r="CW69" s="92"/>
      <c r="CX69" s="92"/>
      <c r="CY69" s="92"/>
      <c r="CZ69" s="92"/>
      <c r="DA69" s="92"/>
      <c r="DB69" s="92"/>
      <c r="DC69" s="92"/>
      <c r="DD69" s="92"/>
      <c r="DE69" s="92"/>
      <c r="DF69" s="92"/>
      <c r="DG69" s="92"/>
      <c r="DH69" s="92"/>
      <c r="DI69" s="92"/>
      <c r="DJ69" s="92"/>
      <c r="DK69" s="92"/>
      <c r="DL69" s="92"/>
      <c r="DM69" s="92"/>
      <c r="DN69" s="92"/>
      <c r="DO69" s="92"/>
      <c r="DP69" s="92"/>
      <c r="DQ69" s="92"/>
      <c r="DR69" s="92"/>
      <c r="DS69" s="92"/>
      <c r="DT69" s="92"/>
      <c r="DU69" s="92"/>
      <c r="DV69" s="92"/>
      <c r="DW69" s="92"/>
      <c r="DX69" s="92"/>
      <c r="DY69" s="92"/>
      <c r="DZ69" s="92"/>
      <c r="EA69" s="92"/>
      <c r="EB69" s="92"/>
      <c r="EC69" s="92"/>
      <c r="ED69" s="92"/>
      <c r="EE69" s="92"/>
      <c r="EF69" s="92"/>
      <c r="EG69" s="92"/>
      <c r="EH69" s="92"/>
      <c r="EI69" s="92"/>
      <c r="EJ69" s="92"/>
      <c r="EK69" s="92"/>
      <c r="EL69" s="92"/>
      <c r="EM69" s="92"/>
      <c r="EN69" s="92"/>
      <c r="EO69" s="92"/>
      <c r="EP69" s="92"/>
      <c r="EQ69" s="92"/>
      <c r="ER69" s="92"/>
      <c r="ES69" s="92"/>
      <c r="ET69" s="92"/>
      <c r="EU69" s="92"/>
      <c r="EV69" s="92"/>
      <c r="EW69" s="92"/>
      <c r="EX69" s="92"/>
      <c r="EY69" s="92"/>
      <c r="EZ69" s="92"/>
      <c r="FA69" s="92"/>
      <c r="FB69" s="92"/>
      <c r="FC69" s="92"/>
      <c r="FD69" s="92"/>
      <c r="FE69" s="92"/>
      <c r="FF69" s="92"/>
      <c r="FG69" s="92"/>
      <c r="FH69" s="92"/>
      <c r="FI69" s="92"/>
      <c r="FJ69" s="92"/>
      <c r="FK69" s="92"/>
      <c r="FL69" s="92"/>
      <c r="FM69" s="92"/>
      <c r="FN69" s="92"/>
      <c r="FO69" s="92"/>
      <c r="FP69" s="92"/>
      <c r="FQ69" s="92"/>
      <c r="FR69" s="92"/>
      <c r="FS69" s="92"/>
      <c r="FT69" s="92"/>
      <c r="FU69" s="92"/>
      <c r="FV69" s="92"/>
      <c r="FW69" s="92"/>
      <c r="FX69" s="92"/>
      <c r="FY69" s="92"/>
      <c r="FZ69" s="92"/>
      <c r="GA69" s="92"/>
      <c r="GB69" s="92"/>
      <c r="GC69" s="92"/>
      <c r="GD69" s="92"/>
      <c r="GE69" s="92"/>
      <c r="GF69" s="92"/>
      <c r="GG69" s="92"/>
      <c r="GH69" s="92"/>
      <c r="GI69" s="92"/>
      <c r="GJ69" s="92"/>
      <c r="GK69" s="92"/>
      <c r="GL69" s="92"/>
      <c r="GM69" s="92"/>
      <c r="GN69" s="92"/>
      <c r="GO69" s="92"/>
      <c r="GP69" s="92"/>
      <c r="GQ69" s="92"/>
      <c r="GR69" s="92"/>
      <c r="GS69" s="92"/>
      <c r="GT69" s="92"/>
      <c r="GU69" s="92"/>
      <c r="GV69" s="92"/>
      <c r="GW69" s="92"/>
      <c r="GX69" s="92"/>
      <c r="GY69" s="92"/>
      <c r="GZ69" s="92"/>
      <c r="HA69" s="92"/>
      <c r="HB69" s="92"/>
      <c r="HC69" s="92"/>
      <c r="HD69" s="92"/>
      <c r="HE69" s="92"/>
      <c r="HF69" s="92"/>
      <c r="HG69" s="92"/>
      <c r="HH69" s="92"/>
      <c r="HI69" s="92"/>
      <c r="HJ69" s="92"/>
      <c r="HK69" s="92"/>
      <c r="HL69" s="92"/>
      <c r="HM69" s="92"/>
      <c r="HN69" s="92"/>
      <c r="HO69" s="92"/>
      <c r="HP69" s="92"/>
      <c r="HQ69" s="92"/>
      <c r="HR69" s="92"/>
      <c r="HS69" s="92"/>
      <c r="HT69" s="92"/>
      <c r="HU69" s="92"/>
      <c r="HV69" s="92"/>
      <c r="HW69" s="92"/>
      <c r="HX69" s="92"/>
      <c r="HY69" s="92"/>
      <c r="HZ69" s="92"/>
      <c r="IA69" s="92"/>
      <c r="IB69" s="92"/>
      <c r="IC69" s="92"/>
      <c r="ID69" s="92"/>
      <c r="IE69" s="92"/>
      <c r="IF69" s="92"/>
      <c r="IG69" s="92"/>
      <c r="IH69" s="92"/>
      <c r="II69" s="92"/>
      <c r="IJ69" s="92"/>
      <c r="IK69" s="92"/>
      <c r="IL69" s="92"/>
      <c r="IM69" s="92"/>
      <c r="IN69" s="92"/>
      <c r="IO69" s="92"/>
      <c r="IP69" s="92"/>
      <c r="IQ69" s="92"/>
      <c r="IR69" s="92"/>
      <c r="IS69" s="92"/>
      <c r="IT69" s="92"/>
      <c r="IU69" s="92"/>
      <c r="IV69" s="92"/>
      <c r="IW69" s="92"/>
      <c r="IX69" s="92"/>
      <c r="IY69" s="92"/>
    </row>
    <row r="70" spans="1:259" x14ac:dyDescent="0.3">
      <c r="A70" s="14" t="s">
        <v>208</v>
      </c>
      <c r="B70" s="14"/>
      <c r="C70" s="14"/>
      <c r="D70" s="14"/>
      <c r="E70" s="14" t="s">
        <v>542</v>
      </c>
      <c r="F70" s="14" t="s">
        <v>17</v>
      </c>
      <c r="G70" s="14" t="s">
        <v>528</v>
      </c>
      <c r="H70" s="14" t="s">
        <v>540</v>
      </c>
      <c r="I70" s="14" t="s">
        <v>541</v>
      </c>
      <c r="J70" s="87"/>
      <c r="K70" s="88">
        <f t="shared" ref="K70" si="29">L70-M70</f>
        <v>1</v>
      </c>
      <c r="L70" s="89">
        <v>1</v>
      </c>
      <c r="M70" s="88">
        <f t="shared" ref="M70" si="30">SUM(O70:IY70)</f>
        <v>0</v>
      </c>
      <c r="N70" s="88">
        <f t="shared" ref="N70" si="31">K70</f>
        <v>1</v>
      </c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88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1"/>
      <c r="AU70" s="30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2"/>
      <c r="BY70" s="92"/>
      <c r="BZ70" s="92"/>
      <c r="CA70" s="92"/>
      <c r="CB70" s="92"/>
      <c r="CC70" s="92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2"/>
      <c r="CO70" s="92"/>
      <c r="CP70" s="92"/>
      <c r="CQ70" s="92"/>
      <c r="CR70" s="92"/>
      <c r="CS70" s="92"/>
      <c r="CT70" s="92"/>
      <c r="CU70" s="92"/>
      <c r="CV70" s="92"/>
      <c r="CW70" s="92"/>
      <c r="CX70" s="92"/>
      <c r="CY70" s="92"/>
      <c r="CZ70" s="92"/>
      <c r="DA70" s="92"/>
      <c r="DB70" s="92"/>
      <c r="DC70" s="92"/>
      <c r="DD70" s="92"/>
      <c r="DE70" s="92"/>
      <c r="DF70" s="92"/>
      <c r="DG70" s="92"/>
      <c r="DH70" s="92"/>
      <c r="DI70" s="92"/>
      <c r="DJ70" s="92"/>
      <c r="DK70" s="92"/>
      <c r="DL70" s="92"/>
      <c r="DM70" s="92"/>
      <c r="DN70" s="92"/>
      <c r="DO70" s="92"/>
      <c r="DP70" s="92"/>
      <c r="DQ70" s="92"/>
      <c r="DR70" s="92"/>
      <c r="DS70" s="92"/>
      <c r="DT70" s="92"/>
      <c r="DU70" s="92"/>
      <c r="DV70" s="92"/>
      <c r="DW70" s="92"/>
      <c r="DX70" s="92"/>
      <c r="DY70" s="92"/>
      <c r="DZ70" s="92"/>
      <c r="EA70" s="92"/>
      <c r="EB70" s="92"/>
      <c r="EC70" s="92"/>
      <c r="ED70" s="92"/>
      <c r="EE70" s="92"/>
      <c r="EF70" s="92"/>
      <c r="EG70" s="92"/>
      <c r="EH70" s="92"/>
      <c r="EI70" s="92"/>
      <c r="EJ70" s="92"/>
      <c r="EK70" s="92"/>
      <c r="EL70" s="92"/>
      <c r="EM70" s="92"/>
      <c r="EN70" s="92"/>
      <c r="EO70" s="92"/>
      <c r="EP70" s="92"/>
      <c r="EQ70" s="92"/>
      <c r="ER70" s="92"/>
      <c r="ES70" s="92"/>
      <c r="ET70" s="92"/>
      <c r="EU70" s="92"/>
      <c r="EV70" s="92"/>
      <c r="EW70" s="92"/>
      <c r="EX70" s="92"/>
      <c r="EY70" s="92"/>
      <c r="EZ70" s="92"/>
      <c r="FA70" s="92"/>
      <c r="FB70" s="92"/>
      <c r="FC70" s="92"/>
      <c r="FD70" s="92"/>
      <c r="FE70" s="92"/>
      <c r="FF70" s="92"/>
      <c r="FG70" s="92"/>
      <c r="FH70" s="92"/>
      <c r="FI70" s="92"/>
      <c r="FJ70" s="92"/>
      <c r="FK70" s="92"/>
      <c r="FL70" s="92"/>
      <c r="FM70" s="92"/>
      <c r="FN70" s="92"/>
      <c r="FO70" s="92"/>
      <c r="FP70" s="92"/>
      <c r="FQ70" s="92"/>
      <c r="FR70" s="92"/>
      <c r="FS70" s="92"/>
      <c r="FT70" s="92"/>
      <c r="FU70" s="92"/>
      <c r="FV70" s="92"/>
      <c r="FW70" s="92"/>
      <c r="FX70" s="92"/>
      <c r="FY70" s="92"/>
      <c r="FZ70" s="92"/>
      <c r="GA70" s="92"/>
      <c r="GB70" s="92"/>
      <c r="GC70" s="92"/>
      <c r="GD70" s="92"/>
      <c r="GE70" s="92"/>
      <c r="GF70" s="92"/>
      <c r="GG70" s="92"/>
      <c r="GH70" s="92"/>
      <c r="GI70" s="92"/>
      <c r="GJ70" s="92"/>
      <c r="GK70" s="92"/>
      <c r="GL70" s="92"/>
      <c r="GM70" s="92"/>
      <c r="GN70" s="92"/>
      <c r="GO70" s="92"/>
      <c r="GP70" s="92"/>
      <c r="GQ70" s="92"/>
      <c r="GR70" s="92"/>
      <c r="GS70" s="92"/>
      <c r="GT70" s="92"/>
      <c r="GU70" s="92"/>
      <c r="GV70" s="92"/>
      <c r="GW70" s="92"/>
      <c r="GX70" s="92"/>
      <c r="GY70" s="92"/>
      <c r="GZ70" s="92"/>
      <c r="HA70" s="92"/>
      <c r="HB70" s="92"/>
      <c r="HC70" s="92"/>
      <c r="HD70" s="92"/>
      <c r="HE70" s="92"/>
      <c r="HF70" s="92"/>
      <c r="HG70" s="92"/>
      <c r="HH70" s="92"/>
      <c r="HI70" s="92"/>
      <c r="HJ70" s="92"/>
      <c r="HK70" s="92"/>
      <c r="HL70" s="92"/>
      <c r="HM70" s="92"/>
      <c r="HN70" s="92"/>
      <c r="HO70" s="92"/>
      <c r="HP70" s="92"/>
      <c r="HQ70" s="92"/>
      <c r="HR70" s="92"/>
      <c r="HS70" s="92"/>
      <c r="HT70" s="92"/>
      <c r="HU70" s="92"/>
      <c r="HV70" s="92"/>
      <c r="HW70" s="92"/>
      <c r="HX70" s="92"/>
      <c r="HY70" s="92"/>
      <c r="HZ70" s="92"/>
      <c r="IA70" s="92"/>
      <c r="IB70" s="92"/>
      <c r="IC70" s="92"/>
      <c r="ID70" s="92"/>
      <c r="IE70" s="92"/>
      <c r="IF70" s="92"/>
      <c r="IG70" s="92"/>
      <c r="IH70" s="92"/>
      <c r="II70" s="92"/>
      <c r="IJ70" s="92"/>
      <c r="IK70" s="92"/>
      <c r="IL70" s="92"/>
      <c r="IM70" s="92"/>
      <c r="IN70" s="92"/>
      <c r="IO70" s="92"/>
      <c r="IP70" s="92"/>
      <c r="IQ70" s="92"/>
      <c r="IR70" s="92"/>
      <c r="IS70" s="92"/>
      <c r="IT70" s="92"/>
      <c r="IU70" s="92"/>
      <c r="IV70" s="92"/>
      <c r="IW70" s="92"/>
      <c r="IX70" s="92"/>
      <c r="IY70" s="92"/>
    </row>
    <row r="71" spans="1:259" x14ac:dyDescent="0.3">
      <c r="A71" s="2" t="s">
        <v>330</v>
      </c>
      <c r="B71" s="2"/>
      <c r="C71" s="2"/>
      <c r="D71" s="2"/>
      <c r="E71" s="2" t="s">
        <v>330</v>
      </c>
      <c r="F71" s="2" t="s">
        <v>17</v>
      </c>
      <c r="G71" s="2" t="s">
        <v>336</v>
      </c>
      <c r="H71" s="2"/>
      <c r="I71" s="2" t="s">
        <v>344</v>
      </c>
      <c r="J71" s="87"/>
      <c r="K71" s="88">
        <f t="shared" si="0"/>
        <v>1</v>
      </c>
      <c r="L71" s="89">
        <v>1</v>
      </c>
      <c r="M71" s="88">
        <f t="shared" si="28"/>
        <v>0</v>
      </c>
      <c r="N71" s="88">
        <f t="shared" si="2"/>
        <v>1</v>
      </c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1"/>
      <c r="AU71" s="30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2"/>
      <c r="BY71" s="92"/>
      <c r="BZ71" s="92"/>
      <c r="CA71" s="92"/>
      <c r="CB71" s="92"/>
      <c r="CC71" s="92"/>
      <c r="CD71" s="92"/>
      <c r="CE71" s="92"/>
      <c r="CF71" s="92"/>
      <c r="CG71" s="92"/>
      <c r="CH71" s="92"/>
      <c r="CI71" s="92"/>
      <c r="CJ71" s="92"/>
      <c r="CK71" s="92"/>
      <c r="CL71" s="92"/>
      <c r="CM71" s="92"/>
      <c r="CN71" s="92"/>
      <c r="CO71" s="92"/>
      <c r="CP71" s="92"/>
      <c r="CQ71" s="92"/>
      <c r="CR71" s="92"/>
      <c r="CS71" s="92"/>
      <c r="CT71" s="92"/>
      <c r="CU71" s="92"/>
      <c r="CV71" s="92"/>
      <c r="CW71" s="92"/>
      <c r="CX71" s="92"/>
      <c r="CY71" s="92"/>
      <c r="CZ71" s="92"/>
      <c r="DA71" s="92"/>
      <c r="DB71" s="92"/>
      <c r="DC71" s="92"/>
      <c r="DD71" s="92"/>
      <c r="DE71" s="92"/>
      <c r="DF71" s="92"/>
      <c r="DG71" s="92"/>
      <c r="DH71" s="92"/>
      <c r="DI71" s="92"/>
      <c r="DJ71" s="92"/>
      <c r="DK71" s="92"/>
      <c r="DL71" s="92"/>
      <c r="DM71" s="92"/>
      <c r="DN71" s="92"/>
      <c r="DO71" s="92"/>
      <c r="DP71" s="92"/>
      <c r="DQ71" s="92"/>
      <c r="DR71" s="92"/>
      <c r="DS71" s="92"/>
      <c r="DT71" s="92"/>
      <c r="DU71" s="92"/>
      <c r="DV71" s="92"/>
      <c r="DW71" s="92"/>
      <c r="DX71" s="92"/>
      <c r="DY71" s="92"/>
      <c r="DZ71" s="92"/>
      <c r="EA71" s="92"/>
      <c r="EB71" s="92"/>
      <c r="EC71" s="92"/>
      <c r="ED71" s="92"/>
      <c r="EE71" s="92"/>
      <c r="EF71" s="92"/>
      <c r="EG71" s="92"/>
      <c r="EH71" s="92"/>
      <c r="EI71" s="92"/>
      <c r="EJ71" s="92"/>
      <c r="EK71" s="92"/>
      <c r="EL71" s="92"/>
      <c r="EM71" s="92"/>
      <c r="EN71" s="92"/>
      <c r="EO71" s="92"/>
      <c r="EP71" s="92"/>
      <c r="EQ71" s="92"/>
      <c r="ER71" s="92"/>
      <c r="ES71" s="92"/>
      <c r="ET71" s="92"/>
      <c r="EU71" s="92"/>
      <c r="EV71" s="92"/>
      <c r="EW71" s="92"/>
      <c r="EX71" s="92"/>
      <c r="EY71" s="92"/>
      <c r="EZ71" s="92"/>
      <c r="FA71" s="92"/>
      <c r="FB71" s="92"/>
      <c r="FC71" s="92"/>
      <c r="FD71" s="92"/>
      <c r="FE71" s="92"/>
      <c r="FF71" s="92"/>
      <c r="FG71" s="92"/>
      <c r="FH71" s="92"/>
      <c r="FI71" s="92"/>
      <c r="FJ71" s="92"/>
      <c r="FK71" s="92"/>
      <c r="FL71" s="92"/>
      <c r="FM71" s="92"/>
      <c r="FN71" s="92"/>
      <c r="FO71" s="92"/>
      <c r="FP71" s="92"/>
      <c r="FQ71" s="92"/>
      <c r="FR71" s="92"/>
      <c r="FS71" s="92"/>
      <c r="FT71" s="92"/>
      <c r="FU71" s="92"/>
      <c r="FV71" s="92"/>
      <c r="FW71" s="92"/>
      <c r="FX71" s="92"/>
      <c r="FY71" s="92"/>
      <c r="FZ71" s="92"/>
      <c r="GA71" s="92"/>
      <c r="GB71" s="92"/>
      <c r="GC71" s="92"/>
      <c r="GD71" s="92"/>
      <c r="GE71" s="92"/>
      <c r="GF71" s="92"/>
      <c r="GG71" s="92"/>
      <c r="GH71" s="92"/>
      <c r="GI71" s="92"/>
      <c r="GJ71" s="92"/>
      <c r="GK71" s="92"/>
      <c r="GL71" s="92"/>
      <c r="GM71" s="92"/>
      <c r="GN71" s="92"/>
      <c r="GO71" s="92"/>
      <c r="GP71" s="92"/>
      <c r="GQ71" s="92"/>
      <c r="GR71" s="92"/>
      <c r="GS71" s="92"/>
      <c r="GT71" s="92"/>
      <c r="GU71" s="92"/>
      <c r="GV71" s="92"/>
      <c r="GW71" s="92"/>
      <c r="GX71" s="92"/>
      <c r="GY71" s="92"/>
      <c r="GZ71" s="92"/>
      <c r="HA71" s="92"/>
      <c r="HB71" s="92"/>
      <c r="HC71" s="92"/>
      <c r="HD71" s="92"/>
      <c r="HE71" s="92"/>
      <c r="HF71" s="92"/>
      <c r="HG71" s="92"/>
      <c r="HH71" s="92"/>
      <c r="HI71" s="92"/>
      <c r="HJ71" s="92"/>
      <c r="HK71" s="92"/>
      <c r="HL71" s="92"/>
      <c r="HM71" s="92"/>
      <c r="HN71" s="92"/>
      <c r="HO71" s="92"/>
      <c r="HP71" s="92"/>
      <c r="HQ71" s="92"/>
      <c r="HR71" s="92"/>
      <c r="HS71" s="92"/>
      <c r="HT71" s="92"/>
      <c r="HU71" s="92"/>
      <c r="HV71" s="92"/>
      <c r="HW71" s="92"/>
      <c r="HX71" s="92"/>
      <c r="HY71" s="92"/>
      <c r="HZ71" s="92"/>
      <c r="IA71" s="92"/>
      <c r="IB71" s="92"/>
      <c r="IC71" s="92"/>
      <c r="ID71" s="92"/>
      <c r="IE71" s="92"/>
      <c r="IF71" s="92"/>
      <c r="IG71" s="92"/>
      <c r="IH71" s="92"/>
      <c r="II71" s="92"/>
      <c r="IJ71" s="92"/>
      <c r="IK71" s="92"/>
      <c r="IL71" s="92"/>
      <c r="IM71" s="92"/>
      <c r="IN71" s="92"/>
      <c r="IO71" s="92"/>
      <c r="IP71" s="92"/>
      <c r="IQ71" s="92"/>
      <c r="IR71" s="92"/>
      <c r="IS71" s="92"/>
      <c r="IT71" s="92"/>
      <c r="IU71" s="92"/>
      <c r="IV71" s="92"/>
      <c r="IW71" s="92"/>
      <c r="IX71" s="92"/>
      <c r="IY71" s="92"/>
    </row>
    <row r="72" spans="1:259" x14ac:dyDescent="0.3">
      <c r="A72" s="2" t="s">
        <v>298</v>
      </c>
      <c r="B72" s="2" t="s">
        <v>299</v>
      </c>
      <c r="C72" s="2"/>
      <c r="D72" s="2"/>
      <c r="E72" s="2" t="s">
        <v>299</v>
      </c>
      <c r="F72" s="2" t="s">
        <v>60</v>
      </c>
      <c r="G72" s="2" t="s">
        <v>336</v>
      </c>
      <c r="H72" s="2" t="s">
        <v>441</v>
      </c>
      <c r="I72" s="2" t="s">
        <v>439</v>
      </c>
      <c r="J72" s="87"/>
      <c r="K72" s="88">
        <f t="shared" si="0"/>
        <v>0</v>
      </c>
      <c r="L72" s="89">
        <v>0</v>
      </c>
      <c r="M72" s="88">
        <f t="shared" si="28"/>
        <v>0</v>
      </c>
      <c r="N72" s="88">
        <f t="shared" si="2"/>
        <v>0</v>
      </c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1"/>
      <c r="AU72" s="30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2"/>
      <c r="BY72" s="92"/>
      <c r="BZ72" s="92"/>
      <c r="CA72" s="92"/>
      <c r="CB72" s="92"/>
      <c r="CC72" s="92"/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  <c r="CV72" s="92"/>
      <c r="CW72" s="92"/>
      <c r="CX72" s="92"/>
      <c r="CY72" s="92"/>
      <c r="CZ72" s="92"/>
      <c r="DA72" s="92"/>
      <c r="DB72" s="92"/>
      <c r="DC72" s="92"/>
      <c r="DD72" s="92"/>
      <c r="DE72" s="92"/>
      <c r="DF72" s="92"/>
      <c r="DG72" s="92"/>
      <c r="DH72" s="92"/>
      <c r="DI72" s="92"/>
      <c r="DJ72" s="92"/>
      <c r="DK72" s="92"/>
      <c r="DL72" s="92"/>
      <c r="DM72" s="92"/>
      <c r="DN72" s="92"/>
      <c r="DO72" s="92"/>
      <c r="DP72" s="92"/>
      <c r="DQ72" s="92"/>
      <c r="DR72" s="92"/>
      <c r="DS72" s="92"/>
      <c r="DT72" s="92"/>
      <c r="DU72" s="92"/>
      <c r="DV72" s="92"/>
      <c r="DW72" s="92"/>
      <c r="DX72" s="92"/>
      <c r="DY72" s="92"/>
      <c r="DZ72" s="92"/>
      <c r="EA72" s="92"/>
      <c r="EB72" s="92"/>
      <c r="EC72" s="92"/>
      <c r="ED72" s="92"/>
      <c r="EE72" s="92"/>
      <c r="EF72" s="92"/>
      <c r="EG72" s="92"/>
      <c r="EH72" s="92"/>
      <c r="EI72" s="92"/>
      <c r="EJ72" s="92"/>
      <c r="EK72" s="92"/>
      <c r="EL72" s="92"/>
      <c r="EM72" s="92"/>
      <c r="EN72" s="92"/>
      <c r="EO72" s="92"/>
      <c r="EP72" s="92"/>
      <c r="EQ72" s="92"/>
      <c r="ER72" s="92"/>
      <c r="ES72" s="92"/>
      <c r="ET72" s="92"/>
      <c r="EU72" s="92"/>
      <c r="EV72" s="92"/>
      <c r="EW72" s="92"/>
      <c r="EX72" s="92"/>
      <c r="EY72" s="92"/>
      <c r="EZ72" s="92"/>
      <c r="FA72" s="92"/>
      <c r="FB72" s="92"/>
      <c r="FC72" s="92"/>
      <c r="FD72" s="92"/>
      <c r="FE72" s="92"/>
      <c r="FF72" s="92"/>
      <c r="FG72" s="92"/>
      <c r="FH72" s="92"/>
      <c r="FI72" s="92"/>
      <c r="FJ72" s="92"/>
      <c r="FK72" s="92"/>
      <c r="FL72" s="92"/>
      <c r="FM72" s="92"/>
      <c r="FN72" s="92"/>
      <c r="FO72" s="92"/>
      <c r="FP72" s="92"/>
      <c r="FQ72" s="92"/>
      <c r="FR72" s="92"/>
      <c r="FS72" s="92"/>
      <c r="FT72" s="92"/>
      <c r="FU72" s="92"/>
      <c r="FV72" s="92"/>
      <c r="FW72" s="92"/>
      <c r="FX72" s="92"/>
      <c r="FY72" s="92"/>
      <c r="FZ72" s="92"/>
      <c r="GA72" s="92"/>
      <c r="GB72" s="92"/>
      <c r="GC72" s="92"/>
      <c r="GD72" s="92"/>
      <c r="GE72" s="92"/>
      <c r="GF72" s="92"/>
      <c r="GG72" s="92"/>
      <c r="GH72" s="92"/>
      <c r="GI72" s="92"/>
      <c r="GJ72" s="92"/>
      <c r="GK72" s="92"/>
      <c r="GL72" s="92"/>
      <c r="GM72" s="92"/>
      <c r="GN72" s="92"/>
      <c r="GO72" s="92"/>
      <c r="GP72" s="92"/>
      <c r="GQ72" s="92"/>
      <c r="GR72" s="92"/>
      <c r="GS72" s="92"/>
      <c r="GT72" s="92"/>
      <c r="GU72" s="92"/>
      <c r="GV72" s="92"/>
      <c r="GW72" s="92"/>
      <c r="GX72" s="92"/>
      <c r="GY72" s="92"/>
      <c r="GZ72" s="92"/>
      <c r="HA72" s="92"/>
      <c r="HB72" s="92"/>
      <c r="HC72" s="92"/>
      <c r="HD72" s="92"/>
      <c r="HE72" s="92"/>
      <c r="HF72" s="92"/>
      <c r="HG72" s="92"/>
      <c r="HH72" s="92"/>
      <c r="HI72" s="92"/>
      <c r="HJ72" s="92"/>
      <c r="HK72" s="92"/>
      <c r="HL72" s="92"/>
      <c r="HM72" s="92"/>
      <c r="HN72" s="92"/>
      <c r="HO72" s="92"/>
      <c r="HP72" s="92"/>
      <c r="HQ72" s="92"/>
      <c r="HR72" s="92"/>
      <c r="HS72" s="92"/>
      <c r="HT72" s="92"/>
      <c r="HU72" s="92"/>
      <c r="HV72" s="92"/>
      <c r="HW72" s="92"/>
      <c r="HX72" s="92"/>
      <c r="HY72" s="92"/>
      <c r="HZ72" s="92"/>
      <c r="IA72" s="92"/>
      <c r="IB72" s="92"/>
      <c r="IC72" s="92"/>
      <c r="ID72" s="92"/>
      <c r="IE72" s="92"/>
      <c r="IF72" s="92"/>
      <c r="IG72" s="92"/>
      <c r="IH72" s="92"/>
      <c r="II72" s="92"/>
      <c r="IJ72" s="92"/>
      <c r="IK72" s="92"/>
      <c r="IL72" s="92"/>
      <c r="IM72" s="92"/>
      <c r="IN72" s="92"/>
      <c r="IO72" s="92"/>
      <c r="IP72" s="92"/>
      <c r="IQ72" s="92"/>
      <c r="IR72" s="92"/>
      <c r="IS72" s="92"/>
      <c r="IT72" s="92"/>
      <c r="IU72" s="92"/>
      <c r="IV72" s="92"/>
      <c r="IW72" s="92"/>
      <c r="IX72" s="92"/>
      <c r="IY72" s="92"/>
    </row>
    <row r="73" spans="1:259" x14ac:dyDescent="0.3">
      <c r="A73" s="2" t="s">
        <v>298</v>
      </c>
      <c r="B73" s="2" t="s">
        <v>299</v>
      </c>
      <c r="C73" s="2"/>
      <c r="D73" s="2"/>
      <c r="E73" s="2" t="s">
        <v>299</v>
      </c>
      <c r="F73" s="2" t="s">
        <v>60</v>
      </c>
      <c r="G73" s="2" t="s">
        <v>336</v>
      </c>
      <c r="H73" s="2" t="s">
        <v>440</v>
      </c>
      <c r="I73" s="2" t="s">
        <v>439</v>
      </c>
      <c r="J73" s="87"/>
      <c r="K73" s="88">
        <f t="shared" si="0"/>
        <v>0</v>
      </c>
      <c r="L73" s="89">
        <v>0</v>
      </c>
      <c r="M73" s="88">
        <f t="shared" si="28"/>
        <v>0</v>
      </c>
      <c r="N73" s="88">
        <f t="shared" si="2"/>
        <v>0</v>
      </c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1"/>
      <c r="AU73" s="30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2"/>
      <c r="EB73" s="92"/>
      <c r="EC73" s="92"/>
      <c r="ED73" s="92"/>
      <c r="EE73" s="92"/>
      <c r="EF73" s="92"/>
      <c r="EG73" s="92"/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2"/>
      <c r="ET73" s="92"/>
      <c r="EU73" s="92"/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2"/>
      <c r="FH73" s="92"/>
      <c r="FI73" s="92"/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2"/>
      <c r="FV73" s="92"/>
      <c r="FW73" s="92"/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2"/>
      <c r="GJ73" s="92"/>
      <c r="GK73" s="92"/>
      <c r="GL73" s="92"/>
      <c r="GM73" s="92"/>
      <c r="GN73" s="92"/>
      <c r="GO73" s="92"/>
      <c r="GP73" s="92"/>
      <c r="GQ73" s="92"/>
      <c r="GR73" s="92"/>
      <c r="GS73" s="92"/>
      <c r="GT73" s="92"/>
      <c r="GU73" s="92"/>
      <c r="GV73" s="92"/>
      <c r="GW73" s="92"/>
      <c r="GX73" s="92"/>
      <c r="GY73" s="92"/>
      <c r="GZ73" s="92"/>
      <c r="HA73" s="92"/>
      <c r="HB73" s="92"/>
      <c r="HC73" s="92"/>
      <c r="HD73" s="92"/>
      <c r="HE73" s="92"/>
      <c r="HF73" s="92"/>
      <c r="HG73" s="92"/>
      <c r="HH73" s="92"/>
      <c r="HI73" s="92"/>
      <c r="HJ73" s="92"/>
      <c r="HK73" s="92"/>
      <c r="HL73" s="92"/>
      <c r="HM73" s="92"/>
      <c r="HN73" s="92"/>
      <c r="HO73" s="92"/>
      <c r="HP73" s="92"/>
      <c r="HQ73" s="92"/>
      <c r="HR73" s="92"/>
      <c r="HS73" s="92"/>
      <c r="HT73" s="92"/>
      <c r="HU73" s="92"/>
      <c r="HV73" s="92"/>
      <c r="HW73" s="92"/>
      <c r="HX73" s="92"/>
      <c r="HY73" s="92"/>
      <c r="HZ73" s="92"/>
      <c r="IA73" s="92"/>
      <c r="IB73" s="92"/>
      <c r="IC73" s="92"/>
      <c r="ID73" s="92"/>
      <c r="IE73" s="92"/>
      <c r="IF73" s="92"/>
      <c r="IG73" s="92"/>
      <c r="IH73" s="92"/>
      <c r="II73" s="92"/>
      <c r="IJ73" s="92"/>
      <c r="IK73" s="92"/>
      <c r="IL73" s="92"/>
      <c r="IM73" s="92"/>
      <c r="IN73" s="92"/>
      <c r="IO73" s="92"/>
      <c r="IP73" s="92"/>
      <c r="IQ73" s="92"/>
      <c r="IR73" s="92"/>
      <c r="IS73" s="92"/>
      <c r="IT73" s="92"/>
      <c r="IU73" s="92"/>
      <c r="IV73" s="92"/>
      <c r="IW73" s="92"/>
      <c r="IX73" s="92"/>
      <c r="IY73" s="92"/>
    </row>
    <row r="74" spans="1:259" x14ac:dyDescent="0.3">
      <c r="A74" s="2" t="s">
        <v>298</v>
      </c>
      <c r="B74" s="2" t="s">
        <v>299</v>
      </c>
      <c r="C74" s="2"/>
      <c r="D74" s="2"/>
      <c r="E74" s="2" t="s">
        <v>299</v>
      </c>
      <c r="F74" s="2" t="s">
        <v>60</v>
      </c>
      <c r="G74" s="2" t="s">
        <v>419</v>
      </c>
      <c r="H74" s="2" t="s">
        <v>420</v>
      </c>
      <c r="I74" s="2" t="s">
        <v>438</v>
      </c>
      <c r="J74" s="87"/>
      <c r="K74" s="88">
        <f t="shared" si="0"/>
        <v>0</v>
      </c>
      <c r="L74" s="89">
        <v>0</v>
      </c>
      <c r="M74" s="88">
        <f t="shared" si="28"/>
        <v>0</v>
      </c>
      <c r="N74" s="88">
        <f t="shared" si="2"/>
        <v>0</v>
      </c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1"/>
      <c r="AU74" s="30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2"/>
      <c r="BY74" s="92"/>
      <c r="BZ74" s="92"/>
      <c r="CA74" s="92"/>
      <c r="CB74" s="92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  <c r="DQ74" s="92"/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2"/>
      <c r="ED74" s="92"/>
      <c r="EE74" s="92"/>
      <c r="EF74" s="92"/>
      <c r="EG74" s="92"/>
      <c r="EH74" s="92"/>
      <c r="EI74" s="92"/>
      <c r="EJ74" s="92"/>
      <c r="EK74" s="92"/>
      <c r="EL74" s="92"/>
      <c r="EM74" s="92"/>
      <c r="EN74" s="92"/>
      <c r="EO74" s="92"/>
      <c r="EP74" s="92"/>
      <c r="EQ74" s="92"/>
      <c r="ER74" s="92"/>
      <c r="ES74" s="92"/>
      <c r="ET74" s="92"/>
      <c r="EU74" s="92"/>
      <c r="EV74" s="92"/>
      <c r="EW74" s="92"/>
      <c r="EX74" s="92"/>
      <c r="EY74" s="92"/>
      <c r="EZ74" s="92"/>
      <c r="FA74" s="92"/>
      <c r="FB74" s="92"/>
      <c r="FC74" s="92"/>
      <c r="FD74" s="92"/>
      <c r="FE74" s="92"/>
      <c r="FF74" s="92"/>
      <c r="FG74" s="92"/>
      <c r="FH74" s="92"/>
      <c r="FI74" s="92"/>
      <c r="FJ74" s="92"/>
      <c r="FK74" s="92"/>
      <c r="FL74" s="92"/>
      <c r="FM74" s="92"/>
      <c r="FN74" s="92"/>
      <c r="FO74" s="92"/>
      <c r="FP74" s="92"/>
      <c r="FQ74" s="92"/>
      <c r="FR74" s="92"/>
      <c r="FS74" s="92"/>
      <c r="FT74" s="92"/>
      <c r="FU74" s="92"/>
      <c r="FV74" s="92"/>
      <c r="FW74" s="92"/>
      <c r="FX74" s="92"/>
      <c r="FY74" s="92"/>
      <c r="FZ74" s="92"/>
      <c r="GA74" s="92"/>
      <c r="GB74" s="92"/>
      <c r="GC74" s="92"/>
      <c r="GD74" s="92"/>
      <c r="GE74" s="92"/>
      <c r="GF74" s="92"/>
      <c r="GG74" s="92"/>
      <c r="GH74" s="92"/>
      <c r="GI74" s="92"/>
      <c r="GJ74" s="92"/>
      <c r="GK74" s="92"/>
      <c r="GL74" s="92"/>
      <c r="GM74" s="92"/>
      <c r="GN74" s="92"/>
      <c r="GO74" s="92"/>
      <c r="GP74" s="92"/>
      <c r="GQ74" s="92"/>
      <c r="GR74" s="92"/>
      <c r="GS74" s="92"/>
      <c r="GT74" s="92"/>
      <c r="GU74" s="92"/>
      <c r="GV74" s="92"/>
      <c r="GW74" s="92"/>
      <c r="GX74" s="92"/>
      <c r="GY74" s="92"/>
      <c r="GZ74" s="92"/>
      <c r="HA74" s="92"/>
      <c r="HB74" s="92"/>
      <c r="HC74" s="92"/>
      <c r="HD74" s="92"/>
      <c r="HE74" s="92"/>
      <c r="HF74" s="92"/>
      <c r="HG74" s="92"/>
      <c r="HH74" s="92"/>
      <c r="HI74" s="92"/>
      <c r="HJ74" s="92"/>
      <c r="HK74" s="92"/>
      <c r="HL74" s="92"/>
      <c r="HM74" s="92"/>
      <c r="HN74" s="92"/>
      <c r="HO74" s="92"/>
      <c r="HP74" s="92"/>
      <c r="HQ74" s="92"/>
      <c r="HR74" s="92"/>
      <c r="HS74" s="92"/>
      <c r="HT74" s="92"/>
      <c r="HU74" s="92"/>
      <c r="HV74" s="92"/>
      <c r="HW74" s="92"/>
      <c r="HX74" s="92"/>
      <c r="HY74" s="92"/>
      <c r="HZ74" s="92"/>
      <c r="IA74" s="92"/>
      <c r="IB74" s="92"/>
      <c r="IC74" s="92"/>
      <c r="ID74" s="92"/>
      <c r="IE74" s="92"/>
      <c r="IF74" s="92"/>
      <c r="IG74" s="92"/>
      <c r="IH74" s="92"/>
      <c r="II74" s="92"/>
      <c r="IJ74" s="92"/>
      <c r="IK74" s="92"/>
      <c r="IL74" s="92"/>
      <c r="IM74" s="92"/>
      <c r="IN74" s="92"/>
      <c r="IO74" s="92"/>
      <c r="IP74" s="92"/>
      <c r="IQ74" s="92"/>
      <c r="IR74" s="92"/>
      <c r="IS74" s="92"/>
      <c r="IT74" s="92"/>
      <c r="IU74" s="92"/>
      <c r="IV74" s="92"/>
      <c r="IW74" s="92"/>
      <c r="IX74" s="92"/>
      <c r="IY74" s="92"/>
    </row>
    <row r="75" spans="1:259" x14ac:dyDescent="0.3">
      <c r="A75" s="2" t="s">
        <v>298</v>
      </c>
      <c r="B75" s="2" t="s">
        <v>299</v>
      </c>
      <c r="C75" s="2"/>
      <c r="D75" s="2"/>
      <c r="E75" s="2" t="s">
        <v>299</v>
      </c>
      <c r="F75" s="2" t="s">
        <v>60</v>
      </c>
      <c r="G75" s="2" t="s">
        <v>419</v>
      </c>
      <c r="H75" s="2" t="s">
        <v>421</v>
      </c>
      <c r="I75" s="2" t="s">
        <v>438</v>
      </c>
      <c r="J75" s="87"/>
      <c r="K75" s="88">
        <f t="shared" si="0"/>
        <v>0</v>
      </c>
      <c r="L75" s="89">
        <v>0</v>
      </c>
      <c r="M75" s="88">
        <f t="shared" si="28"/>
        <v>0</v>
      </c>
      <c r="N75" s="88">
        <f t="shared" si="2"/>
        <v>0</v>
      </c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1"/>
      <c r="AU75" s="30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/>
      <c r="DM75" s="92"/>
      <c r="DN75" s="92"/>
      <c r="DO75" s="92"/>
      <c r="DP75" s="92"/>
      <c r="DQ75" s="92"/>
      <c r="DR75" s="92"/>
      <c r="DS75" s="92"/>
      <c r="DT75" s="92"/>
      <c r="DU75" s="92"/>
      <c r="DV75" s="92"/>
      <c r="DW75" s="92"/>
      <c r="DX75" s="92"/>
      <c r="DY75" s="92"/>
      <c r="DZ75" s="92"/>
      <c r="EA75" s="92"/>
      <c r="EB75" s="92"/>
      <c r="EC75" s="92"/>
      <c r="ED75" s="92"/>
      <c r="EE75" s="92"/>
      <c r="EF75" s="92"/>
      <c r="EG75" s="92"/>
      <c r="EH75" s="92"/>
      <c r="EI75" s="92"/>
      <c r="EJ75" s="92"/>
      <c r="EK75" s="92"/>
      <c r="EL75" s="92"/>
      <c r="EM75" s="92"/>
      <c r="EN75" s="92"/>
      <c r="EO75" s="92"/>
      <c r="EP75" s="92"/>
      <c r="EQ75" s="92"/>
      <c r="ER75" s="92"/>
      <c r="ES75" s="92"/>
      <c r="ET75" s="92"/>
      <c r="EU75" s="92"/>
      <c r="EV75" s="92"/>
      <c r="EW75" s="92"/>
      <c r="EX75" s="92"/>
      <c r="EY75" s="92"/>
      <c r="EZ75" s="92"/>
      <c r="FA75" s="92"/>
      <c r="FB75" s="92"/>
      <c r="FC75" s="92"/>
      <c r="FD75" s="92"/>
      <c r="FE75" s="92"/>
      <c r="FF75" s="92"/>
      <c r="FG75" s="92"/>
      <c r="FH75" s="92"/>
      <c r="FI75" s="92"/>
      <c r="FJ75" s="92"/>
      <c r="FK75" s="92"/>
      <c r="FL75" s="92"/>
      <c r="FM75" s="92"/>
      <c r="FN75" s="92"/>
      <c r="FO75" s="92"/>
      <c r="FP75" s="92"/>
      <c r="FQ75" s="92"/>
      <c r="FR75" s="92"/>
      <c r="FS75" s="92"/>
      <c r="FT75" s="92"/>
      <c r="FU75" s="92"/>
      <c r="FV75" s="92"/>
      <c r="FW75" s="92"/>
      <c r="FX75" s="92"/>
      <c r="FY75" s="92"/>
      <c r="FZ75" s="92"/>
      <c r="GA75" s="92"/>
      <c r="GB75" s="92"/>
      <c r="GC75" s="92"/>
      <c r="GD75" s="92"/>
      <c r="GE75" s="92"/>
      <c r="GF75" s="92"/>
      <c r="GG75" s="92"/>
      <c r="GH75" s="92"/>
      <c r="GI75" s="92"/>
      <c r="GJ75" s="92"/>
      <c r="GK75" s="92"/>
      <c r="GL75" s="92"/>
      <c r="GM75" s="92"/>
      <c r="GN75" s="92"/>
      <c r="GO75" s="92"/>
      <c r="GP75" s="92"/>
      <c r="GQ75" s="92"/>
      <c r="GR75" s="92"/>
      <c r="GS75" s="92"/>
      <c r="GT75" s="92"/>
      <c r="GU75" s="92"/>
      <c r="GV75" s="92"/>
      <c r="GW75" s="92"/>
      <c r="GX75" s="92"/>
      <c r="GY75" s="92"/>
      <c r="GZ75" s="92"/>
      <c r="HA75" s="92"/>
      <c r="HB75" s="92"/>
      <c r="HC75" s="92"/>
      <c r="HD75" s="92"/>
      <c r="HE75" s="92"/>
      <c r="HF75" s="92"/>
      <c r="HG75" s="92"/>
      <c r="HH75" s="92"/>
      <c r="HI75" s="92"/>
      <c r="HJ75" s="92"/>
      <c r="HK75" s="92"/>
      <c r="HL75" s="92"/>
      <c r="HM75" s="92"/>
      <c r="HN75" s="92"/>
      <c r="HO75" s="92"/>
      <c r="HP75" s="92"/>
      <c r="HQ75" s="92"/>
      <c r="HR75" s="92"/>
      <c r="HS75" s="92"/>
      <c r="HT75" s="92"/>
      <c r="HU75" s="92"/>
      <c r="HV75" s="92"/>
      <c r="HW75" s="92"/>
      <c r="HX75" s="92"/>
      <c r="HY75" s="92"/>
      <c r="HZ75" s="92"/>
      <c r="IA75" s="92"/>
      <c r="IB75" s="92"/>
      <c r="IC75" s="92"/>
      <c r="ID75" s="92"/>
      <c r="IE75" s="92"/>
      <c r="IF75" s="92"/>
      <c r="IG75" s="92"/>
      <c r="IH75" s="92"/>
      <c r="II75" s="92"/>
      <c r="IJ75" s="92"/>
      <c r="IK75" s="92"/>
      <c r="IL75" s="92"/>
      <c r="IM75" s="92"/>
      <c r="IN75" s="92"/>
      <c r="IO75" s="92"/>
      <c r="IP75" s="92"/>
      <c r="IQ75" s="92"/>
      <c r="IR75" s="92"/>
      <c r="IS75" s="92"/>
      <c r="IT75" s="92"/>
      <c r="IU75" s="92"/>
      <c r="IV75" s="92"/>
      <c r="IW75" s="92"/>
      <c r="IX75" s="92"/>
      <c r="IY75" s="92"/>
    </row>
    <row r="76" spans="1:259" x14ac:dyDescent="0.3">
      <c r="A76" s="2" t="s">
        <v>298</v>
      </c>
      <c r="B76" s="2" t="s">
        <v>299</v>
      </c>
      <c r="C76" s="2"/>
      <c r="D76" s="2"/>
      <c r="E76" s="2" t="s">
        <v>299</v>
      </c>
      <c r="F76" s="2" t="s">
        <v>60</v>
      </c>
      <c r="G76" s="2" t="s">
        <v>419</v>
      </c>
      <c r="H76" s="2" t="s">
        <v>422</v>
      </c>
      <c r="I76" s="2" t="s">
        <v>438</v>
      </c>
      <c r="J76" s="87"/>
      <c r="K76" s="88">
        <f t="shared" si="0"/>
        <v>0</v>
      </c>
      <c r="L76" s="89">
        <v>0</v>
      </c>
      <c r="M76" s="88">
        <f t="shared" si="28"/>
        <v>0</v>
      </c>
      <c r="N76" s="88">
        <f t="shared" si="2"/>
        <v>0</v>
      </c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1"/>
      <c r="AU76" s="30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92"/>
      <c r="ER76" s="92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92"/>
      <c r="FD76" s="92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2"/>
      <c r="FV76" s="92"/>
      <c r="FW76" s="92"/>
      <c r="FX76" s="92"/>
      <c r="FY76" s="92"/>
      <c r="FZ76" s="92"/>
      <c r="GA76" s="92"/>
      <c r="GB76" s="92"/>
      <c r="GC76" s="92"/>
      <c r="GD76" s="92"/>
      <c r="GE76" s="92"/>
      <c r="GF76" s="92"/>
      <c r="GG76" s="92"/>
      <c r="GH76" s="92"/>
      <c r="GI76" s="92"/>
      <c r="GJ76" s="92"/>
      <c r="GK76" s="92"/>
      <c r="GL76" s="92"/>
      <c r="GM76" s="92"/>
      <c r="GN76" s="92"/>
      <c r="GO76" s="92"/>
      <c r="GP76" s="92"/>
      <c r="GQ76" s="92"/>
      <c r="GR76" s="92"/>
      <c r="GS76" s="92"/>
      <c r="GT76" s="92"/>
      <c r="GU76" s="92"/>
      <c r="GV76" s="92"/>
      <c r="GW76" s="92"/>
      <c r="GX76" s="92"/>
      <c r="GY76" s="92"/>
      <c r="GZ76" s="92"/>
      <c r="HA76" s="92"/>
      <c r="HB76" s="92"/>
      <c r="HC76" s="92"/>
      <c r="HD76" s="92"/>
      <c r="HE76" s="92"/>
      <c r="HF76" s="92"/>
      <c r="HG76" s="92"/>
      <c r="HH76" s="92"/>
      <c r="HI76" s="92"/>
      <c r="HJ76" s="92"/>
      <c r="HK76" s="92"/>
      <c r="HL76" s="92"/>
      <c r="HM76" s="92"/>
      <c r="HN76" s="92"/>
      <c r="HO76" s="92"/>
      <c r="HP76" s="92"/>
      <c r="HQ76" s="92"/>
      <c r="HR76" s="92"/>
      <c r="HS76" s="92"/>
      <c r="HT76" s="92"/>
      <c r="HU76" s="92"/>
      <c r="HV76" s="92"/>
      <c r="HW76" s="92"/>
      <c r="HX76" s="92"/>
      <c r="HY76" s="92"/>
      <c r="HZ76" s="92"/>
      <c r="IA76" s="92"/>
      <c r="IB76" s="92"/>
      <c r="IC76" s="92"/>
      <c r="ID76" s="92"/>
      <c r="IE76" s="92"/>
      <c r="IF76" s="92"/>
      <c r="IG76" s="92"/>
      <c r="IH76" s="92"/>
      <c r="II76" s="92"/>
      <c r="IJ76" s="92"/>
      <c r="IK76" s="92"/>
      <c r="IL76" s="92"/>
      <c r="IM76" s="92"/>
      <c r="IN76" s="92"/>
      <c r="IO76" s="92"/>
      <c r="IP76" s="92"/>
      <c r="IQ76" s="92"/>
      <c r="IR76" s="92"/>
      <c r="IS76" s="92"/>
      <c r="IT76" s="92"/>
      <c r="IU76" s="92"/>
      <c r="IV76" s="92"/>
      <c r="IW76" s="92"/>
      <c r="IX76" s="92"/>
      <c r="IY76" s="92"/>
    </row>
    <row r="77" spans="1:259" x14ac:dyDescent="0.3">
      <c r="A77" s="2" t="s">
        <v>298</v>
      </c>
      <c r="B77" s="2" t="s">
        <v>299</v>
      </c>
      <c r="C77" s="2"/>
      <c r="D77" s="2"/>
      <c r="E77" s="2" t="s">
        <v>299</v>
      </c>
      <c r="F77" s="2" t="s">
        <v>60</v>
      </c>
      <c r="G77" s="2" t="s">
        <v>419</v>
      </c>
      <c r="H77" s="2" t="s">
        <v>423</v>
      </c>
      <c r="I77" s="2" t="s">
        <v>438</v>
      </c>
      <c r="J77" s="87"/>
      <c r="K77" s="88">
        <f t="shared" si="0"/>
        <v>0</v>
      </c>
      <c r="L77" s="89">
        <v>0</v>
      </c>
      <c r="M77" s="88">
        <f t="shared" si="28"/>
        <v>0</v>
      </c>
      <c r="N77" s="88">
        <f t="shared" si="2"/>
        <v>0</v>
      </c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1"/>
      <c r="AU77" s="30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92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  <c r="DQ77" s="92"/>
      <c r="DR77" s="92"/>
      <c r="DS77" s="92"/>
      <c r="DT77" s="92"/>
      <c r="DU77" s="92"/>
      <c r="DV77" s="92"/>
      <c r="DW77" s="92"/>
      <c r="DX77" s="92"/>
      <c r="DY77" s="92"/>
      <c r="DZ77" s="92"/>
      <c r="EA77" s="92"/>
      <c r="EB77" s="92"/>
      <c r="EC77" s="92"/>
      <c r="ED77" s="92"/>
      <c r="EE77" s="92"/>
      <c r="EF77" s="92"/>
      <c r="EG77" s="92"/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2"/>
      <c r="ET77" s="92"/>
      <c r="EU77" s="92"/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2"/>
      <c r="FH77" s="92"/>
      <c r="FI77" s="92"/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2"/>
      <c r="FV77" s="92"/>
      <c r="FW77" s="92"/>
      <c r="FX77" s="92"/>
      <c r="FY77" s="92"/>
      <c r="FZ77" s="92"/>
      <c r="GA77" s="92"/>
      <c r="GB77" s="92"/>
      <c r="GC77" s="92"/>
      <c r="GD77" s="92"/>
      <c r="GE77" s="92"/>
      <c r="GF77" s="92"/>
      <c r="GG77" s="92"/>
      <c r="GH77" s="92"/>
      <c r="GI77" s="92"/>
      <c r="GJ77" s="92"/>
      <c r="GK77" s="92"/>
      <c r="GL77" s="92"/>
      <c r="GM77" s="92"/>
      <c r="GN77" s="92"/>
      <c r="GO77" s="92"/>
      <c r="GP77" s="92"/>
      <c r="GQ77" s="92"/>
      <c r="GR77" s="92"/>
      <c r="GS77" s="92"/>
      <c r="GT77" s="92"/>
      <c r="GU77" s="92"/>
      <c r="GV77" s="92"/>
      <c r="GW77" s="92"/>
      <c r="GX77" s="92"/>
      <c r="GY77" s="92"/>
      <c r="GZ77" s="92"/>
      <c r="HA77" s="92"/>
      <c r="HB77" s="92"/>
      <c r="HC77" s="92"/>
      <c r="HD77" s="92"/>
      <c r="HE77" s="92"/>
      <c r="HF77" s="92"/>
      <c r="HG77" s="92"/>
      <c r="HH77" s="92"/>
      <c r="HI77" s="92"/>
      <c r="HJ77" s="92"/>
      <c r="HK77" s="92"/>
      <c r="HL77" s="92"/>
      <c r="HM77" s="92"/>
      <c r="HN77" s="92"/>
      <c r="HO77" s="92"/>
      <c r="HP77" s="92"/>
      <c r="HQ77" s="92"/>
      <c r="HR77" s="92"/>
      <c r="HS77" s="92"/>
      <c r="HT77" s="92"/>
      <c r="HU77" s="92"/>
      <c r="HV77" s="92"/>
      <c r="HW77" s="92"/>
      <c r="HX77" s="92"/>
      <c r="HY77" s="92"/>
      <c r="HZ77" s="92"/>
      <c r="IA77" s="92"/>
      <c r="IB77" s="92"/>
      <c r="IC77" s="92"/>
      <c r="ID77" s="92"/>
      <c r="IE77" s="92"/>
      <c r="IF77" s="92"/>
      <c r="IG77" s="92"/>
      <c r="IH77" s="92"/>
      <c r="II77" s="92"/>
      <c r="IJ77" s="92"/>
      <c r="IK77" s="92"/>
      <c r="IL77" s="92"/>
      <c r="IM77" s="92"/>
      <c r="IN77" s="92"/>
      <c r="IO77" s="92"/>
      <c r="IP77" s="92"/>
      <c r="IQ77" s="92"/>
      <c r="IR77" s="92"/>
      <c r="IS77" s="92"/>
      <c r="IT77" s="92"/>
      <c r="IU77" s="92"/>
      <c r="IV77" s="92"/>
      <c r="IW77" s="92"/>
      <c r="IX77" s="92"/>
      <c r="IY77" s="92"/>
    </row>
    <row r="78" spans="1:259" x14ac:dyDescent="0.3">
      <c r="A78" s="2" t="s">
        <v>298</v>
      </c>
      <c r="B78" s="2" t="s">
        <v>299</v>
      </c>
      <c r="C78" s="2"/>
      <c r="D78" s="2"/>
      <c r="E78" s="2" t="s">
        <v>299</v>
      </c>
      <c r="F78" s="2" t="s">
        <v>60</v>
      </c>
      <c r="G78" s="2" t="s">
        <v>419</v>
      </c>
      <c r="H78" s="2" t="s">
        <v>424</v>
      </c>
      <c r="I78" s="2" t="s">
        <v>438</v>
      </c>
      <c r="J78" s="87"/>
      <c r="K78" s="88">
        <f t="shared" si="0"/>
        <v>0</v>
      </c>
      <c r="L78" s="89">
        <v>0</v>
      </c>
      <c r="M78" s="88">
        <f t="shared" si="28"/>
        <v>0</v>
      </c>
      <c r="N78" s="88">
        <f t="shared" si="2"/>
        <v>0</v>
      </c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1"/>
      <c r="AU78" s="30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92"/>
      <c r="DF78" s="92"/>
      <c r="DG78" s="92"/>
      <c r="DH78" s="92"/>
      <c r="DI78" s="92"/>
      <c r="DJ78" s="92"/>
      <c r="DK78" s="92"/>
      <c r="DL78" s="92"/>
      <c r="DM78" s="92"/>
      <c r="DN78" s="92"/>
      <c r="DO78" s="92"/>
      <c r="DP78" s="92"/>
      <c r="DQ78" s="92"/>
      <c r="DR78" s="92"/>
      <c r="DS78" s="92"/>
      <c r="DT78" s="92"/>
      <c r="DU78" s="92"/>
      <c r="DV78" s="92"/>
      <c r="DW78" s="92"/>
      <c r="DX78" s="92"/>
      <c r="DY78" s="92"/>
      <c r="DZ78" s="92"/>
      <c r="EA78" s="92"/>
      <c r="EB78" s="92"/>
      <c r="EC78" s="92"/>
      <c r="ED78" s="92"/>
      <c r="EE78" s="92"/>
      <c r="EF78" s="92"/>
      <c r="EG78" s="92"/>
      <c r="EH78" s="92"/>
      <c r="EI78" s="92"/>
      <c r="EJ78" s="92"/>
      <c r="EK78" s="92"/>
      <c r="EL78" s="92"/>
      <c r="EM78" s="92"/>
      <c r="EN78" s="92"/>
      <c r="EO78" s="92"/>
      <c r="EP78" s="92"/>
      <c r="EQ78" s="92"/>
      <c r="ER78" s="92"/>
      <c r="ES78" s="92"/>
      <c r="ET78" s="92"/>
      <c r="EU78" s="92"/>
      <c r="EV78" s="92"/>
      <c r="EW78" s="92"/>
      <c r="EX78" s="92"/>
      <c r="EY78" s="92"/>
      <c r="EZ78" s="92"/>
      <c r="FA78" s="92"/>
      <c r="FB78" s="92"/>
      <c r="FC78" s="92"/>
      <c r="FD78" s="92"/>
      <c r="FE78" s="92"/>
      <c r="FF78" s="92"/>
      <c r="FG78" s="92"/>
      <c r="FH78" s="92"/>
      <c r="FI78" s="92"/>
      <c r="FJ78" s="92"/>
      <c r="FK78" s="92"/>
      <c r="FL78" s="92"/>
      <c r="FM78" s="92"/>
      <c r="FN78" s="92"/>
      <c r="FO78" s="92"/>
      <c r="FP78" s="92"/>
      <c r="FQ78" s="92"/>
      <c r="FR78" s="92"/>
      <c r="FS78" s="92"/>
      <c r="FT78" s="92"/>
      <c r="FU78" s="92"/>
      <c r="FV78" s="92"/>
      <c r="FW78" s="92"/>
      <c r="FX78" s="92"/>
      <c r="FY78" s="92"/>
      <c r="FZ78" s="92"/>
      <c r="GA78" s="92"/>
      <c r="GB78" s="92"/>
      <c r="GC78" s="92"/>
      <c r="GD78" s="92"/>
      <c r="GE78" s="92"/>
      <c r="GF78" s="92"/>
      <c r="GG78" s="92"/>
      <c r="GH78" s="92"/>
      <c r="GI78" s="92"/>
      <c r="GJ78" s="92"/>
      <c r="GK78" s="92"/>
      <c r="GL78" s="92"/>
      <c r="GM78" s="92"/>
      <c r="GN78" s="92"/>
      <c r="GO78" s="92"/>
      <c r="GP78" s="92"/>
      <c r="GQ78" s="92"/>
      <c r="GR78" s="92"/>
      <c r="GS78" s="92"/>
      <c r="GT78" s="92"/>
      <c r="GU78" s="92"/>
      <c r="GV78" s="92"/>
      <c r="GW78" s="92"/>
      <c r="GX78" s="92"/>
      <c r="GY78" s="92"/>
      <c r="GZ78" s="92"/>
      <c r="HA78" s="92"/>
      <c r="HB78" s="92"/>
      <c r="HC78" s="92"/>
      <c r="HD78" s="92"/>
      <c r="HE78" s="92"/>
      <c r="HF78" s="92"/>
      <c r="HG78" s="92"/>
      <c r="HH78" s="92"/>
      <c r="HI78" s="92"/>
      <c r="HJ78" s="92"/>
      <c r="HK78" s="92"/>
      <c r="HL78" s="92"/>
      <c r="HM78" s="92"/>
      <c r="HN78" s="92"/>
      <c r="HO78" s="92"/>
      <c r="HP78" s="92"/>
      <c r="HQ78" s="92"/>
      <c r="HR78" s="92"/>
      <c r="HS78" s="92"/>
      <c r="HT78" s="92"/>
      <c r="HU78" s="92"/>
      <c r="HV78" s="92"/>
      <c r="HW78" s="92"/>
      <c r="HX78" s="92"/>
      <c r="HY78" s="92"/>
      <c r="HZ78" s="92"/>
      <c r="IA78" s="92"/>
      <c r="IB78" s="92"/>
      <c r="IC78" s="92"/>
      <c r="ID78" s="92"/>
      <c r="IE78" s="92"/>
      <c r="IF78" s="92"/>
      <c r="IG78" s="92"/>
      <c r="IH78" s="92"/>
      <c r="II78" s="92"/>
      <c r="IJ78" s="92"/>
      <c r="IK78" s="92"/>
      <c r="IL78" s="92"/>
      <c r="IM78" s="92"/>
      <c r="IN78" s="92"/>
      <c r="IO78" s="92"/>
      <c r="IP78" s="92"/>
      <c r="IQ78" s="92"/>
      <c r="IR78" s="92"/>
      <c r="IS78" s="92"/>
      <c r="IT78" s="92"/>
      <c r="IU78" s="92"/>
      <c r="IV78" s="92"/>
      <c r="IW78" s="92"/>
      <c r="IX78" s="92"/>
      <c r="IY78" s="92"/>
    </row>
    <row r="79" spans="1:259" x14ac:dyDescent="0.3">
      <c r="A79" s="2" t="s">
        <v>300</v>
      </c>
      <c r="B79" s="2"/>
      <c r="C79" s="2"/>
      <c r="D79" s="2"/>
      <c r="E79" s="2" t="s">
        <v>299</v>
      </c>
      <c r="F79" s="2" t="s">
        <v>60</v>
      </c>
      <c r="G79" s="2" t="s">
        <v>336</v>
      </c>
      <c r="H79" s="2" t="s">
        <v>301</v>
      </c>
      <c r="I79" s="2" t="s">
        <v>348</v>
      </c>
      <c r="J79" s="87"/>
      <c r="K79" s="88">
        <f t="shared" ref="K79:K84" si="32">L79-M79</f>
        <v>1</v>
      </c>
      <c r="L79" s="89">
        <v>1</v>
      </c>
      <c r="M79" s="88">
        <f t="shared" si="28"/>
        <v>0</v>
      </c>
      <c r="N79" s="88">
        <f t="shared" si="2"/>
        <v>1</v>
      </c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1"/>
      <c r="AU79" s="30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2"/>
      <c r="BY79" s="92"/>
      <c r="BZ79" s="92"/>
      <c r="CA79" s="92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92"/>
      <c r="CW79" s="92"/>
      <c r="CX79" s="92"/>
      <c r="CY79" s="92"/>
      <c r="CZ79" s="92"/>
      <c r="DA79" s="92"/>
      <c r="DB79" s="92"/>
      <c r="DC79" s="92"/>
      <c r="DD79" s="92"/>
      <c r="DE79" s="92"/>
      <c r="DF79" s="92"/>
      <c r="DG79" s="92"/>
      <c r="DH79" s="92"/>
      <c r="DI79" s="92"/>
      <c r="DJ79" s="92"/>
      <c r="DK79" s="92"/>
      <c r="DL79" s="92"/>
      <c r="DM79" s="92"/>
      <c r="DN79" s="92"/>
      <c r="DO79" s="92"/>
      <c r="DP79" s="92"/>
      <c r="DQ79" s="92"/>
      <c r="DR79" s="92"/>
      <c r="DS79" s="92"/>
      <c r="DT79" s="92"/>
      <c r="DU79" s="92"/>
      <c r="DV79" s="92"/>
      <c r="DW79" s="92"/>
      <c r="DX79" s="92"/>
      <c r="DY79" s="92"/>
      <c r="DZ79" s="92"/>
      <c r="EA79" s="92"/>
      <c r="EB79" s="92"/>
      <c r="EC79" s="92"/>
      <c r="ED79" s="92"/>
      <c r="EE79" s="92"/>
      <c r="EF79" s="92"/>
      <c r="EG79" s="92"/>
      <c r="EH79" s="92"/>
      <c r="EI79" s="92"/>
      <c r="EJ79" s="92"/>
      <c r="EK79" s="92"/>
      <c r="EL79" s="92"/>
      <c r="EM79" s="92"/>
      <c r="EN79" s="92"/>
      <c r="EO79" s="92"/>
      <c r="EP79" s="92"/>
      <c r="EQ79" s="92"/>
      <c r="ER79" s="92"/>
      <c r="ES79" s="92"/>
      <c r="ET79" s="92"/>
      <c r="EU79" s="92"/>
      <c r="EV79" s="92"/>
      <c r="EW79" s="92"/>
      <c r="EX79" s="92"/>
      <c r="EY79" s="92"/>
      <c r="EZ79" s="92"/>
      <c r="FA79" s="92"/>
      <c r="FB79" s="92"/>
      <c r="FC79" s="92"/>
      <c r="FD79" s="92"/>
      <c r="FE79" s="92"/>
      <c r="FF79" s="92"/>
      <c r="FG79" s="92"/>
      <c r="FH79" s="92"/>
      <c r="FI79" s="92"/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2"/>
      <c r="FU79" s="92"/>
      <c r="FV79" s="92"/>
      <c r="FW79" s="92"/>
      <c r="FX79" s="92"/>
      <c r="FY79" s="92"/>
      <c r="FZ79" s="92"/>
      <c r="GA79" s="92"/>
      <c r="GB79" s="92"/>
      <c r="GC79" s="92"/>
      <c r="GD79" s="92"/>
      <c r="GE79" s="92"/>
      <c r="GF79" s="92"/>
      <c r="GG79" s="92"/>
      <c r="GH79" s="92"/>
      <c r="GI79" s="92"/>
      <c r="GJ79" s="92"/>
      <c r="GK79" s="92"/>
      <c r="GL79" s="92"/>
      <c r="GM79" s="92"/>
      <c r="GN79" s="92"/>
      <c r="GO79" s="92"/>
      <c r="GP79" s="92"/>
      <c r="GQ79" s="92"/>
      <c r="GR79" s="92"/>
      <c r="GS79" s="92"/>
      <c r="GT79" s="92"/>
      <c r="GU79" s="92"/>
      <c r="GV79" s="92"/>
      <c r="GW79" s="92"/>
      <c r="GX79" s="92"/>
      <c r="GY79" s="92"/>
      <c r="GZ79" s="92"/>
      <c r="HA79" s="92"/>
      <c r="HB79" s="92"/>
      <c r="HC79" s="92"/>
      <c r="HD79" s="92"/>
      <c r="HE79" s="92"/>
      <c r="HF79" s="92"/>
      <c r="HG79" s="92"/>
      <c r="HH79" s="92"/>
      <c r="HI79" s="92"/>
      <c r="HJ79" s="92"/>
      <c r="HK79" s="92"/>
      <c r="HL79" s="92"/>
      <c r="HM79" s="92"/>
      <c r="HN79" s="92"/>
      <c r="HO79" s="92"/>
      <c r="HP79" s="92"/>
      <c r="HQ79" s="92"/>
      <c r="HR79" s="92"/>
      <c r="HS79" s="92"/>
      <c r="HT79" s="92"/>
      <c r="HU79" s="92"/>
      <c r="HV79" s="92"/>
      <c r="HW79" s="92"/>
      <c r="HX79" s="92"/>
      <c r="HY79" s="92"/>
      <c r="HZ79" s="92"/>
      <c r="IA79" s="92"/>
      <c r="IB79" s="92"/>
      <c r="IC79" s="92"/>
      <c r="ID79" s="92"/>
      <c r="IE79" s="92"/>
      <c r="IF79" s="92"/>
      <c r="IG79" s="92"/>
      <c r="IH79" s="92"/>
      <c r="II79" s="92"/>
      <c r="IJ79" s="92"/>
      <c r="IK79" s="92"/>
      <c r="IL79" s="92"/>
      <c r="IM79" s="92"/>
      <c r="IN79" s="92"/>
      <c r="IO79" s="92"/>
      <c r="IP79" s="92"/>
      <c r="IQ79" s="92"/>
      <c r="IR79" s="92"/>
      <c r="IS79" s="92"/>
      <c r="IT79" s="92"/>
      <c r="IU79" s="92"/>
      <c r="IV79" s="92"/>
      <c r="IW79" s="92"/>
      <c r="IX79" s="92"/>
      <c r="IY79" s="92"/>
    </row>
    <row r="80" spans="1:259" x14ac:dyDescent="0.3">
      <c r="A80" s="2" t="s">
        <v>300</v>
      </c>
      <c r="B80" s="2"/>
      <c r="C80" s="2"/>
      <c r="D80" s="2"/>
      <c r="E80" s="2" t="s">
        <v>299</v>
      </c>
      <c r="F80" s="2" t="s">
        <v>60</v>
      </c>
      <c r="G80" s="2" t="s">
        <v>336</v>
      </c>
      <c r="H80" s="2" t="s">
        <v>302</v>
      </c>
      <c r="I80" s="2" t="s">
        <v>339</v>
      </c>
      <c r="J80" s="87"/>
      <c r="K80" s="88">
        <f t="shared" si="32"/>
        <v>1</v>
      </c>
      <c r="L80" s="89">
        <v>1</v>
      </c>
      <c r="M80" s="88">
        <f t="shared" si="28"/>
        <v>0</v>
      </c>
      <c r="N80" s="88">
        <f t="shared" si="2"/>
        <v>1</v>
      </c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1"/>
      <c r="AU80" s="30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2"/>
      <c r="BY80" s="92"/>
      <c r="BZ80" s="92"/>
      <c r="CA80" s="92"/>
      <c r="CB80" s="92"/>
      <c r="CC80" s="92"/>
      <c r="CD80" s="92"/>
      <c r="CE80" s="92"/>
      <c r="CF80" s="92"/>
      <c r="CG80" s="92"/>
      <c r="CH80" s="92"/>
      <c r="CI80" s="92"/>
      <c r="CJ80" s="92"/>
      <c r="CK80" s="92"/>
      <c r="CL80" s="92"/>
      <c r="CM80" s="92"/>
      <c r="CN80" s="92"/>
      <c r="CO80" s="92"/>
      <c r="CP80" s="92"/>
      <c r="CQ80" s="92"/>
      <c r="CR80" s="92"/>
      <c r="CS80" s="92"/>
      <c r="CT80" s="92"/>
      <c r="CU80" s="92"/>
      <c r="CV80" s="92"/>
      <c r="CW80" s="92"/>
      <c r="CX80" s="92"/>
      <c r="CY80" s="92"/>
      <c r="CZ80" s="92"/>
      <c r="DA80" s="92"/>
      <c r="DB80" s="92"/>
      <c r="DC80" s="92"/>
      <c r="DD80" s="92"/>
      <c r="DE80" s="92"/>
      <c r="DF80" s="92"/>
      <c r="DG80" s="92"/>
      <c r="DH80" s="92"/>
      <c r="DI80" s="92"/>
      <c r="DJ80" s="92"/>
      <c r="DK80" s="92"/>
      <c r="DL80" s="92"/>
      <c r="DM80" s="92"/>
      <c r="DN80" s="92"/>
      <c r="DO80" s="92"/>
      <c r="DP80" s="92"/>
      <c r="DQ80" s="92"/>
      <c r="DR80" s="92"/>
      <c r="DS80" s="92"/>
      <c r="DT80" s="92"/>
      <c r="DU80" s="92"/>
      <c r="DV80" s="92"/>
      <c r="DW80" s="92"/>
      <c r="DX80" s="92"/>
      <c r="DY80" s="92"/>
      <c r="DZ80" s="92"/>
      <c r="EA80" s="92"/>
      <c r="EB80" s="92"/>
      <c r="EC80" s="92"/>
      <c r="ED80" s="92"/>
      <c r="EE80" s="92"/>
      <c r="EF80" s="92"/>
      <c r="EG80" s="92"/>
      <c r="EH80" s="92"/>
      <c r="EI80" s="92"/>
      <c r="EJ80" s="92"/>
      <c r="EK80" s="92"/>
      <c r="EL80" s="92"/>
      <c r="EM80" s="92"/>
      <c r="EN80" s="92"/>
      <c r="EO80" s="92"/>
      <c r="EP80" s="92"/>
      <c r="EQ80" s="92"/>
      <c r="ER80" s="92"/>
      <c r="ES80" s="92"/>
      <c r="ET80" s="92"/>
      <c r="EU80" s="92"/>
      <c r="EV80" s="92"/>
      <c r="EW80" s="92"/>
      <c r="EX80" s="92"/>
      <c r="EY80" s="92"/>
      <c r="EZ80" s="92"/>
      <c r="FA80" s="92"/>
      <c r="FB80" s="92"/>
      <c r="FC80" s="92"/>
      <c r="FD80" s="92"/>
      <c r="FE80" s="92"/>
      <c r="FF80" s="92"/>
      <c r="FG80" s="92"/>
      <c r="FH80" s="92"/>
      <c r="FI80" s="92"/>
      <c r="FJ80" s="92"/>
      <c r="FK80" s="92"/>
      <c r="FL80" s="92"/>
      <c r="FM80" s="92"/>
      <c r="FN80" s="92"/>
      <c r="FO80" s="92"/>
      <c r="FP80" s="92"/>
      <c r="FQ80" s="92"/>
      <c r="FR80" s="92"/>
      <c r="FS80" s="92"/>
      <c r="FT80" s="92"/>
      <c r="FU80" s="92"/>
      <c r="FV80" s="92"/>
      <c r="FW80" s="92"/>
      <c r="FX80" s="92"/>
      <c r="FY80" s="92"/>
      <c r="FZ80" s="92"/>
      <c r="GA80" s="92"/>
      <c r="GB80" s="92"/>
      <c r="GC80" s="92"/>
      <c r="GD80" s="92"/>
      <c r="GE80" s="92"/>
      <c r="GF80" s="92"/>
      <c r="GG80" s="92"/>
      <c r="GH80" s="92"/>
      <c r="GI80" s="92"/>
      <c r="GJ80" s="92"/>
      <c r="GK80" s="92"/>
      <c r="GL80" s="92"/>
      <c r="GM80" s="92"/>
      <c r="GN80" s="92"/>
      <c r="GO80" s="92"/>
      <c r="GP80" s="92"/>
      <c r="GQ80" s="92"/>
      <c r="GR80" s="92"/>
      <c r="GS80" s="92"/>
      <c r="GT80" s="92"/>
      <c r="GU80" s="92"/>
      <c r="GV80" s="92"/>
      <c r="GW80" s="92"/>
      <c r="GX80" s="92"/>
      <c r="GY80" s="92"/>
      <c r="GZ80" s="92"/>
      <c r="HA80" s="92"/>
      <c r="HB80" s="92"/>
      <c r="HC80" s="92"/>
      <c r="HD80" s="92"/>
      <c r="HE80" s="92"/>
      <c r="HF80" s="92"/>
      <c r="HG80" s="92"/>
      <c r="HH80" s="92"/>
      <c r="HI80" s="92"/>
      <c r="HJ80" s="92"/>
      <c r="HK80" s="92"/>
      <c r="HL80" s="92"/>
      <c r="HM80" s="92"/>
      <c r="HN80" s="92"/>
      <c r="HO80" s="92"/>
      <c r="HP80" s="92"/>
      <c r="HQ80" s="92"/>
      <c r="HR80" s="92"/>
      <c r="HS80" s="92"/>
      <c r="HT80" s="92"/>
      <c r="HU80" s="92"/>
      <c r="HV80" s="92"/>
      <c r="HW80" s="92"/>
      <c r="HX80" s="92"/>
      <c r="HY80" s="92"/>
      <c r="HZ80" s="92"/>
      <c r="IA80" s="92"/>
      <c r="IB80" s="92"/>
      <c r="IC80" s="92"/>
      <c r="ID80" s="92"/>
      <c r="IE80" s="92"/>
      <c r="IF80" s="92"/>
      <c r="IG80" s="92"/>
      <c r="IH80" s="92"/>
      <c r="II80" s="92"/>
      <c r="IJ80" s="92"/>
      <c r="IK80" s="92"/>
      <c r="IL80" s="92"/>
      <c r="IM80" s="92"/>
      <c r="IN80" s="92"/>
      <c r="IO80" s="92"/>
      <c r="IP80" s="92"/>
      <c r="IQ80" s="92"/>
      <c r="IR80" s="92"/>
      <c r="IS80" s="92"/>
      <c r="IT80" s="92"/>
      <c r="IU80" s="92"/>
      <c r="IV80" s="92"/>
      <c r="IW80" s="92"/>
      <c r="IX80" s="92"/>
      <c r="IY80" s="92"/>
    </row>
    <row r="81" spans="1:259" x14ac:dyDescent="0.3">
      <c r="A81" s="2" t="s">
        <v>300</v>
      </c>
      <c r="B81" s="2"/>
      <c r="C81" s="2"/>
      <c r="D81" s="2"/>
      <c r="E81" s="2" t="s">
        <v>299</v>
      </c>
      <c r="F81" s="2" t="s">
        <v>60</v>
      </c>
      <c r="G81" s="2" t="s">
        <v>336</v>
      </c>
      <c r="H81" s="2" t="s">
        <v>342</v>
      </c>
      <c r="I81" s="2" t="s">
        <v>343</v>
      </c>
      <c r="J81" s="87"/>
      <c r="K81" s="88">
        <f t="shared" si="32"/>
        <v>0</v>
      </c>
      <c r="L81" s="89">
        <v>0</v>
      </c>
      <c r="M81" s="88">
        <f t="shared" si="28"/>
        <v>0</v>
      </c>
      <c r="N81" s="88">
        <f t="shared" ref="N81" si="33">K81</f>
        <v>0</v>
      </c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1"/>
      <c r="AU81" s="30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2"/>
      <c r="BY81" s="92"/>
      <c r="BZ81" s="92"/>
      <c r="CA81" s="92"/>
      <c r="CB81" s="92"/>
      <c r="CC81" s="92"/>
      <c r="CD81" s="92"/>
      <c r="CE81" s="92"/>
      <c r="CF81" s="92"/>
      <c r="CG81" s="92"/>
      <c r="CH81" s="92"/>
      <c r="CI81" s="92"/>
      <c r="CJ81" s="92"/>
      <c r="CK81" s="92"/>
      <c r="CL81" s="92"/>
      <c r="CM81" s="92"/>
      <c r="CN81" s="92"/>
      <c r="CO81" s="92"/>
      <c r="CP81" s="92"/>
      <c r="CQ81" s="92"/>
      <c r="CR81" s="92"/>
      <c r="CS81" s="92"/>
      <c r="CT81" s="92"/>
      <c r="CU81" s="92"/>
      <c r="CV81" s="92"/>
      <c r="CW81" s="92"/>
      <c r="CX81" s="92"/>
      <c r="CY81" s="92"/>
      <c r="CZ81" s="92"/>
      <c r="DA81" s="92"/>
      <c r="DB81" s="92"/>
      <c r="DC81" s="92"/>
      <c r="DD81" s="92"/>
      <c r="DE81" s="92"/>
      <c r="DF81" s="92"/>
      <c r="DG81" s="92"/>
      <c r="DH81" s="92"/>
      <c r="DI81" s="92"/>
      <c r="DJ81" s="92"/>
      <c r="DK81" s="92"/>
      <c r="DL81" s="92"/>
      <c r="DM81" s="92"/>
      <c r="DN81" s="92"/>
      <c r="DO81" s="92"/>
      <c r="DP81" s="92"/>
      <c r="DQ81" s="92"/>
      <c r="DR81" s="92"/>
      <c r="DS81" s="92"/>
      <c r="DT81" s="92"/>
      <c r="DU81" s="92"/>
      <c r="DV81" s="92"/>
      <c r="DW81" s="92"/>
      <c r="DX81" s="92"/>
      <c r="DY81" s="92"/>
      <c r="DZ81" s="92"/>
      <c r="EA81" s="92"/>
      <c r="EB81" s="92"/>
      <c r="EC81" s="92"/>
      <c r="ED81" s="92"/>
      <c r="EE81" s="92"/>
      <c r="EF81" s="92"/>
      <c r="EG81" s="92"/>
      <c r="EH81" s="92"/>
      <c r="EI81" s="92"/>
      <c r="EJ81" s="92"/>
      <c r="EK81" s="92"/>
      <c r="EL81" s="92"/>
      <c r="EM81" s="92"/>
      <c r="EN81" s="92"/>
      <c r="EO81" s="92"/>
      <c r="EP81" s="92"/>
      <c r="EQ81" s="92"/>
      <c r="ER81" s="92"/>
      <c r="ES81" s="92"/>
      <c r="ET81" s="92"/>
      <c r="EU81" s="92"/>
      <c r="EV81" s="92"/>
      <c r="EW81" s="92"/>
      <c r="EX81" s="92"/>
      <c r="EY81" s="92"/>
      <c r="EZ81" s="92"/>
      <c r="FA81" s="92"/>
      <c r="FB81" s="92"/>
      <c r="FC81" s="92"/>
      <c r="FD81" s="92"/>
      <c r="FE81" s="92"/>
      <c r="FF81" s="92"/>
      <c r="FG81" s="92"/>
      <c r="FH81" s="92"/>
      <c r="FI81" s="92"/>
      <c r="FJ81" s="92"/>
      <c r="FK81" s="92"/>
      <c r="FL81" s="92"/>
      <c r="FM81" s="92"/>
      <c r="FN81" s="92"/>
      <c r="FO81" s="92"/>
      <c r="FP81" s="92"/>
      <c r="FQ81" s="92"/>
      <c r="FR81" s="92"/>
      <c r="FS81" s="92"/>
      <c r="FT81" s="92"/>
      <c r="FU81" s="92"/>
      <c r="FV81" s="92"/>
      <c r="FW81" s="92"/>
      <c r="FX81" s="92"/>
      <c r="FY81" s="92"/>
      <c r="FZ81" s="92"/>
      <c r="GA81" s="92"/>
      <c r="GB81" s="92"/>
      <c r="GC81" s="92"/>
      <c r="GD81" s="92"/>
      <c r="GE81" s="92"/>
      <c r="GF81" s="92"/>
      <c r="GG81" s="92"/>
      <c r="GH81" s="92"/>
      <c r="GI81" s="92"/>
      <c r="GJ81" s="92"/>
      <c r="GK81" s="92"/>
      <c r="GL81" s="92"/>
      <c r="GM81" s="92"/>
      <c r="GN81" s="92"/>
      <c r="GO81" s="92"/>
      <c r="GP81" s="92"/>
      <c r="GQ81" s="92"/>
      <c r="GR81" s="92"/>
      <c r="GS81" s="92"/>
      <c r="GT81" s="92"/>
      <c r="GU81" s="92"/>
      <c r="GV81" s="92"/>
      <c r="GW81" s="92"/>
      <c r="GX81" s="92"/>
      <c r="GY81" s="92"/>
      <c r="GZ81" s="92"/>
      <c r="HA81" s="92"/>
      <c r="HB81" s="92"/>
      <c r="HC81" s="92"/>
      <c r="HD81" s="92"/>
      <c r="HE81" s="92"/>
      <c r="HF81" s="92"/>
      <c r="HG81" s="92"/>
      <c r="HH81" s="92"/>
      <c r="HI81" s="92"/>
      <c r="HJ81" s="92"/>
      <c r="HK81" s="92"/>
      <c r="HL81" s="92"/>
      <c r="HM81" s="92"/>
      <c r="HN81" s="92"/>
      <c r="HO81" s="92"/>
      <c r="HP81" s="92"/>
      <c r="HQ81" s="92"/>
      <c r="HR81" s="92"/>
      <c r="HS81" s="92"/>
      <c r="HT81" s="92"/>
      <c r="HU81" s="92"/>
      <c r="HV81" s="92"/>
      <c r="HW81" s="92"/>
      <c r="HX81" s="92"/>
      <c r="HY81" s="92"/>
      <c r="HZ81" s="92"/>
      <c r="IA81" s="92"/>
      <c r="IB81" s="92"/>
      <c r="IC81" s="92"/>
      <c r="ID81" s="92"/>
      <c r="IE81" s="92"/>
      <c r="IF81" s="92"/>
      <c r="IG81" s="92"/>
      <c r="IH81" s="92"/>
      <c r="II81" s="92"/>
      <c r="IJ81" s="92"/>
      <c r="IK81" s="92"/>
      <c r="IL81" s="92"/>
      <c r="IM81" s="92"/>
      <c r="IN81" s="92"/>
      <c r="IO81" s="92"/>
      <c r="IP81" s="92"/>
      <c r="IQ81" s="92"/>
      <c r="IR81" s="92"/>
      <c r="IS81" s="92"/>
      <c r="IT81" s="92"/>
      <c r="IU81" s="92"/>
      <c r="IV81" s="92"/>
      <c r="IW81" s="92"/>
      <c r="IX81" s="92"/>
      <c r="IY81" s="92"/>
    </row>
    <row r="82" spans="1:259" x14ac:dyDescent="0.3">
      <c r="A82" s="2" t="s">
        <v>300</v>
      </c>
      <c r="B82" s="2"/>
      <c r="C82" s="2"/>
      <c r="D82" s="2"/>
      <c r="E82" s="2" t="s">
        <v>299</v>
      </c>
      <c r="F82" s="2" t="s">
        <v>60</v>
      </c>
      <c r="G82" s="2" t="s">
        <v>336</v>
      </c>
      <c r="H82" s="2" t="s">
        <v>355</v>
      </c>
      <c r="I82" s="2" t="s">
        <v>357</v>
      </c>
      <c r="J82" s="87"/>
      <c r="K82" s="88">
        <f t="shared" si="32"/>
        <v>0</v>
      </c>
      <c r="L82" s="89">
        <v>0</v>
      </c>
      <c r="M82" s="88">
        <f t="shared" si="28"/>
        <v>0</v>
      </c>
      <c r="N82" s="88">
        <f t="shared" ref="N82" si="34">K82</f>
        <v>0</v>
      </c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1"/>
      <c r="AU82" s="30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2"/>
      <c r="BY82" s="92"/>
      <c r="BZ82" s="92"/>
      <c r="CA82" s="92"/>
      <c r="CB82" s="92"/>
      <c r="CC82" s="92"/>
      <c r="CD82" s="92"/>
      <c r="CE82" s="92"/>
      <c r="CF82" s="92"/>
      <c r="CG82" s="92"/>
      <c r="CH82" s="92"/>
      <c r="CI82" s="92"/>
      <c r="CJ82" s="92"/>
      <c r="CK82" s="92"/>
      <c r="CL82" s="92"/>
      <c r="CM82" s="92"/>
      <c r="CN82" s="92"/>
      <c r="CO82" s="92"/>
      <c r="CP82" s="92"/>
      <c r="CQ82" s="92"/>
      <c r="CR82" s="92"/>
      <c r="CS82" s="92"/>
      <c r="CT82" s="92"/>
      <c r="CU82" s="92"/>
      <c r="CV82" s="92"/>
      <c r="CW82" s="92"/>
      <c r="CX82" s="92"/>
      <c r="CY82" s="92"/>
      <c r="CZ82" s="92"/>
      <c r="DA82" s="92"/>
      <c r="DB82" s="92"/>
      <c r="DC82" s="92"/>
      <c r="DD82" s="92"/>
      <c r="DE82" s="92"/>
      <c r="DF82" s="92"/>
      <c r="DG82" s="92"/>
      <c r="DH82" s="92"/>
      <c r="DI82" s="92"/>
      <c r="DJ82" s="92"/>
      <c r="DK82" s="92"/>
      <c r="DL82" s="92"/>
      <c r="DM82" s="92"/>
      <c r="DN82" s="92"/>
      <c r="DO82" s="92"/>
      <c r="DP82" s="92"/>
      <c r="DQ82" s="92"/>
      <c r="DR82" s="92"/>
      <c r="DS82" s="92"/>
      <c r="DT82" s="92"/>
      <c r="DU82" s="92"/>
      <c r="DV82" s="92"/>
      <c r="DW82" s="92"/>
      <c r="DX82" s="92"/>
      <c r="DY82" s="92"/>
      <c r="DZ82" s="92"/>
      <c r="EA82" s="92"/>
      <c r="EB82" s="92"/>
      <c r="EC82" s="92"/>
      <c r="ED82" s="92"/>
      <c r="EE82" s="92"/>
      <c r="EF82" s="92"/>
      <c r="EG82" s="92"/>
      <c r="EH82" s="92"/>
      <c r="EI82" s="92"/>
      <c r="EJ82" s="92"/>
      <c r="EK82" s="92"/>
      <c r="EL82" s="92"/>
      <c r="EM82" s="92"/>
      <c r="EN82" s="92"/>
      <c r="EO82" s="92"/>
      <c r="EP82" s="92"/>
      <c r="EQ82" s="92"/>
      <c r="ER82" s="92"/>
      <c r="ES82" s="92"/>
      <c r="ET82" s="92"/>
      <c r="EU82" s="92"/>
      <c r="EV82" s="92"/>
      <c r="EW82" s="92"/>
      <c r="EX82" s="92"/>
      <c r="EY82" s="92"/>
      <c r="EZ82" s="92"/>
      <c r="FA82" s="92"/>
      <c r="FB82" s="92"/>
      <c r="FC82" s="92"/>
      <c r="FD82" s="92"/>
      <c r="FE82" s="92"/>
      <c r="FF82" s="92"/>
      <c r="FG82" s="92"/>
      <c r="FH82" s="92"/>
      <c r="FI82" s="92"/>
      <c r="FJ82" s="92"/>
      <c r="FK82" s="92"/>
      <c r="FL82" s="92"/>
      <c r="FM82" s="92"/>
      <c r="FN82" s="92"/>
      <c r="FO82" s="92"/>
      <c r="FP82" s="92"/>
      <c r="FQ82" s="92"/>
      <c r="FR82" s="92"/>
      <c r="FS82" s="92"/>
      <c r="FT82" s="92"/>
      <c r="FU82" s="92"/>
      <c r="FV82" s="92"/>
      <c r="FW82" s="92"/>
      <c r="FX82" s="92"/>
      <c r="FY82" s="92"/>
      <c r="FZ82" s="92"/>
      <c r="GA82" s="92"/>
      <c r="GB82" s="92"/>
      <c r="GC82" s="92"/>
      <c r="GD82" s="92"/>
      <c r="GE82" s="92"/>
      <c r="GF82" s="92"/>
      <c r="GG82" s="92"/>
      <c r="GH82" s="92"/>
      <c r="GI82" s="92"/>
      <c r="GJ82" s="92"/>
      <c r="GK82" s="92"/>
      <c r="GL82" s="92"/>
      <c r="GM82" s="92"/>
      <c r="GN82" s="92"/>
      <c r="GO82" s="92"/>
      <c r="GP82" s="92"/>
      <c r="GQ82" s="92"/>
      <c r="GR82" s="92"/>
      <c r="GS82" s="92"/>
      <c r="GT82" s="92"/>
      <c r="GU82" s="92"/>
      <c r="GV82" s="92"/>
      <c r="GW82" s="92"/>
      <c r="GX82" s="92"/>
      <c r="GY82" s="92"/>
      <c r="GZ82" s="92"/>
      <c r="HA82" s="92"/>
      <c r="HB82" s="92"/>
      <c r="HC82" s="92"/>
      <c r="HD82" s="92"/>
      <c r="HE82" s="92"/>
      <c r="HF82" s="92"/>
      <c r="HG82" s="92"/>
      <c r="HH82" s="92"/>
      <c r="HI82" s="92"/>
      <c r="HJ82" s="92"/>
      <c r="HK82" s="92"/>
      <c r="HL82" s="92"/>
      <c r="HM82" s="92"/>
      <c r="HN82" s="92"/>
      <c r="HO82" s="92"/>
      <c r="HP82" s="92"/>
      <c r="HQ82" s="92"/>
      <c r="HR82" s="92"/>
      <c r="HS82" s="92"/>
      <c r="HT82" s="92"/>
      <c r="HU82" s="92"/>
      <c r="HV82" s="92"/>
      <c r="HW82" s="92"/>
      <c r="HX82" s="92"/>
      <c r="HY82" s="92"/>
      <c r="HZ82" s="92"/>
      <c r="IA82" s="92"/>
      <c r="IB82" s="92"/>
      <c r="IC82" s="92"/>
      <c r="ID82" s="92"/>
      <c r="IE82" s="92"/>
      <c r="IF82" s="92"/>
      <c r="IG82" s="92"/>
      <c r="IH82" s="92"/>
      <c r="II82" s="92"/>
      <c r="IJ82" s="92"/>
      <c r="IK82" s="92"/>
      <c r="IL82" s="92"/>
      <c r="IM82" s="92"/>
      <c r="IN82" s="92"/>
      <c r="IO82" s="92"/>
      <c r="IP82" s="92"/>
      <c r="IQ82" s="92"/>
      <c r="IR82" s="92"/>
      <c r="IS82" s="92"/>
      <c r="IT82" s="92"/>
      <c r="IU82" s="92"/>
      <c r="IV82" s="92"/>
      <c r="IW82" s="92"/>
      <c r="IX82" s="92"/>
      <c r="IY82" s="92"/>
    </row>
    <row r="83" spans="1:259" x14ac:dyDescent="0.3">
      <c r="A83" s="2" t="s">
        <v>300</v>
      </c>
      <c r="B83" s="2"/>
      <c r="C83" s="2"/>
      <c r="D83" s="2"/>
      <c r="E83" s="2" t="s">
        <v>299</v>
      </c>
      <c r="F83" s="2" t="s">
        <v>60</v>
      </c>
      <c r="G83" s="2" t="s">
        <v>336</v>
      </c>
      <c r="H83" s="2" t="s">
        <v>402</v>
      </c>
      <c r="I83" s="2" t="s">
        <v>405</v>
      </c>
      <c r="J83" s="87"/>
      <c r="K83" s="88">
        <f t="shared" si="32"/>
        <v>1</v>
      </c>
      <c r="L83" s="89">
        <v>1</v>
      </c>
      <c r="M83" s="88">
        <f t="shared" si="28"/>
        <v>0</v>
      </c>
      <c r="N83" s="88">
        <f t="shared" ref="N83:N84" si="35">K83</f>
        <v>1</v>
      </c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1"/>
      <c r="AU83" s="30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2"/>
      <c r="BY83" s="92"/>
      <c r="BZ83" s="92"/>
      <c r="CA83" s="92"/>
      <c r="CB83" s="92"/>
      <c r="CC83" s="92"/>
      <c r="CD83" s="92"/>
      <c r="CE83" s="92"/>
      <c r="CF83" s="92"/>
      <c r="CG83" s="92"/>
      <c r="CH83" s="92"/>
      <c r="CI83" s="92"/>
      <c r="CJ83" s="92"/>
      <c r="CK83" s="92"/>
      <c r="CL83" s="92"/>
      <c r="CM83" s="92"/>
      <c r="CN83" s="92"/>
      <c r="CO83" s="92"/>
      <c r="CP83" s="92"/>
      <c r="CQ83" s="92"/>
      <c r="CR83" s="92"/>
      <c r="CS83" s="92"/>
      <c r="CT83" s="92"/>
      <c r="CU83" s="92"/>
      <c r="CV83" s="92"/>
      <c r="CW83" s="92"/>
      <c r="CX83" s="92"/>
      <c r="CY83" s="92"/>
      <c r="CZ83" s="92"/>
      <c r="DA83" s="92"/>
      <c r="DB83" s="92"/>
      <c r="DC83" s="92"/>
      <c r="DD83" s="92"/>
      <c r="DE83" s="92"/>
      <c r="DF83" s="92"/>
      <c r="DG83" s="92"/>
      <c r="DH83" s="92"/>
      <c r="DI83" s="92"/>
      <c r="DJ83" s="92"/>
      <c r="DK83" s="92"/>
      <c r="DL83" s="92"/>
      <c r="DM83" s="92"/>
      <c r="DN83" s="92"/>
      <c r="DO83" s="92"/>
      <c r="DP83" s="92"/>
      <c r="DQ83" s="92"/>
      <c r="DR83" s="92"/>
      <c r="DS83" s="92"/>
      <c r="DT83" s="92"/>
      <c r="DU83" s="92"/>
      <c r="DV83" s="92"/>
      <c r="DW83" s="92"/>
      <c r="DX83" s="92"/>
      <c r="DY83" s="92"/>
      <c r="DZ83" s="92"/>
      <c r="EA83" s="92"/>
      <c r="EB83" s="92"/>
      <c r="EC83" s="92"/>
      <c r="ED83" s="92"/>
      <c r="EE83" s="92"/>
      <c r="EF83" s="92"/>
      <c r="EG83" s="92"/>
      <c r="EH83" s="92"/>
      <c r="EI83" s="92"/>
      <c r="EJ83" s="92"/>
      <c r="EK83" s="92"/>
      <c r="EL83" s="92"/>
      <c r="EM83" s="92"/>
      <c r="EN83" s="92"/>
      <c r="EO83" s="92"/>
      <c r="EP83" s="92"/>
      <c r="EQ83" s="92"/>
      <c r="ER83" s="92"/>
      <c r="ES83" s="92"/>
      <c r="ET83" s="92"/>
      <c r="EU83" s="92"/>
      <c r="EV83" s="92"/>
      <c r="EW83" s="92"/>
      <c r="EX83" s="92"/>
      <c r="EY83" s="92"/>
      <c r="EZ83" s="92"/>
      <c r="FA83" s="92"/>
      <c r="FB83" s="92"/>
      <c r="FC83" s="92"/>
      <c r="FD83" s="92"/>
      <c r="FE83" s="92"/>
      <c r="FF83" s="92"/>
      <c r="FG83" s="92"/>
      <c r="FH83" s="92"/>
      <c r="FI83" s="92"/>
      <c r="FJ83" s="92"/>
      <c r="FK83" s="92"/>
      <c r="FL83" s="92"/>
      <c r="FM83" s="92"/>
      <c r="FN83" s="92"/>
      <c r="FO83" s="92"/>
      <c r="FP83" s="92"/>
      <c r="FQ83" s="92"/>
      <c r="FR83" s="92"/>
      <c r="FS83" s="92"/>
      <c r="FT83" s="92"/>
      <c r="FU83" s="92"/>
      <c r="FV83" s="92"/>
      <c r="FW83" s="92"/>
      <c r="FX83" s="92"/>
      <c r="FY83" s="92"/>
      <c r="FZ83" s="92"/>
      <c r="GA83" s="92"/>
      <c r="GB83" s="92"/>
      <c r="GC83" s="92"/>
      <c r="GD83" s="92"/>
      <c r="GE83" s="92"/>
      <c r="GF83" s="92"/>
      <c r="GG83" s="92"/>
      <c r="GH83" s="92"/>
      <c r="GI83" s="92"/>
      <c r="GJ83" s="92"/>
      <c r="GK83" s="92"/>
      <c r="GL83" s="92"/>
      <c r="GM83" s="92"/>
      <c r="GN83" s="92"/>
      <c r="GO83" s="92"/>
      <c r="GP83" s="92"/>
      <c r="GQ83" s="92"/>
      <c r="GR83" s="92"/>
      <c r="GS83" s="92"/>
      <c r="GT83" s="92"/>
      <c r="GU83" s="92"/>
      <c r="GV83" s="92"/>
      <c r="GW83" s="92"/>
      <c r="GX83" s="92"/>
      <c r="GY83" s="92"/>
      <c r="GZ83" s="92"/>
      <c r="HA83" s="92"/>
      <c r="HB83" s="92"/>
      <c r="HC83" s="92"/>
      <c r="HD83" s="92"/>
      <c r="HE83" s="92"/>
      <c r="HF83" s="92"/>
      <c r="HG83" s="92"/>
      <c r="HH83" s="92"/>
      <c r="HI83" s="92"/>
      <c r="HJ83" s="92"/>
      <c r="HK83" s="92"/>
      <c r="HL83" s="92"/>
      <c r="HM83" s="92"/>
      <c r="HN83" s="92"/>
      <c r="HO83" s="92"/>
      <c r="HP83" s="92"/>
      <c r="HQ83" s="92"/>
      <c r="HR83" s="92"/>
      <c r="HS83" s="92"/>
      <c r="HT83" s="92"/>
      <c r="HU83" s="92"/>
      <c r="HV83" s="92"/>
      <c r="HW83" s="92"/>
      <c r="HX83" s="92"/>
      <c r="HY83" s="92"/>
      <c r="HZ83" s="92"/>
      <c r="IA83" s="92"/>
      <c r="IB83" s="92"/>
      <c r="IC83" s="92"/>
      <c r="ID83" s="92"/>
      <c r="IE83" s="92"/>
      <c r="IF83" s="92"/>
      <c r="IG83" s="92"/>
      <c r="IH83" s="92"/>
      <c r="II83" s="92"/>
      <c r="IJ83" s="92"/>
      <c r="IK83" s="92"/>
      <c r="IL83" s="92"/>
      <c r="IM83" s="92"/>
      <c r="IN83" s="92"/>
      <c r="IO83" s="92"/>
      <c r="IP83" s="92"/>
      <c r="IQ83" s="92"/>
      <c r="IR83" s="92"/>
      <c r="IS83" s="92"/>
      <c r="IT83" s="92"/>
      <c r="IU83" s="92"/>
      <c r="IV83" s="92"/>
      <c r="IW83" s="92"/>
      <c r="IX83" s="92"/>
      <c r="IY83" s="92"/>
    </row>
    <row r="84" spans="1:259" x14ac:dyDescent="0.3">
      <c r="A84" s="2" t="s">
        <v>300</v>
      </c>
      <c r="B84" s="2"/>
      <c r="C84" s="2"/>
      <c r="D84" s="2"/>
      <c r="E84" s="2" t="s">
        <v>299</v>
      </c>
      <c r="F84" s="2" t="s">
        <v>60</v>
      </c>
      <c r="G84" s="2" t="s">
        <v>336</v>
      </c>
      <c r="H84" s="2" t="s">
        <v>403</v>
      </c>
      <c r="I84" s="2" t="s">
        <v>444</v>
      </c>
      <c r="J84" s="87"/>
      <c r="K84" s="88">
        <f t="shared" si="32"/>
        <v>0</v>
      </c>
      <c r="L84" s="89">
        <v>0</v>
      </c>
      <c r="M84" s="88">
        <f t="shared" si="28"/>
        <v>0</v>
      </c>
      <c r="N84" s="88">
        <f t="shared" si="35"/>
        <v>0</v>
      </c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1"/>
      <c r="AU84" s="30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2"/>
      <c r="BY84" s="92"/>
      <c r="BZ84" s="92"/>
      <c r="CA84" s="92"/>
      <c r="CB84" s="92"/>
      <c r="CC84" s="92"/>
      <c r="CD84" s="92"/>
      <c r="CE84" s="92"/>
      <c r="CF84" s="92"/>
      <c r="CG84" s="92"/>
      <c r="CH84" s="92"/>
      <c r="CI84" s="92"/>
      <c r="CJ84" s="92"/>
      <c r="CK84" s="92"/>
      <c r="CL84" s="92"/>
      <c r="CM84" s="92"/>
      <c r="CN84" s="92"/>
      <c r="CO84" s="92"/>
      <c r="CP84" s="92"/>
      <c r="CQ84" s="92"/>
      <c r="CR84" s="92"/>
      <c r="CS84" s="92"/>
      <c r="CT84" s="92"/>
      <c r="CU84" s="92"/>
      <c r="CV84" s="92"/>
      <c r="CW84" s="92"/>
      <c r="CX84" s="92"/>
      <c r="CY84" s="92"/>
      <c r="CZ84" s="92"/>
      <c r="DA84" s="92"/>
      <c r="DB84" s="92"/>
      <c r="DC84" s="92"/>
      <c r="DD84" s="92"/>
      <c r="DE84" s="92"/>
      <c r="DF84" s="92"/>
      <c r="DG84" s="92"/>
      <c r="DH84" s="92"/>
      <c r="DI84" s="92"/>
      <c r="DJ84" s="92"/>
      <c r="DK84" s="92"/>
      <c r="DL84" s="92"/>
      <c r="DM84" s="92"/>
      <c r="DN84" s="92"/>
      <c r="DO84" s="92"/>
      <c r="DP84" s="92"/>
      <c r="DQ84" s="92"/>
      <c r="DR84" s="92"/>
      <c r="DS84" s="92"/>
      <c r="DT84" s="92"/>
      <c r="DU84" s="92"/>
      <c r="DV84" s="92"/>
      <c r="DW84" s="92"/>
      <c r="DX84" s="92"/>
      <c r="DY84" s="92"/>
      <c r="DZ84" s="92"/>
      <c r="EA84" s="92"/>
      <c r="EB84" s="92"/>
      <c r="EC84" s="92"/>
      <c r="ED84" s="92"/>
      <c r="EE84" s="92"/>
      <c r="EF84" s="92"/>
      <c r="EG84" s="92"/>
      <c r="EH84" s="92"/>
      <c r="EI84" s="92"/>
      <c r="EJ84" s="92"/>
      <c r="EK84" s="92"/>
      <c r="EL84" s="92"/>
      <c r="EM84" s="92"/>
      <c r="EN84" s="92"/>
      <c r="EO84" s="92"/>
      <c r="EP84" s="92"/>
      <c r="EQ84" s="92"/>
      <c r="ER84" s="92"/>
      <c r="ES84" s="92"/>
      <c r="ET84" s="92"/>
      <c r="EU84" s="92"/>
      <c r="EV84" s="92"/>
      <c r="EW84" s="92"/>
      <c r="EX84" s="92"/>
      <c r="EY84" s="92"/>
      <c r="EZ84" s="92"/>
      <c r="FA84" s="92"/>
      <c r="FB84" s="92"/>
      <c r="FC84" s="92"/>
      <c r="FD84" s="92"/>
      <c r="FE84" s="92"/>
      <c r="FF84" s="92"/>
      <c r="FG84" s="92"/>
      <c r="FH84" s="92"/>
      <c r="FI84" s="92"/>
      <c r="FJ84" s="92"/>
      <c r="FK84" s="92"/>
      <c r="FL84" s="92"/>
      <c r="FM84" s="92"/>
      <c r="FN84" s="92"/>
      <c r="FO84" s="92"/>
      <c r="FP84" s="92"/>
      <c r="FQ84" s="92"/>
      <c r="FR84" s="92"/>
      <c r="FS84" s="92"/>
      <c r="FT84" s="92"/>
      <c r="FU84" s="92"/>
      <c r="FV84" s="92"/>
      <c r="FW84" s="92"/>
      <c r="FX84" s="92"/>
      <c r="FY84" s="92"/>
      <c r="FZ84" s="92"/>
      <c r="GA84" s="92"/>
      <c r="GB84" s="92"/>
      <c r="GC84" s="92"/>
      <c r="GD84" s="92"/>
      <c r="GE84" s="92"/>
      <c r="GF84" s="92"/>
      <c r="GG84" s="92"/>
      <c r="GH84" s="92"/>
      <c r="GI84" s="92"/>
      <c r="GJ84" s="92"/>
      <c r="GK84" s="92"/>
      <c r="GL84" s="92"/>
      <c r="GM84" s="92"/>
      <c r="GN84" s="92"/>
      <c r="GO84" s="92"/>
      <c r="GP84" s="92"/>
      <c r="GQ84" s="92"/>
      <c r="GR84" s="92"/>
      <c r="GS84" s="92"/>
      <c r="GT84" s="92"/>
      <c r="GU84" s="92"/>
      <c r="GV84" s="92"/>
      <c r="GW84" s="92"/>
      <c r="GX84" s="92"/>
      <c r="GY84" s="92"/>
      <c r="GZ84" s="92"/>
      <c r="HA84" s="92"/>
      <c r="HB84" s="92"/>
      <c r="HC84" s="92"/>
      <c r="HD84" s="92"/>
      <c r="HE84" s="92"/>
      <c r="HF84" s="92"/>
      <c r="HG84" s="92"/>
      <c r="HH84" s="92"/>
      <c r="HI84" s="92"/>
      <c r="HJ84" s="92"/>
      <c r="HK84" s="92"/>
      <c r="HL84" s="92"/>
      <c r="HM84" s="92"/>
      <c r="HN84" s="92"/>
      <c r="HO84" s="92"/>
      <c r="HP84" s="92"/>
      <c r="HQ84" s="92"/>
      <c r="HR84" s="92"/>
      <c r="HS84" s="92"/>
      <c r="HT84" s="92"/>
      <c r="HU84" s="92"/>
      <c r="HV84" s="92"/>
      <c r="HW84" s="92"/>
      <c r="HX84" s="92"/>
      <c r="HY84" s="92"/>
      <c r="HZ84" s="92"/>
      <c r="IA84" s="92"/>
      <c r="IB84" s="92"/>
      <c r="IC84" s="92"/>
      <c r="ID84" s="92"/>
      <c r="IE84" s="92"/>
      <c r="IF84" s="92"/>
      <c r="IG84" s="92"/>
      <c r="IH84" s="92"/>
      <c r="II84" s="92"/>
      <c r="IJ84" s="92"/>
      <c r="IK84" s="92"/>
      <c r="IL84" s="92"/>
      <c r="IM84" s="92"/>
      <c r="IN84" s="92"/>
      <c r="IO84" s="92"/>
      <c r="IP84" s="92"/>
      <c r="IQ84" s="92"/>
      <c r="IR84" s="92"/>
      <c r="IS84" s="92"/>
      <c r="IT84" s="92"/>
      <c r="IU84" s="92"/>
      <c r="IV84" s="92"/>
      <c r="IW84" s="92"/>
      <c r="IX84" s="92"/>
      <c r="IY84" s="92"/>
    </row>
    <row r="85" spans="1:259" x14ac:dyDescent="0.3">
      <c r="A85" s="2" t="s">
        <v>300</v>
      </c>
      <c r="B85" s="2"/>
      <c r="C85" s="2"/>
      <c r="D85" s="2"/>
      <c r="E85" s="2" t="s">
        <v>299</v>
      </c>
      <c r="F85" s="2" t="s">
        <v>60</v>
      </c>
      <c r="G85" s="2" t="s">
        <v>336</v>
      </c>
      <c r="H85" s="2" t="s">
        <v>443</v>
      </c>
      <c r="I85" s="2" t="s">
        <v>471</v>
      </c>
      <c r="J85" s="87"/>
      <c r="K85" s="88">
        <f t="shared" ref="K85" si="36">L85-M85</f>
        <v>0</v>
      </c>
      <c r="L85" s="89">
        <v>0</v>
      </c>
      <c r="M85" s="88">
        <f t="shared" si="28"/>
        <v>0</v>
      </c>
      <c r="N85" s="88">
        <f t="shared" ref="N85" si="37">K85</f>
        <v>0</v>
      </c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1"/>
      <c r="AU85" s="30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2"/>
      <c r="BY85" s="92"/>
      <c r="BZ85" s="92"/>
      <c r="CA85" s="92"/>
      <c r="CB85" s="92"/>
      <c r="CC85" s="92"/>
      <c r="CD85" s="92"/>
      <c r="CE85" s="92"/>
      <c r="CF85" s="92"/>
      <c r="CG85" s="92"/>
      <c r="CH85" s="92"/>
      <c r="CI85" s="92"/>
      <c r="CJ85" s="92"/>
      <c r="CK85" s="92"/>
      <c r="CL85" s="92"/>
      <c r="CM85" s="92"/>
      <c r="CN85" s="92"/>
      <c r="CO85" s="92"/>
      <c r="CP85" s="92"/>
      <c r="CQ85" s="92"/>
      <c r="CR85" s="92"/>
      <c r="CS85" s="92"/>
      <c r="CT85" s="92"/>
      <c r="CU85" s="92"/>
      <c r="CV85" s="92"/>
      <c r="CW85" s="92"/>
      <c r="CX85" s="92"/>
      <c r="CY85" s="92"/>
      <c r="CZ85" s="92"/>
      <c r="DA85" s="92"/>
      <c r="DB85" s="92"/>
      <c r="DC85" s="92"/>
      <c r="DD85" s="92"/>
      <c r="DE85" s="92"/>
      <c r="DF85" s="92"/>
      <c r="DG85" s="92"/>
      <c r="DH85" s="92"/>
      <c r="DI85" s="92"/>
      <c r="DJ85" s="92"/>
      <c r="DK85" s="92"/>
      <c r="DL85" s="92"/>
      <c r="DM85" s="92"/>
      <c r="DN85" s="92"/>
      <c r="DO85" s="92"/>
      <c r="DP85" s="92"/>
      <c r="DQ85" s="92"/>
      <c r="DR85" s="92"/>
      <c r="DS85" s="92"/>
      <c r="DT85" s="92"/>
      <c r="DU85" s="92"/>
      <c r="DV85" s="92"/>
      <c r="DW85" s="92"/>
      <c r="DX85" s="92"/>
      <c r="DY85" s="92"/>
      <c r="DZ85" s="92"/>
      <c r="EA85" s="92"/>
      <c r="EB85" s="92"/>
      <c r="EC85" s="92"/>
      <c r="ED85" s="92"/>
      <c r="EE85" s="92"/>
      <c r="EF85" s="92"/>
      <c r="EG85" s="92"/>
      <c r="EH85" s="92"/>
      <c r="EI85" s="92"/>
      <c r="EJ85" s="92"/>
      <c r="EK85" s="92"/>
      <c r="EL85" s="92"/>
      <c r="EM85" s="92"/>
      <c r="EN85" s="92"/>
      <c r="EO85" s="92"/>
      <c r="EP85" s="92"/>
      <c r="EQ85" s="92"/>
      <c r="ER85" s="92"/>
      <c r="ES85" s="92"/>
      <c r="ET85" s="92"/>
      <c r="EU85" s="92"/>
      <c r="EV85" s="92"/>
      <c r="EW85" s="92"/>
      <c r="EX85" s="92"/>
      <c r="EY85" s="92"/>
      <c r="EZ85" s="92"/>
      <c r="FA85" s="92"/>
      <c r="FB85" s="92"/>
      <c r="FC85" s="92"/>
      <c r="FD85" s="92"/>
      <c r="FE85" s="92"/>
      <c r="FF85" s="92"/>
      <c r="FG85" s="92"/>
      <c r="FH85" s="92"/>
      <c r="FI85" s="92"/>
      <c r="FJ85" s="92"/>
      <c r="FK85" s="92"/>
      <c r="FL85" s="92"/>
      <c r="FM85" s="92"/>
      <c r="FN85" s="92"/>
      <c r="FO85" s="92"/>
      <c r="FP85" s="92"/>
      <c r="FQ85" s="92"/>
      <c r="FR85" s="92"/>
      <c r="FS85" s="92"/>
      <c r="FT85" s="92"/>
      <c r="FU85" s="92"/>
      <c r="FV85" s="92"/>
      <c r="FW85" s="92"/>
      <c r="FX85" s="92"/>
      <c r="FY85" s="92"/>
      <c r="FZ85" s="92"/>
      <c r="GA85" s="92"/>
      <c r="GB85" s="92"/>
      <c r="GC85" s="92"/>
      <c r="GD85" s="92"/>
      <c r="GE85" s="92"/>
      <c r="GF85" s="92"/>
      <c r="GG85" s="92"/>
      <c r="GH85" s="92"/>
      <c r="GI85" s="92"/>
      <c r="GJ85" s="92"/>
      <c r="GK85" s="92"/>
      <c r="GL85" s="92"/>
      <c r="GM85" s="92"/>
      <c r="GN85" s="92"/>
      <c r="GO85" s="92"/>
      <c r="GP85" s="92"/>
      <c r="GQ85" s="92"/>
      <c r="GR85" s="92"/>
      <c r="GS85" s="92"/>
      <c r="GT85" s="92"/>
      <c r="GU85" s="92"/>
      <c r="GV85" s="92"/>
      <c r="GW85" s="92"/>
      <c r="GX85" s="92"/>
      <c r="GY85" s="92"/>
      <c r="GZ85" s="92"/>
      <c r="HA85" s="92"/>
      <c r="HB85" s="92"/>
      <c r="HC85" s="92"/>
      <c r="HD85" s="92"/>
      <c r="HE85" s="92"/>
      <c r="HF85" s="92"/>
      <c r="HG85" s="92"/>
      <c r="HH85" s="92"/>
      <c r="HI85" s="92"/>
      <c r="HJ85" s="92"/>
      <c r="HK85" s="92"/>
      <c r="HL85" s="92"/>
      <c r="HM85" s="92"/>
      <c r="HN85" s="92"/>
      <c r="HO85" s="92"/>
      <c r="HP85" s="92"/>
      <c r="HQ85" s="92"/>
      <c r="HR85" s="92"/>
      <c r="HS85" s="92"/>
      <c r="HT85" s="92"/>
      <c r="HU85" s="92"/>
      <c r="HV85" s="92"/>
      <c r="HW85" s="92"/>
      <c r="HX85" s="92"/>
      <c r="HY85" s="92"/>
      <c r="HZ85" s="92"/>
      <c r="IA85" s="92"/>
      <c r="IB85" s="92"/>
      <c r="IC85" s="92"/>
      <c r="ID85" s="92"/>
      <c r="IE85" s="92"/>
      <c r="IF85" s="92"/>
      <c r="IG85" s="92"/>
      <c r="IH85" s="92"/>
      <c r="II85" s="92"/>
      <c r="IJ85" s="92"/>
      <c r="IK85" s="92"/>
      <c r="IL85" s="92"/>
      <c r="IM85" s="92"/>
      <c r="IN85" s="92"/>
      <c r="IO85" s="92"/>
      <c r="IP85" s="92"/>
      <c r="IQ85" s="92"/>
      <c r="IR85" s="92"/>
      <c r="IS85" s="92"/>
      <c r="IT85" s="92"/>
      <c r="IU85" s="92"/>
      <c r="IV85" s="92"/>
      <c r="IW85" s="92"/>
      <c r="IX85" s="92"/>
      <c r="IY85" s="92"/>
    </row>
    <row r="86" spans="1:259" x14ac:dyDescent="0.3">
      <c r="A86" s="2" t="s">
        <v>300</v>
      </c>
      <c r="B86" s="2"/>
      <c r="C86" s="2"/>
      <c r="D86" s="2"/>
      <c r="E86" s="2" t="s">
        <v>299</v>
      </c>
      <c r="F86" s="2" t="s">
        <v>60</v>
      </c>
      <c r="G86" s="2" t="s">
        <v>336</v>
      </c>
      <c r="H86" s="12" t="s">
        <v>481</v>
      </c>
      <c r="I86" s="7" t="s">
        <v>494</v>
      </c>
      <c r="J86" s="87"/>
      <c r="K86" s="88">
        <f t="shared" ref="K86:K95" si="38">L86-M86</f>
        <v>0</v>
      </c>
      <c r="L86" s="89">
        <v>0</v>
      </c>
      <c r="M86" s="88">
        <f t="shared" si="28"/>
        <v>0</v>
      </c>
      <c r="N86" s="88">
        <f t="shared" ref="N86:N95" si="39">K86</f>
        <v>0</v>
      </c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1"/>
      <c r="AU86" s="30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2"/>
      <c r="BY86" s="92"/>
      <c r="BZ86" s="92"/>
      <c r="CA86" s="92"/>
      <c r="CB86" s="92"/>
      <c r="CC86" s="92"/>
      <c r="CD86" s="92"/>
      <c r="CE86" s="92"/>
      <c r="CF86" s="92"/>
      <c r="CG86" s="92"/>
      <c r="CH86" s="92"/>
      <c r="CI86" s="92"/>
      <c r="CJ86" s="92"/>
      <c r="CK86" s="92"/>
      <c r="CL86" s="92"/>
      <c r="CM86" s="92"/>
      <c r="CN86" s="92"/>
      <c r="CO86" s="92"/>
      <c r="CP86" s="92"/>
      <c r="CQ86" s="92"/>
      <c r="CR86" s="92"/>
      <c r="CS86" s="92"/>
      <c r="CT86" s="92"/>
      <c r="CU86" s="92"/>
      <c r="CV86" s="92"/>
      <c r="CW86" s="92"/>
      <c r="CX86" s="92"/>
      <c r="CY86" s="92"/>
      <c r="CZ86" s="92"/>
      <c r="DA86" s="92"/>
      <c r="DB86" s="92"/>
      <c r="DC86" s="92"/>
      <c r="DD86" s="92"/>
      <c r="DE86" s="92"/>
      <c r="DF86" s="92"/>
      <c r="DG86" s="92"/>
      <c r="DH86" s="92"/>
      <c r="DI86" s="92"/>
      <c r="DJ86" s="92"/>
      <c r="DK86" s="92"/>
      <c r="DL86" s="92"/>
      <c r="DM86" s="92"/>
      <c r="DN86" s="92"/>
      <c r="DO86" s="92"/>
      <c r="DP86" s="92"/>
      <c r="DQ86" s="92"/>
      <c r="DR86" s="92"/>
      <c r="DS86" s="92"/>
      <c r="DT86" s="92"/>
      <c r="DU86" s="92"/>
      <c r="DV86" s="92"/>
      <c r="DW86" s="92"/>
      <c r="DX86" s="92"/>
      <c r="DY86" s="92"/>
      <c r="DZ86" s="92"/>
      <c r="EA86" s="92"/>
      <c r="EB86" s="92"/>
      <c r="EC86" s="92"/>
      <c r="ED86" s="92"/>
      <c r="EE86" s="92"/>
      <c r="EF86" s="92"/>
      <c r="EG86" s="92"/>
      <c r="EH86" s="92"/>
      <c r="EI86" s="92"/>
      <c r="EJ86" s="92"/>
      <c r="EK86" s="92"/>
      <c r="EL86" s="92"/>
      <c r="EM86" s="92"/>
      <c r="EN86" s="92"/>
      <c r="EO86" s="92"/>
      <c r="EP86" s="92"/>
      <c r="EQ86" s="92"/>
      <c r="ER86" s="92"/>
      <c r="ES86" s="92"/>
      <c r="ET86" s="92"/>
      <c r="EU86" s="92"/>
      <c r="EV86" s="92"/>
      <c r="EW86" s="92"/>
      <c r="EX86" s="92"/>
      <c r="EY86" s="92"/>
      <c r="EZ86" s="92"/>
      <c r="FA86" s="92"/>
      <c r="FB86" s="92"/>
      <c r="FC86" s="92"/>
      <c r="FD86" s="92"/>
      <c r="FE86" s="92"/>
      <c r="FF86" s="92"/>
      <c r="FG86" s="92"/>
      <c r="FH86" s="92"/>
      <c r="FI86" s="92"/>
      <c r="FJ86" s="92"/>
      <c r="FK86" s="92"/>
      <c r="FL86" s="92"/>
      <c r="FM86" s="92"/>
      <c r="FN86" s="92"/>
      <c r="FO86" s="92"/>
      <c r="FP86" s="92"/>
      <c r="FQ86" s="92"/>
      <c r="FR86" s="92"/>
      <c r="FS86" s="92"/>
      <c r="FT86" s="92"/>
      <c r="FU86" s="92"/>
      <c r="FV86" s="92"/>
      <c r="FW86" s="92"/>
      <c r="FX86" s="92"/>
      <c r="FY86" s="92"/>
      <c r="FZ86" s="92"/>
      <c r="GA86" s="92"/>
      <c r="GB86" s="92"/>
      <c r="GC86" s="92"/>
      <c r="GD86" s="92"/>
      <c r="GE86" s="92"/>
      <c r="GF86" s="92"/>
      <c r="GG86" s="92"/>
      <c r="GH86" s="92"/>
      <c r="GI86" s="92"/>
      <c r="GJ86" s="92"/>
      <c r="GK86" s="92"/>
      <c r="GL86" s="92"/>
      <c r="GM86" s="92"/>
      <c r="GN86" s="92"/>
      <c r="GO86" s="92"/>
      <c r="GP86" s="92"/>
      <c r="GQ86" s="92"/>
      <c r="GR86" s="92"/>
      <c r="GS86" s="92"/>
      <c r="GT86" s="92"/>
      <c r="GU86" s="92"/>
      <c r="GV86" s="92"/>
      <c r="GW86" s="92"/>
      <c r="GX86" s="92"/>
      <c r="GY86" s="92"/>
      <c r="GZ86" s="92"/>
      <c r="HA86" s="92"/>
      <c r="HB86" s="92"/>
      <c r="HC86" s="92"/>
      <c r="HD86" s="92"/>
      <c r="HE86" s="92"/>
      <c r="HF86" s="92"/>
      <c r="HG86" s="92"/>
      <c r="HH86" s="92"/>
      <c r="HI86" s="92"/>
      <c r="HJ86" s="92"/>
      <c r="HK86" s="92"/>
      <c r="HL86" s="92"/>
      <c r="HM86" s="92"/>
      <c r="HN86" s="92"/>
      <c r="HO86" s="92"/>
      <c r="HP86" s="92"/>
      <c r="HQ86" s="92"/>
      <c r="HR86" s="92"/>
      <c r="HS86" s="92"/>
      <c r="HT86" s="92"/>
      <c r="HU86" s="92"/>
      <c r="HV86" s="92"/>
      <c r="HW86" s="92"/>
      <c r="HX86" s="92"/>
      <c r="HY86" s="92"/>
      <c r="HZ86" s="92"/>
      <c r="IA86" s="92"/>
      <c r="IB86" s="92"/>
      <c r="IC86" s="92"/>
      <c r="ID86" s="92"/>
      <c r="IE86" s="92"/>
      <c r="IF86" s="92"/>
      <c r="IG86" s="92"/>
      <c r="IH86" s="92"/>
      <c r="II86" s="92"/>
      <c r="IJ86" s="92"/>
      <c r="IK86" s="92"/>
      <c r="IL86" s="92"/>
      <c r="IM86" s="92"/>
      <c r="IN86" s="92"/>
      <c r="IO86" s="92"/>
      <c r="IP86" s="92"/>
      <c r="IQ86" s="92"/>
      <c r="IR86" s="92"/>
      <c r="IS86" s="92"/>
      <c r="IT86" s="92"/>
      <c r="IU86" s="92"/>
      <c r="IV86" s="92"/>
      <c r="IW86" s="92"/>
      <c r="IX86" s="92"/>
      <c r="IY86" s="92"/>
    </row>
    <row r="87" spans="1:259" x14ac:dyDescent="0.3">
      <c r="A87" s="2" t="s">
        <v>300</v>
      </c>
      <c r="B87" s="2"/>
      <c r="C87" s="2"/>
      <c r="D87" s="2"/>
      <c r="E87" s="2" t="s">
        <v>299</v>
      </c>
      <c r="F87" s="2" t="s">
        <v>60</v>
      </c>
      <c r="G87" s="2" t="s">
        <v>336</v>
      </c>
      <c r="H87" s="12" t="s">
        <v>482</v>
      </c>
      <c r="I87" s="2" t="s">
        <v>525</v>
      </c>
      <c r="J87" s="87"/>
      <c r="K87" s="88">
        <f t="shared" si="38"/>
        <v>0</v>
      </c>
      <c r="L87" s="89">
        <v>1</v>
      </c>
      <c r="M87" s="88">
        <f t="shared" si="28"/>
        <v>1</v>
      </c>
      <c r="N87" s="88">
        <f t="shared" si="39"/>
        <v>0</v>
      </c>
      <c r="O87" s="88">
        <f>1</f>
        <v>1</v>
      </c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1"/>
      <c r="AU87" s="30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2"/>
      <c r="BY87" s="92"/>
      <c r="BZ87" s="92"/>
      <c r="CA87" s="92"/>
      <c r="CB87" s="92"/>
      <c r="CC87" s="92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92"/>
      <c r="CW87" s="92"/>
      <c r="CX87" s="92"/>
      <c r="CY87" s="92"/>
      <c r="CZ87" s="92"/>
      <c r="DA87" s="92"/>
      <c r="DB87" s="92"/>
      <c r="DC87" s="92"/>
      <c r="DD87" s="92"/>
      <c r="DE87" s="92"/>
      <c r="DF87" s="92"/>
      <c r="DG87" s="92"/>
      <c r="DH87" s="92"/>
      <c r="DI87" s="92"/>
      <c r="DJ87" s="92"/>
      <c r="DK87" s="92"/>
      <c r="DL87" s="92"/>
      <c r="DM87" s="92"/>
      <c r="DN87" s="92"/>
      <c r="DO87" s="92"/>
      <c r="DP87" s="92"/>
      <c r="DQ87" s="92"/>
      <c r="DR87" s="92"/>
      <c r="DS87" s="92"/>
      <c r="DT87" s="92"/>
      <c r="DU87" s="92"/>
      <c r="DV87" s="92"/>
      <c r="DW87" s="92"/>
      <c r="DX87" s="92"/>
      <c r="DY87" s="92"/>
      <c r="DZ87" s="92"/>
      <c r="EA87" s="92"/>
      <c r="EB87" s="92"/>
      <c r="EC87" s="92"/>
      <c r="ED87" s="92"/>
      <c r="EE87" s="92"/>
      <c r="EF87" s="92"/>
      <c r="EG87" s="92"/>
      <c r="EH87" s="92"/>
      <c r="EI87" s="92"/>
      <c r="EJ87" s="92"/>
      <c r="EK87" s="92"/>
      <c r="EL87" s="92"/>
      <c r="EM87" s="92"/>
      <c r="EN87" s="92"/>
      <c r="EO87" s="92"/>
      <c r="EP87" s="92"/>
      <c r="EQ87" s="92"/>
      <c r="ER87" s="92"/>
      <c r="ES87" s="92"/>
      <c r="ET87" s="92"/>
      <c r="EU87" s="92"/>
      <c r="EV87" s="92"/>
      <c r="EW87" s="92"/>
      <c r="EX87" s="92"/>
      <c r="EY87" s="92"/>
      <c r="EZ87" s="92"/>
      <c r="FA87" s="92"/>
      <c r="FB87" s="92"/>
      <c r="FC87" s="92"/>
      <c r="FD87" s="92"/>
      <c r="FE87" s="92"/>
      <c r="FF87" s="92"/>
      <c r="FG87" s="92"/>
      <c r="FH87" s="92"/>
      <c r="FI87" s="92"/>
      <c r="FJ87" s="92"/>
      <c r="FK87" s="92"/>
      <c r="FL87" s="92"/>
      <c r="FM87" s="92"/>
      <c r="FN87" s="92"/>
      <c r="FO87" s="92"/>
      <c r="FP87" s="92"/>
      <c r="FQ87" s="92"/>
      <c r="FR87" s="92"/>
      <c r="FS87" s="92"/>
      <c r="FT87" s="92"/>
      <c r="FU87" s="92"/>
      <c r="FV87" s="92"/>
      <c r="FW87" s="92"/>
      <c r="FX87" s="92"/>
      <c r="FY87" s="92"/>
      <c r="FZ87" s="92"/>
      <c r="GA87" s="92"/>
      <c r="GB87" s="92"/>
      <c r="GC87" s="92"/>
      <c r="GD87" s="92"/>
      <c r="GE87" s="92"/>
      <c r="GF87" s="92"/>
      <c r="GG87" s="92"/>
      <c r="GH87" s="92"/>
      <c r="GI87" s="92"/>
      <c r="GJ87" s="92"/>
      <c r="GK87" s="92"/>
      <c r="GL87" s="92"/>
      <c r="GM87" s="92"/>
      <c r="GN87" s="92"/>
      <c r="GO87" s="92"/>
      <c r="GP87" s="92"/>
      <c r="GQ87" s="92"/>
      <c r="GR87" s="92"/>
      <c r="GS87" s="92"/>
      <c r="GT87" s="92"/>
      <c r="GU87" s="92"/>
      <c r="GV87" s="92"/>
      <c r="GW87" s="92"/>
      <c r="GX87" s="92"/>
      <c r="GY87" s="92"/>
      <c r="GZ87" s="92"/>
      <c r="HA87" s="92"/>
      <c r="HB87" s="92"/>
      <c r="HC87" s="92"/>
      <c r="HD87" s="92"/>
      <c r="HE87" s="92"/>
      <c r="HF87" s="92"/>
      <c r="HG87" s="92"/>
      <c r="HH87" s="92"/>
      <c r="HI87" s="92"/>
      <c r="HJ87" s="92"/>
      <c r="HK87" s="92"/>
      <c r="HL87" s="92"/>
      <c r="HM87" s="92"/>
      <c r="HN87" s="92"/>
      <c r="HO87" s="92"/>
      <c r="HP87" s="92"/>
      <c r="HQ87" s="92"/>
      <c r="HR87" s="92"/>
      <c r="HS87" s="92"/>
      <c r="HT87" s="92"/>
      <c r="HU87" s="92"/>
      <c r="HV87" s="92"/>
      <c r="HW87" s="92"/>
      <c r="HX87" s="92"/>
      <c r="HY87" s="92"/>
      <c r="HZ87" s="92"/>
      <c r="IA87" s="92"/>
      <c r="IB87" s="92"/>
      <c r="IC87" s="92"/>
      <c r="ID87" s="92"/>
      <c r="IE87" s="92"/>
      <c r="IF87" s="92"/>
      <c r="IG87" s="92"/>
      <c r="IH87" s="92"/>
      <c r="II87" s="92"/>
      <c r="IJ87" s="92"/>
      <c r="IK87" s="92"/>
      <c r="IL87" s="92"/>
      <c r="IM87" s="92"/>
      <c r="IN87" s="92"/>
      <c r="IO87" s="92"/>
      <c r="IP87" s="92"/>
      <c r="IQ87" s="92"/>
      <c r="IR87" s="92"/>
      <c r="IS87" s="92"/>
      <c r="IT87" s="92"/>
      <c r="IU87" s="92"/>
      <c r="IV87" s="92"/>
      <c r="IW87" s="92"/>
      <c r="IX87" s="92"/>
      <c r="IY87" s="92"/>
    </row>
    <row r="88" spans="1:259" x14ac:dyDescent="0.3">
      <c r="A88" s="2" t="s">
        <v>300</v>
      </c>
      <c r="B88" s="2"/>
      <c r="C88" s="2"/>
      <c r="D88" s="2"/>
      <c r="E88" s="2" t="s">
        <v>299</v>
      </c>
      <c r="F88" s="2" t="s">
        <v>60</v>
      </c>
      <c r="G88" s="2" t="s">
        <v>336</v>
      </c>
      <c r="H88" s="12" t="s">
        <v>483</v>
      </c>
      <c r="I88" s="2" t="s">
        <v>504</v>
      </c>
      <c r="J88" s="87"/>
      <c r="K88" s="88">
        <f t="shared" si="38"/>
        <v>0</v>
      </c>
      <c r="L88" s="89">
        <v>0</v>
      </c>
      <c r="M88" s="88">
        <f t="shared" si="28"/>
        <v>0</v>
      </c>
      <c r="N88" s="88">
        <f t="shared" si="39"/>
        <v>0</v>
      </c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1"/>
      <c r="AU88" s="30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2"/>
      <c r="BY88" s="92"/>
      <c r="BZ88" s="92"/>
      <c r="CA88" s="92"/>
      <c r="CB88" s="92"/>
      <c r="CC88" s="92"/>
      <c r="CD88" s="92"/>
      <c r="CE88" s="92"/>
      <c r="CF88" s="92"/>
      <c r="CG88" s="92"/>
      <c r="CH88" s="92"/>
      <c r="CI88" s="92"/>
      <c r="CJ88" s="92"/>
      <c r="CK88" s="92"/>
      <c r="CL88" s="92"/>
      <c r="CM88" s="92"/>
      <c r="CN88" s="92"/>
      <c r="CO88" s="92"/>
      <c r="CP88" s="92"/>
      <c r="CQ88" s="92"/>
      <c r="CR88" s="92"/>
      <c r="CS88" s="92"/>
      <c r="CT88" s="92"/>
      <c r="CU88" s="92"/>
      <c r="CV88" s="92"/>
      <c r="CW88" s="92"/>
      <c r="CX88" s="92"/>
      <c r="CY88" s="92"/>
      <c r="CZ88" s="92"/>
      <c r="DA88" s="92"/>
      <c r="DB88" s="92"/>
      <c r="DC88" s="92"/>
      <c r="DD88" s="92"/>
      <c r="DE88" s="92"/>
      <c r="DF88" s="92"/>
      <c r="DG88" s="92"/>
      <c r="DH88" s="92"/>
      <c r="DI88" s="92"/>
      <c r="DJ88" s="92"/>
      <c r="DK88" s="92"/>
      <c r="DL88" s="92"/>
      <c r="DM88" s="92"/>
      <c r="DN88" s="92"/>
      <c r="DO88" s="92"/>
      <c r="DP88" s="92"/>
      <c r="DQ88" s="92"/>
      <c r="DR88" s="92"/>
      <c r="DS88" s="92"/>
      <c r="DT88" s="92"/>
      <c r="DU88" s="92"/>
      <c r="DV88" s="92"/>
      <c r="DW88" s="92"/>
      <c r="DX88" s="92"/>
      <c r="DY88" s="92"/>
      <c r="DZ88" s="92"/>
      <c r="EA88" s="92"/>
      <c r="EB88" s="92"/>
      <c r="EC88" s="92"/>
      <c r="ED88" s="92"/>
      <c r="EE88" s="92"/>
      <c r="EF88" s="92"/>
      <c r="EG88" s="92"/>
      <c r="EH88" s="92"/>
      <c r="EI88" s="92"/>
      <c r="EJ88" s="92"/>
      <c r="EK88" s="92"/>
      <c r="EL88" s="92"/>
      <c r="EM88" s="92"/>
      <c r="EN88" s="92"/>
      <c r="EO88" s="92"/>
      <c r="EP88" s="92"/>
      <c r="EQ88" s="92"/>
      <c r="ER88" s="92"/>
      <c r="ES88" s="92"/>
      <c r="ET88" s="92"/>
      <c r="EU88" s="92"/>
      <c r="EV88" s="92"/>
      <c r="EW88" s="92"/>
      <c r="EX88" s="92"/>
      <c r="EY88" s="92"/>
      <c r="EZ88" s="92"/>
      <c r="FA88" s="92"/>
      <c r="FB88" s="92"/>
      <c r="FC88" s="92"/>
      <c r="FD88" s="92"/>
      <c r="FE88" s="92"/>
      <c r="FF88" s="92"/>
      <c r="FG88" s="92"/>
      <c r="FH88" s="92"/>
      <c r="FI88" s="92"/>
      <c r="FJ88" s="92"/>
      <c r="FK88" s="92"/>
      <c r="FL88" s="92"/>
      <c r="FM88" s="92"/>
      <c r="FN88" s="92"/>
      <c r="FO88" s="92"/>
      <c r="FP88" s="92"/>
      <c r="FQ88" s="92"/>
      <c r="FR88" s="92"/>
      <c r="FS88" s="92"/>
      <c r="FT88" s="92"/>
      <c r="FU88" s="92"/>
      <c r="FV88" s="92"/>
      <c r="FW88" s="92"/>
      <c r="FX88" s="92"/>
      <c r="FY88" s="92"/>
      <c r="FZ88" s="92"/>
      <c r="GA88" s="92"/>
      <c r="GB88" s="92"/>
      <c r="GC88" s="92"/>
      <c r="GD88" s="92"/>
      <c r="GE88" s="92"/>
      <c r="GF88" s="92"/>
      <c r="GG88" s="92"/>
      <c r="GH88" s="92"/>
      <c r="GI88" s="92"/>
      <c r="GJ88" s="92"/>
      <c r="GK88" s="92"/>
      <c r="GL88" s="92"/>
      <c r="GM88" s="92"/>
      <c r="GN88" s="92"/>
      <c r="GO88" s="92"/>
      <c r="GP88" s="92"/>
      <c r="GQ88" s="92"/>
      <c r="GR88" s="92"/>
      <c r="GS88" s="92"/>
      <c r="GT88" s="92"/>
      <c r="GU88" s="92"/>
      <c r="GV88" s="92"/>
      <c r="GW88" s="92"/>
      <c r="GX88" s="92"/>
      <c r="GY88" s="92"/>
      <c r="GZ88" s="92"/>
      <c r="HA88" s="92"/>
      <c r="HB88" s="92"/>
      <c r="HC88" s="92"/>
      <c r="HD88" s="92"/>
      <c r="HE88" s="92"/>
      <c r="HF88" s="92"/>
      <c r="HG88" s="92"/>
      <c r="HH88" s="92"/>
      <c r="HI88" s="92"/>
      <c r="HJ88" s="92"/>
      <c r="HK88" s="92"/>
      <c r="HL88" s="92"/>
      <c r="HM88" s="92"/>
      <c r="HN88" s="92"/>
      <c r="HO88" s="92"/>
      <c r="HP88" s="92"/>
      <c r="HQ88" s="92"/>
      <c r="HR88" s="92"/>
      <c r="HS88" s="92"/>
      <c r="HT88" s="92"/>
      <c r="HU88" s="92"/>
      <c r="HV88" s="92"/>
      <c r="HW88" s="92"/>
      <c r="HX88" s="92"/>
      <c r="HY88" s="92"/>
      <c r="HZ88" s="92"/>
      <c r="IA88" s="92"/>
      <c r="IB88" s="92"/>
      <c r="IC88" s="92"/>
      <c r="ID88" s="92"/>
      <c r="IE88" s="92"/>
      <c r="IF88" s="92"/>
      <c r="IG88" s="92"/>
      <c r="IH88" s="92"/>
      <c r="II88" s="92"/>
      <c r="IJ88" s="92"/>
      <c r="IK88" s="92"/>
      <c r="IL88" s="92"/>
      <c r="IM88" s="92"/>
      <c r="IN88" s="92"/>
      <c r="IO88" s="92"/>
      <c r="IP88" s="92"/>
      <c r="IQ88" s="92"/>
      <c r="IR88" s="92"/>
      <c r="IS88" s="92"/>
      <c r="IT88" s="92"/>
      <c r="IU88" s="92"/>
      <c r="IV88" s="92"/>
      <c r="IW88" s="92"/>
      <c r="IX88" s="92"/>
      <c r="IY88" s="92"/>
    </row>
    <row r="89" spans="1:259" ht="11.25" customHeight="1" x14ac:dyDescent="0.3">
      <c r="A89" s="2" t="s">
        <v>300</v>
      </c>
      <c r="B89" s="2"/>
      <c r="C89" s="2"/>
      <c r="D89" s="2"/>
      <c r="E89" s="2" t="s">
        <v>299</v>
      </c>
      <c r="F89" s="2" t="s">
        <v>60</v>
      </c>
      <c r="G89" s="2" t="s">
        <v>336</v>
      </c>
      <c r="H89" s="12" t="s">
        <v>484</v>
      </c>
      <c r="I89" s="7" t="s">
        <v>494</v>
      </c>
      <c r="J89" s="87"/>
      <c r="K89" s="88">
        <f t="shared" si="38"/>
        <v>0</v>
      </c>
      <c r="L89" s="89">
        <v>0</v>
      </c>
      <c r="M89" s="88">
        <f t="shared" si="28"/>
        <v>0</v>
      </c>
      <c r="N89" s="88">
        <f t="shared" si="39"/>
        <v>0</v>
      </c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1"/>
      <c r="AU89" s="30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2"/>
      <c r="BY89" s="92"/>
      <c r="BZ89" s="92"/>
      <c r="CA89" s="92"/>
      <c r="CB89" s="92"/>
      <c r="CC89" s="92"/>
      <c r="CD89" s="92"/>
      <c r="CE89" s="92"/>
      <c r="CF89" s="92"/>
      <c r="CG89" s="92"/>
      <c r="CH89" s="92"/>
      <c r="CI89" s="92"/>
      <c r="CJ89" s="92"/>
      <c r="CK89" s="92"/>
      <c r="CL89" s="92"/>
      <c r="CM89" s="92"/>
      <c r="CN89" s="92"/>
      <c r="CO89" s="92"/>
      <c r="CP89" s="92"/>
      <c r="CQ89" s="92"/>
      <c r="CR89" s="92"/>
      <c r="CS89" s="92"/>
      <c r="CT89" s="92"/>
      <c r="CU89" s="92"/>
      <c r="CV89" s="92"/>
      <c r="CW89" s="92"/>
      <c r="CX89" s="92"/>
      <c r="CY89" s="92"/>
      <c r="CZ89" s="92"/>
      <c r="DA89" s="92"/>
      <c r="DB89" s="92"/>
      <c r="DC89" s="92"/>
      <c r="DD89" s="92"/>
      <c r="DE89" s="92"/>
      <c r="DF89" s="92"/>
      <c r="DG89" s="92"/>
      <c r="DH89" s="92"/>
      <c r="DI89" s="92"/>
      <c r="DJ89" s="92"/>
      <c r="DK89" s="92"/>
      <c r="DL89" s="92"/>
      <c r="DM89" s="92"/>
      <c r="DN89" s="92"/>
      <c r="DO89" s="92"/>
      <c r="DP89" s="92"/>
      <c r="DQ89" s="92"/>
      <c r="DR89" s="92"/>
      <c r="DS89" s="92"/>
      <c r="DT89" s="92"/>
      <c r="DU89" s="92"/>
      <c r="DV89" s="92"/>
      <c r="DW89" s="92"/>
      <c r="DX89" s="92"/>
      <c r="DY89" s="92"/>
      <c r="DZ89" s="92"/>
      <c r="EA89" s="92"/>
      <c r="EB89" s="92"/>
      <c r="EC89" s="92"/>
      <c r="ED89" s="92"/>
      <c r="EE89" s="92"/>
      <c r="EF89" s="92"/>
      <c r="EG89" s="92"/>
      <c r="EH89" s="92"/>
      <c r="EI89" s="92"/>
      <c r="EJ89" s="92"/>
      <c r="EK89" s="92"/>
      <c r="EL89" s="92"/>
      <c r="EM89" s="92"/>
      <c r="EN89" s="92"/>
      <c r="EO89" s="92"/>
      <c r="EP89" s="92"/>
      <c r="EQ89" s="92"/>
      <c r="ER89" s="92"/>
      <c r="ES89" s="92"/>
      <c r="ET89" s="92"/>
      <c r="EU89" s="92"/>
      <c r="EV89" s="92"/>
      <c r="EW89" s="92"/>
      <c r="EX89" s="92"/>
      <c r="EY89" s="92"/>
      <c r="EZ89" s="92"/>
      <c r="FA89" s="92"/>
      <c r="FB89" s="92"/>
      <c r="FC89" s="92"/>
      <c r="FD89" s="92"/>
      <c r="FE89" s="92"/>
      <c r="FF89" s="92"/>
      <c r="FG89" s="92"/>
      <c r="FH89" s="92"/>
      <c r="FI89" s="92"/>
      <c r="FJ89" s="92"/>
      <c r="FK89" s="92"/>
      <c r="FL89" s="92"/>
      <c r="FM89" s="92"/>
      <c r="FN89" s="92"/>
      <c r="FO89" s="92"/>
      <c r="FP89" s="92"/>
      <c r="FQ89" s="92"/>
      <c r="FR89" s="92"/>
      <c r="FS89" s="92"/>
      <c r="FT89" s="92"/>
      <c r="FU89" s="92"/>
      <c r="FV89" s="92"/>
      <c r="FW89" s="92"/>
      <c r="FX89" s="92"/>
      <c r="FY89" s="92"/>
      <c r="FZ89" s="92"/>
      <c r="GA89" s="92"/>
      <c r="GB89" s="92"/>
      <c r="GC89" s="92"/>
      <c r="GD89" s="92"/>
      <c r="GE89" s="92"/>
      <c r="GF89" s="92"/>
      <c r="GG89" s="92"/>
      <c r="GH89" s="92"/>
      <c r="GI89" s="92"/>
      <c r="GJ89" s="92"/>
      <c r="GK89" s="92"/>
      <c r="GL89" s="92"/>
      <c r="GM89" s="92"/>
      <c r="GN89" s="92"/>
      <c r="GO89" s="92"/>
      <c r="GP89" s="92"/>
      <c r="GQ89" s="92"/>
      <c r="GR89" s="92"/>
      <c r="GS89" s="92"/>
      <c r="GT89" s="92"/>
      <c r="GU89" s="92"/>
      <c r="GV89" s="92"/>
      <c r="GW89" s="92"/>
      <c r="GX89" s="92"/>
      <c r="GY89" s="92"/>
      <c r="GZ89" s="92"/>
      <c r="HA89" s="92"/>
      <c r="HB89" s="92"/>
      <c r="HC89" s="92"/>
      <c r="HD89" s="92"/>
      <c r="HE89" s="92"/>
      <c r="HF89" s="92"/>
      <c r="HG89" s="92"/>
      <c r="HH89" s="92"/>
      <c r="HI89" s="92"/>
      <c r="HJ89" s="92"/>
      <c r="HK89" s="92"/>
      <c r="HL89" s="92"/>
      <c r="HM89" s="92"/>
      <c r="HN89" s="92"/>
      <c r="HO89" s="92"/>
      <c r="HP89" s="92"/>
      <c r="HQ89" s="92"/>
      <c r="HR89" s="92"/>
      <c r="HS89" s="92"/>
      <c r="HT89" s="92"/>
      <c r="HU89" s="92"/>
      <c r="HV89" s="92"/>
      <c r="HW89" s="92"/>
      <c r="HX89" s="92"/>
      <c r="HY89" s="92"/>
      <c r="HZ89" s="92"/>
      <c r="IA89" s="92"/>
      <c r="IB89" s="92"/>
      <c r="IC89" s="92"/>
      <c r="ID89" s="92"/>
      <c r="IE89" s="92"/>
      <c r="IF89" s="92"/>
      <c r="IG89" s="92"/>
      <c r="IH89" s="92"/>
      <c r="II89" s="92"/>
      <c r="IJ89" s="92"/>
      <c r="IK89" s="92"/>
      <c r="IL89" s="92"/>
      <c r="IM89" s="92"/>
      <c r="IN89" s="92"/>
      <c r="IO89" s="92"/>
      <c r="IP89" s="92"/>
      <c r="IQ89" s="92"/>
      <c r="IR89" s="92"/>
      <c r="IS89" s="92"/>
      <c r="IT89" s="92"/>
      <c r="IU89" s="92"/>
      <c r="IV89" s="92"/>
      <c r="IW89" s="92"/>
      <c r="IX89" s="92"/>
      <c r="IY89" s="92"/>
    </row>
    <row r="90" spans="1:259" x14ac:dyDescent="0.3">
      <c r="A90" s="2" t="s">
        <v>300</v>
      </c>
      <c r="B90" s="2"/>
      <c r="C90" s="2"/>
      <c r="D90" s="2"/>
      <c r="E90" s="2" t="s">
        <v>299</v>
      </c>
      <c r="F90" s="2" t="s">
        <v>60</v>
      </c>
      <c r="G90" s="2" t="s">
        <v>336</v>
      </c>
      <c r="H90" s="12" t="s">
        <v>485</v>
      </c>
      <c r="I90" s="2" t="s">
        <v>491</v>
      </c>
      <c r="J90" s="87"/>
      <c r="K90" s="88">
        <f t="shared" si="38"/>
        <v>1</v>
      </c>
      <c r="L90" s="89">
        <v>1</v>
      </c>
      <c r="M90" s="88">
        <f t="shared" si="28"/>
        <v>0</v>
      </c>
      <c r="N90" s="88">
        <f t="shared" si="39"/>
        <v>1</v>
      </c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1"/>
      <c r="AU90" s="30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2"/>
      <c r="BY90" s="92"/>
      <c r="BZ90" s="92"/>
      <c r="CA90" s="92"/>
      <c r="CB90" s="92"/>
      <c r="CC90" s="92"/>
      <c r="CD90" s="92"/>
      <c r="CE90" s="92"/>
      <c r="CF90" s="92"/>
      <c r="CG90" s="92"/>
      <c r="CH90" s="92"/>
      <c r="CI90" s="92"/>
      <c r="CJ90" s="92"/>
      <c r="CK90" s="92"/>
      <c r="CL90" s="92"/>
      <c r="CM90" s="92"/>
      <c r="CN90" s="92"/>
      <c r="CO90" s="92"/>
      <c r="CP90" s="92"/>
      <c r="CQ90" s="92"/>
      <c r="CR90" s="92"/>
      <c r="CS90" s="92"/>
      <c r="CT90" s="92"/>
      <c r="CU90" s="92"/>
      <c r="CV90" s="92"/>
      <c r="CW90" s="92"/>
      <c r="CX90" s="92"/>
      <c r="CY90" s="92"/>
      <c r="CZ90" s="92"/>
      <c r="DA90" s="92"/>
      <c r="DB90" s="92"/>
      <c r="DC90" s="92"/>
      <c r="DD90" s="92"/>
      <c r="DE90" s="92"/>
      <c r="DF90" s="92"/>
      <c r="DG90" s="92"/>
      <c r="DH90" s="92"/>
      <c r="DI90" s="92"/>
      <c r="DJ90" s="92"/>
      <c r="DK90" s="92"/>
      <c r="DL90" s="92"/>
      <c r="DM90" s="92"/>
      <c r="DN90" s="92"/>
      <c r="DO90" s="92"/>
      <c r="DP90" s="92"/>
      <c r="DQ90" s="92"/>
      <c r="DR90" s="92"/>
      <c r="DS90" s="92"/>
      <c r="DT90" s="92"/>
      <c r="DU90" s="92"/>
      <c r="DV90" s="92"/>
      <c r="DW90" s="92"/>
      <c r="DX90" s="92"/>
      <c r="DY90" s="92"/>
      <c r="DZ90" s="92"/>
      <c r="EA90" s="92"/>
      <c r="EB90" s="92"/>
      <c r="EC90" s="92"/>
      <c r="ED90" s="92"/>
      <c r="EE90" s="92"/>
      <c r="EF90" s="92"/>
      <c r="EG90" s="92"/>
      <c r="EH90" s="92"/>
      <c r="EI90" s="92"/>
      <c r="EJ90" s="92"/>
      <c r="EK90" s="92"/>
      <c r="EL90" s="92"/>
      <c r="EM90" s="92"/>
      <c r="EN90" s="92"/>
      <c r="EO90" s="92"/>
      <c r="EP90" s="92"/>
      <c r="EQ90" s="92"/>
      <c r="ER90" s="92"/>
      <c r="ES90" s="92"/>
      <c r="ET90" s="92"/>
      <c r="EU90" s="92"/>
      <c r="EV90" s="92"/>
      <c r="EW90" s="92"/>
      <c r="EX90" s="92"/>
      <c r="EY90" s="92"/>
      <c r="EZ90" s="92"/>
      <c r="FA90" s="92"/>
      <c r="FB90" s="92"/>
      <c r="FC90" s="92"/>
      <c r="FD90" s="92"/>
      <c r="FE90" s="92"/>
      <c r="FF90" s="92"/>
      <c r="FG90" s="92"/>
      <c r="FH90" s="92"/>
      <c r="FI90" s="92"/>
      <c r="FJ90" s="92"/>
      <c r="FK90" s="92"/>
      <c r="FL90" s="92"/>
      <c r="FM90" s="92"/>
      <c r="FN90" s="92"/>
      <c r="FO90" s="92"/>
      <c r="FP90" s="92"/>
      <c r="FQ90" s="92"/>
      <c r="FR90" s="92"/>
      <c r="FS90" s="92"/>
      <c r="FT90" s="92"/>
      <c r="FU90" s="92"/>
      <c r="FV90" s="92"/>
      <c r="FW90" s="92"/>
      <c r="FX90" s="92"/>
      <c r="FY90" s="92"/>
      <c r="FZ90" s="92"/>
      <c r="GA90" s="92"/>
      <c r="GB90" s="92"/>
      <c r="GC90" s="92"/>
      <c r="GD90" s="92"/>
      <c r="GE90" s="92"/>
      <c r="GF90" s="92"/>
      <c r="GG90" s="92"/>
      <c r="GH90" s="92"/>
      <c r="GI90" s="92"/>
      <c r="GJ90" s="92"/>
      <c r="GK90" s="92"/>
      <c r="GL90" s="92"/>
      <c r="GM90" s="92"/>
      <c r="GN90" s="92"/>
      <c r="GO90" s="92"/>
      <c r="GP90" s="92"/>
      <c r="GQ90" s="92"/>
      <c r="GR90" s="92"/>
      <c r="GS90" s="92"/>
      <c r="GT90" s="92"/>
      <c r="GU90" s="92"/>
      <c r="GV90" s="92"/>
      <c r="GW90" s="92"/>
      <c r="GX90" s="92"/>
      <c r="GY90" s="92"/>
      <c r="GZ90" s="92"/>
      <c r="HA90" s="92"/>
      <c r="HB90" s="92"/>
      <c r="HC90" s="92"/>
      <c r="HD90" s="92"/>
      <c r="HE90" s="92"/>
      <c r="HF90" s="92"/>
      <c r="HG90" s="92"/>
      <c r="HH90" s="92"/>
      <c r="HI90" s="92"/>
      <c r="HJ90" s="92"/>
      <c r="HK90" s="92"/>
      <c r="HL90" s="92"/>
      <c r="HM90" s="92"/>
      <c r="HN90" s="92"/>
      <c r="HO90" s="92"/>
      <c r="HP90" s="92"/>
      <c r="HQ90" s="92"/>
      <c r="HR90" s="92"/>
      <c r="HS90" s="92"/>
      <c r="HT90" s="92"/>
      <c r="HU90" s="92"/>
      <c r="HV90" s="92"/>
      <c r="HW90" s="92"/>
      <c r="HX90" s="92"/>
      <c r="HY90" s="92"/>
      <c r="HZ90" s="92"/>
      <c r="IA90" s="92"/>
      <c r="IB90" s="92"/>
      <c r="IC90" s="92"/>
      <c r="ID90" s="92"/>
      <c r="IE90" s="92"/>
      <c r="IF90" s="92"/>
      <c r="IG90" s="92"/>
      <c r="IH90" s="92"/>
      <c r="II90" s="92"/>
      <c r="IJ90" s="92"/>
      <c r="IK90" s="92"/>
      <c r="IL90" s="92"/>
      <c r="IM90" s="92"/>
      <c r="IN90" s="92"/>
      <c r="IO90" s="92"/>
      <c r="IP90" s="92"/>
      <c r="IQ90" s="92"/>
      <c r="IR90" s="92"/>
      <c r="IS90" s="92"/>
      <c r="IT90" s="92"/>
      <c r="IU90" s="92"/>
      <c r="IV90" s="92"/>
      <c r="IW90" s="92"/>
      <c r="IX90" s="92"/>
      <c r="IY90" s="92"/>
    </row>
    <row r="91" spans="1:259" x14ac:dyDescent="0.3">
      <c r="A91" s="2" t="s">
        <v>300</v>
      </c>
      <c r="B91" s="2"/>
      <c r="C91" s="2"/>
      <c r="D91" s="2"/>
      <c r="E91" s="2" t="s">
        <v>299</v>
      </c>
      <c r="F91" s="2" t="s">
        <v>60</v>
      </c>
      <c r="G91" s="2" t="s">
        <v>336</v>
      </c>
      <c r="H91" s="12" t="s">
        <v>486</v>
      </c>
      <c r="I91" s="7" t="s">
        <v>497</v>
      </c>
      <c r="J91" s="87"/>
      <c r="K91" s="88">
        <f t="shared" si="38"/>
        <v>0</v>
      </c>
      <c r="L91" s="89">
        <v>0</v>
      </c>
      <c r="M91" s="88">
        <f t="shared" si="28"/>
        <v>0</v>
      </c>
      <c r="N91" s="88">
        <f t="shared" si="39"/>
        <v>0</v>
      </c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1"/>
      <c r="AU91" s="30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2"/>
      <c r="BY91" s="92"/>
      <c r="BZ91" s="92"/>
      <c r="CA91" s="92"/>
      <c r="CB91" s="92"/>
      <c r="CC91" s="92"/>
      <c r="CD91" s="92"/>
      <c r="CE91" s="92"/>
      <c r="CF91" s="92"/>
      <c r="CG91" s="92"/>
      <c r="CH91" s="92"/>
      <c r="CI91" s="92"/>
      <c r="CJ91" s="92"/>
      <c r="CK91" s="92"/>
      <c r="CL91" s="92"/>
      <c r="CM91" s="92"/>
      <c r="CN91" s="92"/>
      <c r="CO91" s="92"/>
      <c r="CP91" s="92"/>
      <c r="CQ91" s="92"/>
      <c r="CR91" s="92"/>
      <c r="CS91" s="92"/>
      <c r="CT91" s="92"/>
      <c r="CU91" s="92"/>
      <c r="CV91" s="92"/>
      <c r="CW91" s="92"/>
      <c r="CX91" s="92"/>
      <c r="CY91" s="92"/>
      <c r="CZ91" s="92"/>
      <c r="DA91" s="92"/>
      <c r="DB91" s="92"/>
      <c r="DC91" s="92"/>
      <c r="DD91" s="92"/>
      <c r="DE91" s="92"/>
      <c r="DF91" s="92"/>
      <c r="DG91" s="92"/>
      <c r="DH91" s="92"/>
      <c r="DI91" s="92"/>
      <c r="DJ91" s="92"/>
      <c r="DK91" s="92"/>
      <c r="DL91" s="92"/>
      <c r="DM91" s="92"/>
      <c r="DN91" s="92"/>
      <c r="DO91" s="92"/>
      <c r="DP91" s="92"/>
      <c r="DQ91" s="92"/>
      <c r="DR91" s="92"/>
      <c r="DS91" s="92"/>
      <c r="DT91" s="92"/>
      <c r="DU91" s="92"/>
      <c r="DV91" s="92"/>
      <c r="DW91" s="92"/>
      <c r="DX91" s="92"/>
      <c r="DY91" s="92"/>
      <c r="DZ91" s="92"/>
      <c r="EA91" s="92"/>
      <c r="EB91" s="92"/>
      <c r="EC91" s="92"/>
      <c r="ED91" s="92"/>
      <c r="EE91" s="92"/>
      <c r="EF91" s="92"/>
      <c r="EG91" s="92"/>
      <c r="EH91" s="92"/>
      <c r="EI91" s="92"/>
      <c r="EJ91" s="92"/>
      <c r="EK91" s="92"/>
      <c r="EL91" s="92"/>
      <c r="EM91" s="92"/>
      <c r="EN91" s="92"/>
      <c r="EO91" s="92"/>
      <c r="EP91" s="92"/>
      <c r="EQ91" s="92"/>
      <c r="ER91" s="92"/>
      <c r="ES91" s="92"/>
      <c r="ET91" s="92"/>
      <c r="EU91" s="92"/>
      <c r="EV91" s="92"/>
      <c r="EW91" s="92"/>
      <c r="EX91" s="92"/>
      <c r="EY91" s="92"/>
      <c r="EZ91" s="92"/>
      <c r="FA91" s="92"/>
      <c r="FB91" s="92"/>
      <c r="FC91" s="92"/>
      <c r="FD91" s="92"/>
      <c r="FE91" s="92"/>
      <c r="FF91" s="92"/>
      <c r="FG91" s="92"/>
      <c r="FH91" s="92"/>
      <c r="FI91" s="92"/>
      <c r="FJ91" s="92"/>
      <c r="FK91" s="92"/>
      <c r="FL91" s="92"/>
      <c r="FM91" s="92"/>
      <c r="FN91" s="92"/>
      <c r="FO91" s="92"/>
      <c r="FP91" s="92"/>
      <c r="FQ91" s="92"/>
      <c r="FR91" s="92"/>
      <c r="FS91" s="92"/>
      <c r="FT91" s="92"/>
      <c r="FU91" s="92"/>
      <c r="FV91" s="92"/>
      <c r="FW91" s="92"/>
      <c r="FX91" s="92"/>
      <c r="FY91" s="92"/>
      <c r="FZ91" s="92"/>
      <c r="GA91" s="92"/>
      <c r="GB91" s="92"/>
      <c r="GC91" s="92"/>
      <c r="GD91" s="92"/>
      <c r="GE91" s="92"/>
      <c r="GF91" s="92"/>
      <c r="GG91" s="92"/>
      <c r="GH91" s="92"/>
      <c r="GI91" s="92"/>
      <c r="GJ91" s="92"/>
      <c r="GK91" s="92"/>
      <c r="GL91" s="92"/>
      <c r="GM91" s="92"/>
      <c r="GN91" s="92"/>
      <c r="GO91" s="92"/>
      <c r="GP91" s="92"/>
      <c r="GQ91" s="92"/>
      <c r="GR91" s="92"/>
      <c r="GS91" s="92"/>
      <c r="GT91" s="92"/>
      <c r="GU91" s="92"/>
      <c r="GV91" s="92"/>
      <c r="GW91" s="92"/>
      <c r="GX91" s="92"/>
      <c r="GY91" s="92"/>
      <c r="GZ91" s="92"/>
      <c r="HA91" s="92"/>
      <c r="HB91" s="92"/>
      <c r="HC91" s="92"/>
      <c r="HD91" s="92"/>
      <c r="HE91" s="92"/>
      <c r="HF91" s="92"/>
      <c r="HG91" s="92"/>
      <c r="HH91" s="92"/>
      <c r="HI91" s="92"/>
      <c r="HJ91" s="92"/>
      <c r="HK91" s="92"/>
      <c r="HL91" s="92"/>
      <c r="HM91" s="92"/>
      <c r="HN91" s="92"/>
      <c r="HO91" s="92"/>
      <c r="HP91" s="92"/>
      <c r="HQ91" s="92"/>
      <c r="HR91" s="92"/>
      <c r="HS91" s="92"/>
      <c r="HT91" s="92"/>
      <c r="HU91" s="92"/>
      <c r="HV91" s="92"/>
      <c r="HW91" s="92"/>
      <c r="HX91" s="92"/>
      <c r="HY91" s="92"/>
      <c r="HZ91" s="92"/>
      <c r="IA91" s="92"/>
      <c r="IB91" s="92"/>
      <c r="IC91" s="92"/>
      <c r="ID91" s="92"/>
      <c r="IE91" s="92"/>
      <c r="IF91" s="92"/>
      <c r="IG91" s="92"/>
      <c r="IH91" s="92"/>
      <c r="II91" s="92"/>
      <c r="IJ91" s="92"/>
      <c r="IK91" s="92"/>
      <c r="IL91" s="92"/>
      <c r="IM91" s="92"/>
      <c r="IN91" s="92"/>
      <c r="IO91" s="92"/>
      <c r="IP91" s="92"/>
      <c r="IQ91" s="92"/>
      <c r="IR91" s="92"/>
      <c r="IS91" s="92"/>
      <c r="IT91" s="92"/>
      <c r="IU91" s="92"/>
      <c r="IV91" s="92"/>
      <c r="IW91" s="92"/>
      <c r="IX91" s="92"/>
      <c r="IY91" s="92"/>
    </row>
    <row r="92" spans="1:259" x14ac:dyDescent="0.3">
      <c r="A92" s="2" t="s">
        <v>300</v>
      </c>
      <c r="B92" s="2"/>
      <c r="C92" s="2"/>
      <c r="D92" s="2"/>
      <c r="E92" s="2" t="s">
        <v>299</v>
      </c>
      <c r="F92" s="2" t="s">
        <v>60</v>
      </c>
      <c r="G92" s="2" t="s">
        <v>336</v>
      </c>
      <c r="H92" s="12" t="s">
        <v>487</v>
      </c>
      <c r="I92" s="7" t="s">
        <v>495</v>
      </c>
      <c r="J92" s="87"/>
      <c r="K92" s="88">
        <f t="shared" si="38"/>
        <v>0</v>
      </c>
      <c r="L92" s="89">
        <v>0</v>
      </c>
      <c r="M92" s="88">
        <f t="shared" si="28"/>
        <v>0</v>
      </c>
      <c r="N92" s="88">
        <f t="shared" si="39"/>
        <v>0</v>
      </c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1"/>
      <c r="AU92" s="30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2"/>
      <c r="BY92" s="92"/>
      <c r="BZ92" s="92"/>
      <c r="CA92" s="92"/>
      <c r="CB92" s="92"/>
      <c r="CC92" s="92"/>
      <c r="CD92" s="92"/>
      <c r="CE92" s="92"/>
      <c r="CF92" s="92"/>
      <c r="CG92" s="92"/>
      <c r="CH92" s="92"/>
      <c r="CI92" s="92"/>
      <c r="CJ92" s="92"/>
      <c r="CK92" s="92"/>
      <c r="CL92" s="92"/>
      <c r="CM92" s="92"/>
      <c r="CN92" s="92"/>
      <c r="CO92" s="92"/>
      <c r="CP92" s="92"/>
      <c r="CQ92" s="92"/>
      <c r="CR92" s="92"/>
      <c r="CS92" s="92"/>
      <c r="CT92" s="92"/>
      <c r="CU92" s="92"/>
      <c r="CV92" s="92"/>
      <c r="CW92" s="92"/>
      <c r="CX92" s="92"/>
      <c r="CY92" s="92"/>
      <c r="CZ92" s="92"/>
      <c r="DA92" s="92"/>
      <c r="DB92" s="92"/>
      <c r="DC92" s="92"/>
      <c r="DD92" s="92"/>
      <c r="DE92" s="92"/>
      <c r="DF92" s="92"/>
      <c r="DG92" s="92"/>
      <c r="DH92" s="92"/>
      <c r="DI92" s="92"/>
      <c r="DJ92" s="92"/>
      <c r="DK92" s="92"/>
      <c r="DL92" s="92"/>
      <c r="DM92" s="92"/>
      <c r="DN92" s="92"/>
      <c r="DO92" s="92"/>
      <c r="DP92" s="92"/>
      <c r="DQ92" s="92"/>
      <c r="DR92" s="92"/>
      <c r="DS92" s="92"/>
      <c r="DT92" s="92"/>
      <c r="DU92" s="92"/>
      <c r="DV92" s="92"/>
      <c r="DW92" s="92"/>
      <c r="DX92" s="92"/>
      <c r="DY92" s="92"/>
      <c r="DZ92" s="92"/>
      <c r="EA92" s="92"/>
      <c r="EB92" s="92"/>
      <c r="EC92" s="92"/>
      <c r="ED92" s="92"/>
      <c r="EE92" s="92"/>
      <c r="EF92" s="92"/>
      <c r="EG92" s="92"/>
      <c r="EH92" s="92"/>
      <c r="EI92" s="92"/>
      <c r="EJ92" s="92"/>
      <c r="EK92" s="92"/>
      <c r="EL92" s="92"/>
      <c r="EM92" s="92"/>
      <c r="EN92" s="92"/>
      <c r="EO92" s="92"/>
      <c r="EP92" s="92"/>
      <c r="EQ92" s="92"/>
      <c r="ER92" s="92"/>
      <c r="ES92" s="92"/>
      <c r="ET92" s="92"/>
      <c r="EU92" s="92"/>
      <c r="EV92" s="92"/>
      <c r="EW92" s="92"/>
      <c r="EX92" s="92"/>
      <c r="EY92" s="92"/>
      <c r="EZ92" s="92"/>
      <c r="FA92" s="92"/>
      <c r="FB92" s="92"/>
      <c r="FC92" s="92"/>
      <c r="FD92" s="92"/>
      <c r="FE92" s="92"/>
      <c r="FF92" s="92"/>
      <c r="FG92" s="92"/>
      <c r="FH92" s="92"/>
      <c r="FI92" s="92"/>
      <c r="FJ92" s="92"/>
      <c r="FK92" s="92"/>
      <c r="FL92" s="92"/>
      <c r="FM92" s="92"/>
      <c r="FN92" s="92"/>
      <c r="FO92" s="92"/>
      <c r="FP92" s="92"/>
      <c r="FQ92" s="92"/>
      <c r="FR92" s="92"/>
      <c r="FS92" s="92"/>
      <c r="FT92" s="92"/>
      <c r="FU92" s="92"/>
      <c r="FV92" s="92"/>
      <c r="FW92" s="92"/>
      <c r="FX92" s="92"/>
      <c r="FY92" s="92"/>
      <c r="FZ92" s="92"/>
      <c r="GA92" s="92"/>
      <c r="GB92" s="92"/>
      <c r="GC92" s="92"/>
      <c r="GD92" s="92"/>
      <c r="GE92" s="92"/>
      <c r="GF92" s="92"/>
      <c r="GG92" s="92"/>
      <c r="GH92" s="92"/>
      <c r="GI92" s="92"/>
      <c r="GJ92" s="92"/>
      <c r="GK92" s="92"/>
      <c r="GL92" s="92"/>
      <c r="GM92" s="92"/>
      <c r="GN92" s="92"/>
      <c r="GO92" s="92"/>
      <c r="GP92" s="92"/>
      <c r="GQ92" s="92"/>
      <c r="GR92" s="92"/>
      <c r="GS92" s="92"/>
      <c r="GT92" s="92"/>
      <c r="GU92" s="92"/>
      <c r="GV92" s="92"/>
      <c r="GW92" s="92"/>
      <c r="GX92" s="92"/>
      <c r="GY92" s="92"/>
      <c r="GZ92" s="92"/>
      <c r="HA92" s="92"/>
      <c r="HB92" s="92"/>
      <c r="HC92" s="92"/>
      <c r="HD92" s="92"/>
      <c r="HE92" s="92"/>
      <c r="HF92" s="92"/>
      <c r="HG92" s="92"/>
      <c r="HH92" s="92"/>
      <c r="HI92" s="92"/>
      <c r="HJ92" s="92"/>
      <c r="HK92" s="92"/>
      <c r="HL92" s="92"/>
      <c r="HM92" s="92"/>
      <c r="HN92" s="92"/>
      <c r="HO92" s="92"/>
      <c r="HP92" s="92"/>
      <c r="HQ92" s="92"/>
      <c r="HR92" s="92"/>
      <c r="HS92" s="92"/>
      <c r="HT92" s="92"/>
      <c r="HU92" s="92"/>
      <c r="HV92" s="92"/>
      <c r="HW92" s="92"/>
      <c r="HX92" s="92"/>
      <c r="HY92" s="92"/>
      <c r="HZ92" s="92"/>
      <c r="IA92" s="92"/>
      <c r="IB92" s="92"/>
      <c r="IC92" s="92"/>
      <c r="ID92" s="92"/>
      <c r="IE92" s="92"/>
      <c r="IF92" s="92"/>
      <c r="IG92" s="92"/>
      <c r="IH92" s="92"/>
      <c r="II92" s="92"/>
      <c r="IJ92" s="92"/>
      <c r="IK92" s="92"/>
      <c r="IL92" s="92"/>
      <c r="IM92" s="92"/>
      <c r="IN92" s="92"/>
      <c r="IO92" s="92"/>
      <c r="IP92" s="92"/>
      <c r="IQ92" s="92"/>
      <c r="IR92" s="92"/>
      <c r="IS92" s="92"/>
      <c r="IT92" s="92"/>
      <c r="IU92" s="92"/>
      <c r="IV92" s="92"/>
      <c r="IW92" s="92"/>
      <c r="IX92" s="92"/>
      <c r="IY92" s="92"/>
    </row>
    <row r="93" spans="1:259" x14ac:dyDescent="0.3">
      <c r="A93" s="2" t="s">
        <v>300</v>
      </c>
      <c r="B93" s="2"/>
      <c r="C93" s="2"/>
      <c r="D93" s="2"/>
      <c r="E93" s="2" t="s">
        <v>299</v>
      </c>
      <c r="F93" s="2" t="s">
        <v>60</v>
      </c>
      <c r="G93" s="2" t="s">
        <v>336</v>
      </c>
      <c r="H93" s="12" t="s">
        <v>488</v>
      </c>
      <c r="I93" s="2" t="s">
        <v>527</v>
      </c>
      <c r="J93" s="87"/>
      <c r="K93" s="88">
        <f t="shared" si="38"/>
        <v>0</v>
      </c>
      <c r="L93" s="89">
        <v>1</v>
      </c>
      <c r="M93" s="88">
        <f t="shared" si="28"/>
        <v>1</v>
      </c>
      <c r="N93" s="88">
        <f t="shared" si="39"/>
        <v>0</v>
      </c>
      <c r="O93" s="90"/>
      <c r="P93" s="90"/>
      <c r="Q93" s="90"/>
      <c r="R93" s="90"/>
      <c r="S93" s="90"/>
      <c r="T93" s="90"/>
      <c r="U93" s="90"/>
      <c r="V93" s="88">
        <f>1</f>
        <v>1</v>
      </c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1"/>
      <c r="AU93" s="30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2"/>
      <c r="BY93" s="92"/>
      <c r="BZ93" s="92"/>
      <c r="CA93" s="92"/>
      <c r="CB93" s="92"/>
      <c r="CC93" s="92"/>
      <c r="CD93" s="92"/>
      <c r="CE93" s="92"/>
      <c r="CF93" s="92"/>
      <c r="CG93" s="92"/>
      <c r="CH93" s="92"/>
      <c r="CI93" s="92"/>
      <c r="CJ93" s="92"/>
      <c r="CK93" s="92"/>
      <c r="CL93" s="92"/>
      <c r="CM93" s="92"/>
      <c r="CN93" s="92"/>
      <c r="CO93" s="92"/>
      <c r="CP93" s="92"/>
      <c r="CQ93" s="92"/>
      <c r="CR93" s="92"/>
      <c r="CS93" s="92"/>
      <c r="CT93" s="92"/>
      <c r="CU93" s="92"/>
      <c r="CV93" s="92"/>
      <c r="CW93" s="92"/>
      <c r="CX93" s="92"/>
      <c r="CY93" s="92"/>
      <c r="CZ93" s="92"/>
      <c r="DA93" s="92"/>
      <c r="DB93" s="92"/>
      <c r="DC93" s="92"/>
      <c r="DD93" s="92"/>
      <c r="DE93" s="92"/>
      <c r="DF93" s="92"/>
      <c r="DG93" s="92"/>
      <c r="DH93" s="92"/>
      <c r="DI93" s="92"/>
      <c r="DJ93" s="92"/>
      <c r="DK93" s="92"/>
      <c r="DL93" s="92"/>
      <c r="DM93" s="92"/>
      <c r="DN93" s="92"/>
      <c r="DO93" s="92"/>
      <c r="DP93" s="92"/>
      <c r="DQ93" s="92"/>
      <c r="DR93" s="92"/>
      <c r="DS93" s="92"/>
      <c r="DT93" s="92"/>
      <c r="DU93" s="92"/>
      <c r="DV93" s="92"/>
      <c r="DW93" s="92"/>
      <c r="DX93" s="92"/>
      <c r="DY93" s="92"/>
      <c r="DZ93" s="92"/>
      <c r="EA93" s="92"/>
      <c r="EB93" s="92"/>
      <c r="EC93" s="92"/>
      <c r="ED93" s="92"/>
      <c r="EE93" s="92"/>
      <c r="EF93" s="92"/>
      <c r="EG93" s="92"/>
      <c r="EH93" s="92"/>
      <c r="EI93" s="92"/>
      <c r="EJ93" s="92"/>
      <c r="EK93" s="92"/>
      <c r="EL93" s="92"/>
      <c r="EM93" s="92"/>
      <c r="EN93" s="92"/>
      <c r="EO93" s="92"/>
      <c r="EP93" s="92"/>
      <c r="EQ93" s="92"/>
      <c r="ER93" s="92"/>
      <c r="ES93" s="92"/>
      <c r="ET93" s="92"/>
      <c r="EU93" s="92"/>
      <c r="EV93" s="92"/>
      <c r="EW93" s="92"/>
      <c r="EX93" s="92"/>
      <c r="EY93" s="92"/>
      <c r="EZ93" s="92"/>
      <c r="FA93" s="92"/>
      <c r="FB93" s="92"/>
      <c r="FC93" s="92"/>
      <c r="FD93" s="92"/>
      <c r="FE93" s="92"/>
      <c r="FF93" s="92"/>
      <c r="FG93" s="92"/>
      <c r="FH93" s="92"/>
      <c r="FI93" s="92"/>
      <c r="FJ93" s="92"/>
      <c r="FK93" s="92"/>
      <c r="FL93" s="92"/>
      <c r="FM93" s="92"/>
      <c r="FN93" s="92"/>
      <c r="FO93" s="92"/>
      <c r="FP93" s="92"/>
      <c r="FQ93" s="92"/>
      <c r="FR93" s="92"/>
      <c r="FS93" s="92"/>
      <c r="FT93" s="92"/>
      <c r="FU93" s="92"/>
      <c r="FV93" s="92"/>
      <c r="FW93" s="92"/>
      <c r="FX93" s="92"/>
      <c r="FY93" s="92"/>
      <c r="FZ93" s="92"/>
      <c r="GA93" s="92"/>
      <c r="GB93" s="92"/>
      <c r="GC93" s="92"/>
      <c r="GD93" s="92"/>
      <c r="GE93" s="92"/>
      <c r="GF93" s="92"/>
      <c r="GG93" s="92"/>
      <c r="GH93" s="92"/>
      <c r="GI93" s="92"/>
      <c r="GJ93" s="92"/>
      <c r="GK93" s="92"/>
      <c r="GL93" s="92"/>
      <c r="GM93" s="92"/>
      <c r="GN93" s="92"/>
      <c r="GO93" s="92"/>
      <c r="GP93" s="92"/>
      <c r="GQ93" s="92"/>
      <c r="GR93" s="92"/>
      <c r="GS93" s="92"/>
      <c r="GT93" s="92"/>
      <c r="GU93" s="92"/>
      <c r="GV93" s="92"/>
      <c r="GW93" s="92"/>
      <c r="GX93" s="92"/>
      <c r="GY93" s="92"/>
      <c r="GZ93" s="92"/>
      <c r="HA93" s="92"/>
      <c r="HB93" s="92"/>
      <c r="HC93" s="92"/>
      <c r="HD93" s="92"/>
      <c r="HE93" s="92"/>
      <c r="HF93" s="92"/>
      <c r="HG93" s="92"/>
      <c r="HH93" s="92"/>
      <c r="HI93" s="92"/>
      <c r="HJ93" s="92"/>
      <c r="HK93" s="92"/>
      <c r="HL93" s="92"/>
      <c r="HM93" s="92"/>
      <c r="HN93" s="92"/>
      <c r="HO93" s="92"/>
      <c r="HP93" s="92"/>
      <c r="HQ93" s="92"/>
      <c r="HR93" s="92"/>
      <c r="HS93" s="92"/>
      <c r="HT93" s="92"/>
      <c r="HU93" s="92"/>
      <c r="HV93" s="92"/>
      <c r="HW93" s="92"/>
      <c r="HX93" s="92"/>
      <c r="HY93" s="92"/>
      <c r="HZ93" s="92"/>
      <c r="IA93" s="92"/>
      <c r="IB93" s="92"/>
      <c r="IC93" s="92"/>
      <c r="ID93" s="92"/>
      <c r="IE93" s="92"/>
      <c r="IF93" s="92"/>
      <c r="IG93" s="92"/>
      <c r="IH93" s="92"/>
      <c r="II93" s="92"/>
      <c r="IJ93" s="92"/>
      <c r="IK93" s="92"/>
      <c r="IL93" s="92"/>
      <c r="IM93" s="92"/>
      <c r="IN93" s="92"/>
      <c r="IO93" s="92"/>
      <c r="IP93" s="92"/>
      <c r="IQ93" s="92"/>
      <c r="IR93" s="92"/>
      <c r="IS93" s="92"/>
      <c r="IT93" s="92"/>
      <c r="IU93" s="92"/>
      <c r="IV93" s="92"/>
      <c r="IW93" s="92"/>
      <c r="IX93" s="92"/>
      <c r="IY93" s="92"/>
    </row>
    <row r="94" spans="1:259" x14ac:dyDescent="0.2">
      <c r="A94" s="2" t="s">
        <v>300</v>
      </c>
      <c r="B94" s="2"/>
      <c r="C94" s="2"/>
      <c r="D94" s="2"/>
      <c r="E94" s="2" t="s">
        <v>299</v>
      </c>
      <c r="F94" s="2" t="s">
        <v>60</v>
      </c>
      <c r="G94" s="2" t="s">
        <v>336</v>
      </c>
      <c r="H94" s="13" t="s">
        <v>489</v>
      </c>
      <c r="I94" s="2" t="s">
        <v>491</v>
      </c>
      <c r="J94" s="87"/>
      <c r="K94" s="88">
        <f t="shared" si="38"/>
        <v>1</v>
      </c>
      <c r="L94" s="89">
        <v>1</v>
      </c>
      <c r="M94" s="88">
        <f t="shared" si="28"/>
        <v>0</v>
      </c>
      <c r="N94" s="88">
        <f t="shared" si="39"/>
        <v>1</v>
      </c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1"/>
      <c r="AU94" s="30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  <c r="CV94" s="92"/>
      <c r="CW94" s="92"/>
      <c r="CX94" s="92"/>
      <c r="CY94" s="92"/>
      <c r="CZ94" s="92"/>
      <c r="DA94" s="92"/>
      <c r="DB94" s="92"/>
      <c r="DC94" s="92"/>
      <c r="DD94" s="92"/>
      <c r="DE94" s="92"/>
      <c r="DF94" s="92"/>
      <c r="DG94" s="92"/>
      <c r="DH94" s="92"/>
      <c r="DI94" s="92"/>
      <c r="DJ94" s="92"/>
      <c r="DK94" s="92"/>
      <c r="DL94" s="92"/>
      <c r="DM94" s="92"/>
      <c r="DN94" s="92"/>
      <c r="DO94" s="92"/>
      <c r="DP94" s="92"/>
      <c r="DQ94" s="92"/>
      <c r="DR94" s="92"/>
      <c r="DS94" s="92"/>
      <c r="DT94" s="92"/>
      <c r="DU94" s="92"/>
      <c r="DV94" s="92"/>
      <c r="DW94" s="92"/>
      <c r="DX94" s="92"/>
      <c r="DY94" s="92"/>
      <c r="DZ94" s="92"/>
      <c r="EA94" s="92"/>
      <c r="EB94" s="92"/>
      <c r="EC94" s="92"/>
      <c r="ED94" s="92"/>
      <c r="EE94" s="92"/>
      <c r="EF94" s="92"/>
      <c r="EG94" s="92"/>
      <c r="EH94" s="92"/>
      <c r="EI94" s="92"/>
      <c r="EJ94" s="92"/>
      <c r="EK94" s="92"/>
      <c r="EL94" s="92"/>
      <c r="EM94" s="92"/>
      <c r="EN94" s="92"/>
      <c r="EO94" s="92"/>
      <c r="EP94" s="92"/>
      <c r="EQ94" s="92"/>
      <c r="ER94" s="92"/>
      <c r="ES94" s="92"/>
      <c r="ET94" s="92"/>
      <c r="EU94" s="92"/>
      <c r="EV94" s="92"/>
      <c r="EW94" s="92"/>
      <c r="EX94" s="92"/>
      <c r="EY94" s="92"/>
      <c r="EZ94" s="92"/>
      <c r="FA94" s="92"/>
      <c r="FB94" s="92"/>
      <c r="FC94" s="92"/>
      <c r="FD94" s="92"/>
      <c r="FE94" s="92"/>
      <c r="FF94" s="92"/>
      <c r="FG94" s="92"/>
      <c r="FH94" s="92"/>
      <c r="FI94" s="92"/>
      <c r="FJ94" s="92"/>
      <c r="FK94" s="92"/>
      <c r="FL94" s="92"/>
      <c r="FM94" s="92"/>
      <c r="FN94" s="92"/>
      <c r="FO94" s="92"/>
      <c r="FP94" s="92"/>
      <c r="FQ94" s="92"/>
      <c r="FR94" s="92"/>
      <c r="FS94" s="92"/>
      <c r="FT94" s="92"/>
      <c r="FU94" s="92"/>
      <c r="FV94" s="92"/>
      <c r="FW94" s="92"/>
      <c r="FX94" s="92"/>
      <c r="FY94" s="92"/>
      <c r="FZ94" s="92"/>
      <c r="GA94" s="92"/>
      <c r="GB94" s="92"/>
      <c r="GC94" s="92"/>
      <c r="GD94" s="92"/>
      <c r="GE94" s="92"/>
      <c r="GF94" s="92"/>
      <c r="GG94" s="92"/>
      <c r="GH94" s="92"/>
      <c r="GI94" s="92"/>
      <c r="GJ94" s="92"/>
      <c r="GK94" s="92"/>
      <c r="GL94" s="92"/>
      <c r="GM94" s="92"/>
      <c r="GN94" s="92"/>
      <c r="GO94" s="92"/>
      <c r="GP94" s="92"/>
      <c r="GQ94" s="92"/>
      <c r="GR94" s="92"/>
      <c r="GS94" s="92"/>
      <c r="GT94" s="92"/>
      <c r="GU94" s="92"/>
      <c r="GV94" s="92"/>
      <c r="GW94" s="92"/>
      <c r="GX94" s="92"/>
      <c r="GY94" s="92"/>
      <c r="GZ94" s="92"/>
      <c r="HA94" s="92"/>
      <c r="HB94" s="92"/>
      <c r="HC94" s="92"/>
      <c r="HD94" s="92"/>
      <c r="HE94" s="92"/>
      <c r="HF94" s="92"/>
      <c r="HG94" s="92"/>
      <c r="HH94" s="92"/>
      <c r="HI94" s="92"/>
      <c r="HJ94" s="92"/>
      <c r="HK94" s="92"/>
      <c r="HL94" s="92"/>
      <c r="HM94" s="92"/>
      <c r="HN94" s="92"/>
      <c r="HO94" s="92"/>
      <c r="HP94" s="92"/>
      <c r="HQ94" s="92"/>
      <c r="HR94" s="92"/>
      <c r="HS94" s="92"/>
      <c r="HT94" s="92"/>
      <c r="HU94" s="92"/>
      <c r="HV94" s="92"/>
      <c r="HW94" s="92"/>
      <c r="HX94" s="92"/>
      <c r="HY94" s="92"/>
      <c r="HZ94" s="92"/>
      <c r="IA94" s="92"/>
      <c r="IB94" s="92"/>
      <c r="IC94" s="92"/>
      <c r="ID94" s="92"/>
      <c r="IE94" s="92"/>
      <c r="IF94" s="92"/>
      <c r="IG94" s="92"/>
      <c r="IH94" s="92"/>
      <c r="II94" s="92"/>
      <c r="IJ94" s="92"/>
      <c r="IK94" s="92"/>
      <c r="IL94" s="92"/>
      <c r="IM94" s="92"/>
      <c r="IN94" s="92"/>
      <c r="IO94" s="92"/>
      <c r="IP94" s="92"/>
      <c r="IQ94" s="92"/>
      <c r="IR94" s="92"/>
      <c r="IS94" s="92"/>
      <c r="IT94" s="92"/>
      <c r="IU94" s="92"/>
      <c r="IV94" s="92"/>
      <c r="IW94" s="92"/>
      <c r="IX94" s="92"/>
      <c r="IY94" s="92"/>
    </row>
    <row r="95" spans="1:259" x14ac:dyDescent="0.3">
      <c r="A95" s="2" t="s">
        <v>300</v>
      </c>
      <c r="B95" s="2"/>
      <c r="C95" s="2"/>
      <c r="D95" s="2"/>
      <c r="E95" s="2" t="s">
        <v>299</v>
      </c>
      <c r="F95" s="2" t="s">
        <v>60</v>
      </c>
      <c r="G95" s="2" t="s">
        <v>336</v>
      </c>
      <c r="H95" s="12" t="s">
        <v>490</v>
      </c>
      <c r="I95" s="2" t="s">
        <v>504</v>
      </c>
      <c r="J95" s="87"/>
      <c r="K95" s="88">
        <f t="shared" si="38"/>
        <v>0</v>
      </c>
      <c r="L95" s="89">
        <v>0</v>
      </c>
      <c r="M95" s="88">
        <f t="shared" si="28"/>
        <v>0</v>
      </c>
      <c r="N95" s="88">
        <f t="shared" si="39"/>
        <v>0</v>
      </c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1"/>
      <c r="AU95" s="30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  <c r="DQ95" s="92"/>
      <c r="DR95" s="92"/>
      <c r="DS95" s="92"/>
      <c r="DT95" s="92"/>
      <c r="DU95" s="92"/>
      <c r="DV95" s="92"/>
      <c r="DW95" s="92"/>
      <c r="DX95" s="92"/>
      <c r="DY95" s="92"/>
      <c r="DZ95" s="92"/>
      <c r="EA95" s="92"/>
      <c r="EB95" s="92"/>
      <c r="EC95" s="92"/>
      <c r="ED95" s="92"/>
      <c r="EE95" s="92"/>
      <c r="EF95" s="92"/>
      <c r="EG95" s="92"/>
      <c r="EH95" s="92"/>
      <c r="EI95" s="92"/>
      <c r="EJ95" s="92"/>
      <c r="EK95" s="92"/>
      <c r="EL95" s="92"/>
      <c r="EM95" s="92"/>
      <c r="EN95" s="92"/>
      <c r="EO95" s="92"/>
      <c r="EP95" s="92"/>
      <c r="EQ95" s="92"/>
      <c r="ER95" s="92"/>
      <c r="ES95" s="92"/>
      <c r="ET95" s="92"/>
      <c r="EU95" s="92"/>
      <c r="EV95" s="92"/>
      <c r="EW95" s="92"/>
      <c r="EX95" s="92"/>
      <c r="EY95" s="92"/>
      <c r="EZ95" s="92"/>
      <c r="FA95" s="92"/>
      <c r="FB95" s="92"/>
      <c r="FC95" s="92"/>
      <c r="FD95" s="92"/>
      <c r="FE95" s="92"/>
      <c r="FF95" s="92"/>
      <c r="FG95" s="92"/>
      <c r="FH95" s="92"/>
      <c r="FI95" s="92"/>
      <c r="FJ95" s="92"/>
      <c r="FK95" s="92"/>
      <c r="FL95" s="92"/>
      <c r="FM95" s="92"/>
      <c r="FN95" s="92"/>
      <c r="FO95" s="92"/>
      <c r="FP95" s="92"/>
      <c r="FQ95" s="92"/>
      <c r="FR95" s="92"/>
      <c r="FS95" s="92"/>
      <c r="FT95" s="92"/>
      <c r="FU95" s="92"/>
      <c r="FV95" s="92"/>
      <c r="FW95" s="92"/>
      <c r="FX95" s="92"/>
      <c r="FY95" s="92"/>
      <c r="FZ95" s="92"/>
      <c r="GA95" s="92"/>
      <c r="GB95" s="92"/>
      <c r="GC95" s="92"/>
      <c r="GD95" s="92"/>
      <c r="GE95" s="92"/>
      <c r="GF95" s="92"/>
      <c r="GG95" s="92"/>
      <c r="GH95" s="92"/>
      <c r="GI95" s="92"/>
      <c r="GJ95" s="92"/>
      <c r="GK95" s="92"/>
      <c r="GL95" s="92"/>
      <c r="GM95" s="92"/>
      <c r="GN95" s="92"/>
      <c r="GO95" s="92"/>
      <c r="GP95" s="92"/>
      <c r="GQ95" s="92"/>
      <c r="GR95" s="92"/>
      <c r="GS95" s="92"/>
      <c r="GT95" s="92"/>
      <c r="GU95" s="92"/>
      <c r="GV95" s="92"/>
      <c r="GW95" s="92"/>
      <c r="GX95" s="92"/>
      <c r="GY95" s="92"/>
      <c r="GZ95" s="92"/>
      <c r="HA95" s="92"/>
      <c r="HB95" s="92"/>
      <c r="HC95" s="92"/>
      <c r="HD95" s="92"/>
      <c r="HE95" s="92"/>
      <c r="HF95" s="92"/>
      <c r="HG95" s="92"/>
      <c r="HH95" s="92"/>
      <c r="HI95" s="92"/>
      <c r="HJ95" s="92"/>
      <c r="HK95" s="92"/>
      <c r="HL95" s="92"/>
      <c r="HM95" s="92"/>
      <c r="HN95" s="92"/>
      <c r="HO95" s="92"/>
      <c r="HP95" s="92"/>
      <c r="HQ95" s="92"/>
      <c r="HR95" s="92"/>
      <c r="HS95" s="92"/>
      <c r="HT95" s="92"/>
      <c r="HU95" s="92"/>
      <c r="HV95" s="92"/>
      <c r="HW95" s="92"/>
      <c r="HX95" s="92"/>
      <c r="HY95" s="92"/>
      <c r="HZ95" s="92"/>
      <c r="IA95" s="92"/>
      <c r="IB95" s="92"/>
      <c r="IC95" s="92"/>
      <c r="ID95" s="92"/>
      <c r="IE95" s="92"/>
      <c r="IF95" s="92"/>
      <c r="IG95" s="92"/>
      <c r="IH95" s="92"/>
      <c r="II95" s="92"/>
      <c r="IJ95" s="92"/>
      <c r="IK95" s="92"/>
      <c r="IL95" s="92"/>
      <c r="IM95" s="92"/>
      <c r="IN95" s="92"/>
      <c r="IO95" s="92"/>
      <c r="IP95" s="92"/>
      <c r="IQ95" s="92"/>
      <c r="IR95" s="92"/>
      <c r="IS95" s="92"/>
      <c r="IT95" s="92"/>
      <c r="IU95" s="92"/>
      <c r="IV95" s="92"/>
      <c r="IW95" s="92"/>
      <c r="IX95" s="92"/>
      <c r="IY95" s="92"/>
    </row>
    <row r="96" spans="1:259" x14ac:dyDescent="0.3">
      <c r="A96" s="2" t="s">
        <v>300</v>
      </c>
      <c r="B96" s="2"/>
      <c r="C96" s="2"/>
      <c r="D96" s="2"/>
      <c r="E96" s="2" t="s">
        <v>299</v>
      </c>
      <c r="F96" s="2" t="s">
        <v>60</v>
      </c>
      <c r="G96" s="2" t="s">
        <v>336</v>
      </c>
      <c r="H96" s="12" t="s">
        <v>543</v>
      </c>
      <c r="I96" s="2" t="s">
        <v>544</v>
      </c>
      <c r="J96" s="87"/>
      <c r="K96" s="88">
        <f t="shared" ref="K96" si="40">L96-M96</f>
        <v>0</v>
      </c>
      <c r="L96" s="89">
        <v>1</v>
      </c>
      <c r="M96" s="88">
        <f t="shared" ref="M96" si="41">SUM(O96:IY96)</f>
        <v>1</v>
      </c>
      <c r="N96" s="88">
        <f t="shared" ref="N96" si="42">K96</f>
        <v>0</v>
      </c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1"/>
      <c r="AU96" s="30"/>
      <c r="AV96" s="92">
        <f>1</f>
        <v>1</v>
      </c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2"/>
      <c r="CT96" s="92"/>
      <c r="CU96" s="92"/>
      <c r="CV96" s="92"/>
      <c r="CW96" s="92"/>
      <c r="CX96" s="92"/>
      <c r="CY96" s="92"/>
      <c r="CZ96" s="92"/>
      <c r="DA96" s="92"/>
      <c r="DB96" s="92"/>
      <c r="DC96" s="92"/>
      <c r="DD96" s="92"/>
      <c r="DE96" s="92"/>
      <c r="DF96" s="92"/>
      <c r="DG96" s="92"/>
      <c r="DH96" s="92"/>
      <c r="DI96" s="92"/>
      <c r="DJ96" s="92"/>
      <c r="DK96" s="92"/>
      <c r="DL96" s="92"/>
      <c r="DM96" s="92"/>
      <c r="DN96" s="92"/>
      <c r="DO96" s="92"/>
      <c r="DP96" s="92"/>
      <c r="DQ96" s="92"/>
      <c r="DR96" s="92"/>
      <c r="DS96" s="92"/>
      <c r="DT96" s="92"/>
      <c r="DU96" s="92"/>
      <c r="DV96" s="92"/>
      <c r="DW96" s="92"/>
      <c r="DX96" s="92"/>
      <c r="DY96" s="92"/>
      <c r="DZ96" s="92"/>
      <c r="EA96" s="92"/>
      <c r="EB96" s="92"/>
      <c r="EC96" s="92"/>
      <c r="ED96" s="92"/>
      <c r="EE96" s="92"/>
      <c r="EF96" s="92"/>
      <c r="EG96" s="92"/>
      <c r="EH96" s="92"/>
      <c r="EI96" s="92"/>
      <c r="EJ96" s="92"/>
      <c r="EK96" s="92"/>
      <c r="EL96" s="92"/>
      <c r="EM96" s="92"/>
      <c r="EN96" s="92"/>
      <c r="EO96" s="92"/>
      <c r="EP96" s="92"/>
      <c r="EQ96" s="92"/>
      <c r="ER96" s="92"/>
      <c r="ES96" s="92"/>
      <c r="ET96" s="92"/>
      <c r="EU96" s="92"/>
      <c r="EV96" s="92"/>
      <c r="EW96" s="92"/>
      <c r="EX96" s="92"/>
      <c r="EY96" s="92"/>
      <c r="EZ96" s="92"/>
      <c r="FA96" s="92"/>
      <c r="FB96" s="92"/>
      <c r="FC96" s="92"/>
      <c r="FD96" s="92"/>
      <c r="FE96" s="92"/>
      <c r="FF96" s="92"/>
      <c r="FG96" s="92"/>
      <c r="FH96" s="92"/>
      <c r="FI96" s="92"/>
      <c r="FJ96" s="92"/>
      <c r="FK96" s="92"/>
      <c r="FL96" s="92"/>
      <c r="FM96" s="92"/>
      <c r="FN96" s="92"/>
      <c r="FO96" s="92"/>
      <c r="FP96" s="92"/>
      <c r="FQ96" s="92"/>
      <c r="FR96" s="92"/>
      <c r="FS96" s="92"/>
      <c r="FT96" s="92"/>
      <c r="FU96" s="92"/>
      <c r="FV96" s="92"/>
      <c r="FW96" s="92"/>
      <c r="FX96" s="92"/>
      <c r="FY96" s="92"/>
      <c r="FZ96" s="92"/>
      <c r="GA96" s="92"/>
      <c r="GB96" s="92"/>
      <c r="GC96" s="92"/>
      <c r="GD96" s="92"/>
      <c r="GE96" s="92"/>
      <c r="GF96" s="92"/>
      <c r="GG96" s="92"/>
      <c r="GH96" s="92"/>
      <c r="GI96" s="92"/>
      <c r="GJ96" s="92"/>
      <c r="GK96" s="92"/>
      <c r="GL96" s="92"/>
      <c r="GM96" s="92"/>
      <c r="GN96" s="92"/>
      <c r="GO96" s="92"/>
      <c r="GP96" s="92"/>
      <c r="GQ96" s="92"/>
      <c r="GR96" s="92"/>
      <c r="GS96" s="92"/>
      <c r="GT96" s="92"/>
      <c r="GU96" s="92"/>
      <c r="GV96" s="92"/>
      <c r="GW96" s="92"/>
      <c r="GX96" s="92"/>
      <c r="GY96" s="92"/>
      <c r="GZ96" s="92"/>
      <c r="HA96" s="92"/>
      <c r="HB96" s="92"/>
      <c r="HC96" s="92"/>
      <c r="HD96" s="92"/>
      <c r="HE96" s="92"/>
      <c r="HF96" s="92"/>
      <c r="HG96" s="92"/>
      <c r="HH96" s="92"/>
      <c r="HI96" s="92"/>
      <c r="HJ96" s="92"/>
      <c r="HK96" s="92"/>
      <c r="HL96" s="92"/>
      <c r="HM96" s="92"/>
      <c r="HN96" s="92"/>
      <c r="HO96" s="92"/>
      <c r="HP96" s="92"/>
      <c r="HQ96" s="92"/>
      <c r="HR96" s="92"/>
      <c r="HS96" s="92"/>
      <c r="HT96" s="92"/>
      <c r="HU96" s="92"/>
      <c r="HV96" s="92"/>
      <c r="HW96" s="92"/>
      <c r="HX96" s="92"/>
      <c r="HY96" s="92"/>
      <c r="HZ96" s="92"/>
      <c r="IA96" s="92"/>
      <c r="IB96" s="92"/>
      <c r="IC96" s="92"/>
      <c r="ID96" s="92"/>
      <c r="IE96" s="92"/>
      <c r="IF96" s="92"/>
      <c r="IG96" s="92"/>
      <c r="IH96" s="92"/>
      <c r="II96" s="92"/>
      <c r="IJ96" s="92"/>
      <c r="IK96" s="92"/>
      <c r="IL96" s="92"/>
      <c r="IM96" s="92"/>
      <c r="IN96" s="92"/>
      <c r="IO96" s="92"/>
      <c r="IP96" s="92"/>
      <c r="IQ96" s="92"/>
      <c r="IR96" s="92"/>
      <c r="IS96" s="92"/>
      <c r="IT96" s="92"/>
      <c r="IU96" s="92"/>
      <c r="IV96" s="92"/>
      <c r="IW96" s="92"/>
      <c r="IX96" s="92"/>
      <c r="IY96" s="92"/>
    </row>
    <row r="97" spans="1:259" x14ac:dyDescent="0.3">
      <c r="A97" s="2" t="s">
        <v>300</v>
      </c>
      <c r="B97" s="7"/>
      <c r="C97" s="2"/>
      <c r="D97" s="2"/>
      <c r="E97" s="2" t="s">
        <v>299</v>
      </c>
      <c r="F97" s="2" t="s">
        <v>60</v>
      </c>
      <c r="G97" s="2" t="s">
        <v>291</v>
      </c>
      <c r="H97" s="2" t="s">
        <v>406</v>
      </c>
      <c r="I97" s="2" t="s">
        <v>407</v>
      </c>
      <c r="J97" s="87"/>
      <c r="K97" s="88">
        <f t="shared" si="0"/>
        <v>0</v>
      </c>
      <c r="L97" s="89">
        <v>0</v>
      </c>
      <c r="M97" s="88">
        <f t="shared" si="28"/>
        <v>0</v>
      </c>
      <c r="N97" s="88">
        <f t="shared" si="2"/>
        <v>0</v>
      </c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1"/>
      <c r="AU97" s="30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2"/>
      <c r="BY97" s="92"/>
      <c r="BZ97" s="92"/>
      <c r="CA97" s="92"/>
      <c r="CB97" s="92"/>
      <c r="CC97" s="92"/>
      <c r="CD97" s="92"/>
      <c r="CE97" s="92"/>
      <c r="CF97" s="92"/>
      <c r="CG97" s="92"/>
      <c r="CH97" s="92"/>
      <c r="CI97" s="92"/>
      <c r="CJ97" s="92"/>
      <c r="CK97" s="92"/>
      <c r="CL97" s="92"/>
      <c r="CM97" s="92"/>
      <c r="CN97" s="92"/>
      <c r="CO97" s="92"/>
      <c r="CP97" s="92"/>
      <c r="CQ97" s="92"/>
      <c r="CR97" s="92"/>
      <c r="CS97" s="92"/>
      <c r="CT97" s="92"/>
      <c r="CU97" s="92"/>
      <c r="CV97" s="92"/>
      <c r="CW97" s="92"/>
      <c r="CX97" s="92"/>
      <c r="CY97" s="92"/>
      <c r="CZ97" s="92"/>
      <c r="DA97" s="92"/>
      <c r="DB97" s="92"/>
      <c r="DC97" s="92"/>
      <c r="DD97" s="92"/>
      <c r="DE97" s="92"/>
      <c r="DF97" s="92"/>
      <c r="DG97" s="92"/>
      <c r="DH97" s="92"/>
      <c r="DI97" s="92"/>
      <c r="DJ97" s="92"/>
      <c r="DK97" s="92"/>
      <c r="DL97" s="92"/>
      <c r="DM97" s="92"/>
      <c r="DN97" s="92"/>
      <c r="DO97" s="92"/>
      <c r="DP97" s="92"/>
      <c r="DQ97" s="92"/>
      <c r="DR97" s="92"/>
      <c r="DS97" s="92"/>
      <c r="DT97" s="92"/>
      <c r="DU97" s="92"/>
      <c r="DV97" s="92"/>
      <c r="DW97" s="92"/>
      <c r="DX97" s="92"/>
      <c r="DY97" s="92"/>
      <c r="DZ97" s="92"/>
      <c r="EA97" s="92"/>
      <c r="EB97" s="92"/>
      <c r="EC97" s="92"/>
      <c r="ED97" s="92"/>
      <c r="EE97" s="92"/>
      <c r="EF97" s="92"/>
      <c r="EG97" s="92"/>
      <c r="EH97" s="92"/>
      <c r="EI97" s="92"/>
      <c r="EJ97" s="92"/>
      <c r="EK97" s="92"/>
      <c r="EL97" s="92"/>
      <c r="EM97" s="92"/>
      <c r="EN97" s="92"/>
      <c r="EO97" s="92"/>
      <c r="EP97" s="92"/>
      <c r="EQ97" s="92"/>
      <c r="ER97" s="92"/>
      <c r="ES97" s="92"/>
      <c r="ET97" s="92"/>
      <c r="EU97" s="92"/>
      <c r="EV97" s="92"/>
      <c r="EW97" s="92"/>
      <c r="EX97" s="92"/>
      <c r="EY97" s="92"/>
      <c r="EZ97" s="92"/>
      <c r="FA97" s="92"/>
      <c r="FB97" s="92"/>
      <c r="FC97" s="92"/>
      <c r="FD97" s="92"/>
      <c r="FE97" s="92"/>
      <c r="FF97" s="92"/>
      <c r="FG97" s="92"/>
      <c r="FH97" s="92"/>
      <c r="FI97" s="92"/>
      <c r="FJ97" s="92"/>
      <c r="FK97" s="92"/>
      <c r="FL97" s="92"/>
      <c r="FM97" s="92"/>
      <c r="FN97" s="92"/>
      <c r="FO97" s="92"/>
      <c r="FP97" s="92"/>
      <c r="FQ97" s="92"/>
      <c r="FR97" s="92"/>
      <c r="FS97" s="92"/>
      <c r="FT97" s="92"/>
      <c r="FU97" s="92"/>
      <c r="FV97" s="92"/>
      <c r="FW97" s="92"/>
      <c r="FX97" s="92"/>
      <c r="FY97" s="92"/>
      <c r="FZ97" s="92"/>
      <c r="GA97" s="92"/>
      <c r="GB97" s="92"/>
      <c r="GC97" s="92"/>
      <c r="GD97" s="92"/>
      <c r="GE97" s="92"/>
      <c r="GF97" s="92"/>
      <c r="GG97" s="92"/>
      <c r="GH97" s="92"/>
      <c r="GI97" s="92"/>
      <c r="GJ97" s="92"/>
      <c r="GK97" s="92"/>
      <c r="GL97" s="92"/>
      <c r="GM97" s="92"/>
      <c r="GN97" s="92"/>
      <c r="GO97" s="92"/>
      <c r="GP97" s="92"/>
      <c r="GQ97" s="92"/>
      <c r="GR97" s="92"/>
      <c r="GS97" s="92"/>
      <c r="GT97" s="92"/>
      <c r="GU97" s="92"/>
      <c r="GV97" s="92"/>
      <c r="GW97" s="92"/>
      <c r="GX97" s="92"/>
      <c r="GY97" s="92"/>
      <c r="GZ97" s="92"/>
      <c r="HA97" s="92"/>
      <c r="HB97" s="92"/>
      <c r="HC97" s="92"/>
      <c r="HD97" s="92"/>
      <c r="HE97" s="92"/>
      <c r="HF97" s="92"/>
      <c r="HG97" s="92"/>
      <c r="HH97" s="92"/>
      <c r="HI97" s="92"/>
      <c r="HJ97" s="92"/>
      <c r="HK97" s="92"/>
      <c r="HL97" s="92"/>
      <c r="HM97" s="92"/>
      <c r="HN97" s="92"/>
      <c r="HO97" s="92"/>
      <c r="HP97" s="92"/>
      <c r="HQ97" s="92"/>
      <c r="HR97" s="92"/>
      <c r="HS97" s="92"/>
      <c r="HT97" s="92"/>
      <c r="HU97" s="92"/>
      <c r="HV97" s="92"/>
      <c r="HW97" s="92"/>
      <c r="HX97" s="92"/>
      <c r="HY97" s="92"/>
      <c r="HZ97" s="92"/>
      <c r="IA97" s="92"/>
      <c r="IB97" s="92"/>
      <c r="IC97" s="92"/>
      <c r="ID97" s="92"/>
      <c r="IE97" s="92"/>
      <c r="IF97" s="92"/>
      <c r="IG97" s="92"/>
      <c r="IH97" s="92"/>
      <c r="II97" s="92"/>
      <c r="IJ97" s="92"/>
      <c r="IK97" s="92"/>
      <c r="IL97" s="92"/>
      <c r="IM97" s="92"/>
      <c r="IN97" s="92"/>
      <c r="IO97" s="92"/>
      <c r="IP97" s="92"/>
      <c r="IQ97" s="92"/>
      <c r="IR97" s="92"/>
      <c r="IS97" s="92"/>
      <c r="IT97" s="92"/>
      <c r="IU97" s="92"/>
      <c r="IV97" s="92"/>
      <c r="IW97" s="92"/>
      <c r="IX97" s="92"/>
      <c r="IY97" s="92"/>
    </row>
    <row r="98" spans="1:259" x14ac:dyDescent="0.3">
      <c r="A98" s="2" t="s">
        <v>300</v>
      </c>
      <c r="B98" s="7"/>
      <c r="C98" s="2"/>
      <c r="D98" s="2"/>
      <c r="E98" s="2" t="s">
        <v>299</v>
      </c>
      <c r="F98" s="2" t="s">
        <v>60</v>
      </c>
      <c r="G98" s="2" t="s">
        <v>465</v>
      </c>
      <c r="H98" s="2" t="s">
        <v>476</v>
      </c>
      <c r="I98" s="7" t="s">
        <v>497</v>
      </c>
      <c r="J98" s="87"/>
      <c r="K98" s="88">
        <f t="shared" ref="K98:K101" si="43">L98-M98</f>
        <v>0</v>
      </c>
      <c r="L98" s="89">
        <v>0</v>
      </c>
      <c r="M98" s="88">
        <f t="shared" si="28"/>
        <v>0</v>
      </c>
      <c r="N98" s="88">
        <f t="shared" ref="N98:N101" si="44">K98</f>
        <v>0</v>
      </c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1"/>
      <c r="AU98" s="30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  <c r="DQ98" s="92"/>
      <c r="DR98" s="92"/>
      <c r="DS98" s="92"/>
      <c r="DT98" s="92"/>
      <c r="DU98" s="92"/>
      <c r="DV98" s="92"/>
      <c r="DW98" s="92"/>
      <c r="DX98" s="92"/>
      <c r="DY98" s="92"/>
      <c r="DZ98" s="92"/>
      <c r="EA98" s="92"/>
      <c r="EB98" s="92"/>
      <c r="EC98" s="92"/>
      <c r="ED98" s="92"/>
      <c r="EE98" s="92"/>
      <c r="EF98" s="92"/>
      <c r="EG98" s="92"/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2"/>
      <c r="ET98" s="92"/>
      <c r="EU98" s="92"/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2"/>
      <c r="FH98" s="92"/>
      <c r="FI98" s="92"/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2"/>
      <c r="FV98" s="92"/>
      <c r="FW98" s="92"/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2"/>
      <c r="GJ98" s="92"/>
      <c r="GK98" s="92"/>
      <c r="GL98" s="92"/>
      <c r="GM98" s="92"/>
      <c r="GN98" s="92"/>
      <c r="GO98" s="92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2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92"/>
      <c r="HR98" s="92"/>
      <c r="HS98" s="92"/>
      <c r="HT98" s="92"/>
      <c r="HU98" s="92"/>
      <c r="HV98" s="92"/>
      <c r="HW98" s="92"/>
      <c r="HX98" s="92"/>
      <c r="HY98" s="92"/>
      <c r="HZ98" s="92"/>
      <c r="IA98" s="92"/>
      <c r="IB98" s="92"/>
      <c r="IC98" s="92"/>
      <c r="ID98" s="92"/>
      <c r="IE98" s="92"/>
      <c r="IF98" s="92"/>
      <c r="IG98" s="92"/>
      <c r="IH98" s="92"/>
      <c r="II98" s="92"/>
      <c r="IJ98" s="92"/>
      <c r="IK98" s="92"/>
      <c r="IL98" s="92"/>
      <c r="IM98" s="92"/>
      <c r="IN98" s="92"/>
      <c r="IO98" s="92"/>
      <c r="IP98" s="92"/>
      <c r="IQ98" s="92"/>
      <c r="IR98" s="92"/>
      <c r="IS98" s="92"/>
      <c r="IT98" s="92"/>
      <c r="IU98" s="92"/>
      <c r="IV98" s="92"/>
      <c r="IW98" s="92"/>
      <c r="IX98" s="92"/>
      <c r="IY98" s="92"/>
    </row>
    <row r="99" spans="1:259" x14ac:dyDescent="0.3">
      <c r="A99" s="2" t="s">
        <v>300</v>
      </c>
      <c r="B99" s="7"/>
      <c r="C99" s="2"/>
      <c r="D99" s="2"/>
      <c r="E99" s="2" t="s">
        <v>299</v>
      </c>
      <c r="F99" s="2" t="s">
        <v>60</v>
      </c>
      <c r="G99" s="2" t="s">
        <v>465</v>
      </c>
      <c r="H99" s="2" t="s">
        <v>466</v>
      </c>
      <c r="I99" s="7" t="s">
        <v>470</v>
      </c>
      <c r="J99" s="87"/>
      <c r="K99" s="88">
        <f t="shared" si="43"/>
        <v>0</v>
      </c>
      <c r="L99" s="89">
        <v>0</v>
      </c>
      <c r="M99" s="88">
        <f t="shared" si="28"/>
        <v>0</v>
      </c>
      <c r="N99" s="88">
        <f t="shared" si="44"/>
        <v>0</v>
      </c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1"/>
      <c r="AU99" s="30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2"/>
      <c r="CT99" s="92"/>
      <c r="CU99" s="92"/>
      <c r="CV99" s="92"/>
      <c r="CW99" s="92"/>
      <c r="CX99" s="92"/>
      <c r="CY99" s="92"/>
      <c r="CZ99" s="92"/>
      <c r="DA99" s="92"/>
      <c r="DB99" s="92"/>
      <c r="DC99" s="92"/>
      <c r="DD99" s="92"/>
      <c r="DE99" s="92"/>
      <c r="DF99" s="92"/>
      <c r="DG99" s="92"/>
      <c r="DH99" s="92"/>
      <c r="DI99" s="92"/>
      <c r="DJ99" s="92"/>
      <c r="DK99" s="92"/>
      <c r="DL99" s="92"/>
      <c r="DM99" s="92"/>
      <c r="DN99" s="92"/>
      <c r="DO99" s="92"/>
      <c r="DP99" s="92"/>
      <c r="DQ99" s="92"/>
      <c r="DR99" s="92"/>
      <c r="DS99" s="92"/>
      <c r="DT99" s="92"/>
      <c r="DU99" s="92"/>
      <c r="DV99" s="92"/>
      <c r="DW99" s="92"/>
      <c r="DX99" s="92"/>
      <c r="DY99" s="92"/>
      <c r="DZ99" s="92"/>
      <c r="EA99" s="92"/>
      <c r="EB99" s="92"/>
      <c r="EC99" s="92"/>
      <c r="ED99" s="92"/>
      <c r="EE99" s="92"/>
      <c r="EF99" s="92"/>
      <c r="EG99" s="92"/>
      <c r="EH99" s="92"/>
      <c r="EI99" s="92"/>
      <c r="EJ99" s="92"/>
      <c r="EK99" s="92"/>
      <c r="EL99" s="92"/>
      <c r="EM99" s="92"/>
      <c r="EN99" s="92"/>
      <c r="EO99" s="92"/>
      <c r="EP99" s="92"/>
      <c r="EQ99" s="92"/>
      <c r="ER99" s="92"/>
      <c r="ES99" s="92"/>
      <c r="ET99" s="92"/>
      <c r="EU99" s="92"/>
      <c r="EV99" s="92"/>
      <c r="EW99" s="92"/>
      <c r="EX99" s="92"/>
      <c r="EY99" s="92"/>
      <c r="EZ99" s="92"/>
      <c r="FA99" s="92"/>
      <c r="FB99" s="92"/>
      <c r="FC99" s="92"/>
      <c r="FD99" s="92"/>
      <c r="FE99" s="92"/>
      <c r="FF99" s="92"/>
      <c r="FG99" s="92"/>
      <c r="FH99" s="92"/>
      <c r="FI99" s="92"/>
      <c r="FJ99" s="92"/>
      <c r="FK99" s="92"/>
      <c r="FL99" s="92"/>
      <c r="FM99" s="92"/>
      <c r="FN99" s="92"/>
      <c r="FO99" s="92"/>
      <c r="FP99" s="92"/>
      <c r="FQ99" s="92"/>
      <c r="FR99" s="92"/>
      <c r="FS99" s="92"/>
      <c r="FT99" s="92"/>
      <c r="FU99" s="92"/>
      <c r="FV99" s="92"/>
      <c r="FW99" s="92"/>
      <c r="FX99" s="92"/>
      <c r="FY99" s="92"/>
      <c r="FZ99" s="92"/>
      <c r="GA99" s="92"/>
      <c r="GB99" s="92"/>
      <c r="GC99" s="92"/>
      <c r="GD99" s="92"/>
      <c r="GE99" s="92"/>
      <c r="GF99" s="92"/>
      <c r="GG99" s="92"/>
      <c r="GH99" s="92"/>
      <c r="GI99" s="92"/>
      <c r="GJ99" s="92"/>
      <c r="GK99" s="92"/>
      <c r="GL99" s="92"/>
      <c r="GM99" s="92"/>
      <c r="GN99" s="92"/>
      <c r="GO99" s="92"/>
      <c r="GP99" s="92"/>
      <c r="GQ99" s="92"/>
      <c r="GR99" s="92"/>
      <c r="GS99" s="92"/>
      <c r="GT99" s="92"/>
      <c r="GU99" s="92"/>
      <c r="GV99" s="92"/>
      <c r="GW99" s="92"/>
      <c r="GX99" s="92"/>
      <c r="GY99" s="92"/>
      <c r="GZ99" s="92"/>
      <c r="HA99" s="92"/>
      <c r="HB99" s="92"/>
      <c r="HC99" s="92"/>
      <c r="HD99" s="92"/>
      <c r="HE99" s="92"/>
      <c r="HF99" s="92"/>
      <c r="HG99" s="92"/>
      <c r="HH99" s="92"/>
      <c r="HI99" s="92"/>
      <c r="HJ99" s="92"/>
      <c r="HK99" s="92"/>
      <c r="HL99" s="92"/>
      <c r="HM99" s="92"/>
      <c r="HN99" s="92"/>
      <c r="HO99" s="92"/>
      <c r="HP99" s="92"/>
      <c r="HQ99" s="92"/>
      <c r="HR99" s="92"/>
      <c r="HS99" s="92"/>
      <c r="HT99" s="92"/>
      <c r="HU99" s="92"/>
      <c r="HV99" s="92"/>
      <c r="HW99" s="92"/>
      <c r="HX99" s="92"/>
      <c r="HY99" s="92"/>
      <c r="HZ99" s="92"/>
      <c r="IA99" s="92"/>
      <c r="IB99" s="92"/>
      <c r="IC99" s="92"/>
      <c r="ID99" s="92"/>
      <c r="IE99" s="92"/>
      <c r="IF99" s="92"/>
      <c r="IG99" s="92"/>
      <c r="IH99" s="92"/>
      <c r="II99" s="92"/>
      <c r="IJ99" s="92"/>
      <c r="IK99" s="92"/>
      <c r="IL99" s="92"/>
      <c r="IM99" s="92"/>
      <c r="IN99" s="92"/>
      <c r="IO99" s="92"/>
      <c r="IP99" s="92"/>
      <c r="IQ99" s="92"/>
      <c r="IR99" s="92"/>
      <c r="IS99" s="92"/>
      <c r="IT99" s="92"/>
      <c r="IU99" s="92"/>
      <c r="IV99" s="92"/>
      <c r="IW99" s="92"/>
      <c r="IX99" s="92"/>
      <c r="IY99" s="92"/>
    </row>
    <row r="100" spans="1:259" x14ac:dyDescent="0.3">
      <c r="A100" s="2" t="s">
        <v>300</v>
      </c>
      <c r="B100" s="7"/>
      <c r="C100" s="2"/>
      <c r="D100" s="2"/>
      <c r="E100" s="2" t="s">
        <v>299</v>
      </c>
      <c r="F100" s="2" t="s">
        <v>60</v>
      </c>
      <c r="G100" s="2" t="s">
        <v>465</v>
      </c>
      <c r="H100" s="2" t="s">
        <v>467</v>
      </c>
      <c r="I100" s="7" t="s">
        <v>470</v>
      </c>
      <c r="J100" s="87"/>
      <c r="K100" s="88">
        <f t="shared" si="43"/>
        <v>0</v>
      </c>
      <c r="L100" s="89">
        <v>0</v>
      </c>
      <c r="M100" s="88">
        <f t="shared" si="28"/>
        <v>0</v>
      </c>
      <c r="N100" s="88">
        <f t="shared" si="44"/>
        <v>0</v>
      </c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1"/>
      <c r="AU100" s="30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  <c r="CV100" s="92"/>
      <c r="CW100" s="92"/>
      <c r="CX100" s="92"/>
      <c r="CY100" s="92"/>
      <c r="CZ100" s="92"/>
      <c r="DA100" s="92"/>
      <c r="DB100" s="92"/>
      <c r="DC100" s="92"/>
      <c r="DD100" s="92"/>
      <c r="DE100" s="92"/>
      <c r="DF100" s="92"/>
      <c r="DG100" s="92"/>
      <c r="DH100" s="92"/>
      <c r="DI100" s="92"/>
      <c r="DJ100" s="92"/>
      <c r="DK100" s="92"/>
      <c r="DL100" s="92"/>
      <c r="DM100" s="92"/>
      <c r="DN100" s="92"/>
      <c r="DO100" s="92"/>
      <c r="DP100" s="92"/>
      <c r="DQ100" s="92"/>
      <c r="DR100" s="92"/>
      <c r="DS100" s="92"/>
      <c r="DT100" s="92"/>
      <c r="DU100" s="92"/>
      <c r="DV100" s="92"/>
      <c r="DW100" s="92"/>
      <c r="DX100" s="92"/>
      <c r="DY100" s="92"/>
      <c r="DZ100" s="92"/>
      <c r="EA100" s="92"/>
      <c r="EB100" s="92"/>
      <c r="EC100" s="92"/>
      <c r="ED100" s="92"/>
      <c r="EE100" s="92"/>
      <c r="EF100" s="92"/>
      <c r="EG100" s="92"/>
      <c r="EH100" s="92"/>
      <c r="EI100" s="92"/>
      <c r="EJ100" s="92"/>
      <c r="EK100" s="92"/>
      <c r="EL100" s="92"/>
      <c r="EM100" s="92"/>
      <c r="EN100" s="92"/>
      <c r="EO100" s="92"/>
      <c r="EP100" s="92"/>
      <c r="EQ100" s="92"/>
      <c r="ER100" s="92"/>
      <c r="ES100" s="92"/>
      <c r="ET100" s="92"/>
      <c r="EU100" s="92"/>
      <c r="EV100" s="92"/>
      <c r="EW100" s="92"/>
      <c r="EX100" s="92"/>
      <c r="EY100" s="92"/>
      <c r="EZ100" s="92"/>
      <c r="FA100" s="92"/>
      <c r="FB100" s="92"/>
      <c r="FC100" s="92"/>
      <c r="FD100" s="92"/>
      <c r="FE100" s="92"/>
      <c r="FF100" s="92"/>
      <c r="FG100" s="92"/>
      <c r="FH100" s="92"/>
      <c r="FI100" s="92"/>
      <c r="FJ100" s="92"/>
      <c r="FK100" s="92"/>
      <c r="FL100" s="92"/>
      <c r="FM100" s="92"/>
      <c r="FN100" s="92"/>
      <c r="FO100" s="92"/>
      <c r="FP100" s="92"/>
      <c r="FQ100" s="92"/>
      <c r="FR100" s="92"/>
      <c r="FS100" s="92"/>
      <c r="FT100" s="92"/>
      <c r="FU100" s="92"/>
      <c r="FV100" s="92"/>
      <c r="FW100" s="92"/>
      <c r="FX100" s="92"/>
      <c r="FY100" s="92"/>
      <c r="FZ100" s="92"/>
      <c r="GA100" s="92"/>
      <c r="GB100" s="92"/>
      <c r="GC100" s="92"/>
      <c r="GD100" s="92"/>
      <c r="GE100" s="92"/>
      <c r="GF100" s="92"/>
      <c r="GG100" s="92"/>
      <c r="GH100" s="92"/>
      <c r="GI100" s="92"/>
      <c r="GJ100" s="92"/>
      <c r="GK100" s="92"/>
      <c r="GL100" s="92"/>
      <c r="GM100" s="92"/>
      <c r="GN100" s="92"/>
      <c r="GO100" s="92"/>
      <c r="GP100" s="92"/>
      <c r="GQ100" s="92"/>
      <c r="GR100" s="92"/>
      <c r="GS100" s="92"/>
      <c r="GT100" s="92"/>
      <c r="GU100" s="92"/>
      <c r="GV100" s="92"/>
      <c r="GW100" s="92"/>
      <c r="GX100" s="92"/>
      <c r="GY100" s="92"/>
      <c r="GZ100" s="92"/>
      <c r="HA100" s="92"/>
      <c r="HB100" s="92"/>
      <c r="HC100" s="92"/>
      <c r="HD100" s="92"/>
      <c r="HE100" s="92"/>
      <c r="HF100" s="92"/>
      <c r="HG100" s="92"/>
      <c r="HH100" s="92"/>
      <c r="HI100" s="92"/>
      <c r="HJ100" s="92"/>
      <c r="HK100" s="92"/>
      <c r="HL100" s="92"/>
      <c r="HM100" s="92"/>
      <c r="HN100" s="92"/>
      <c r="HO100" s="92"/>
      <c r="HP100" s="92"/>
      <c r="HQ100" s="92"/>
      <c r="HR100" s="92"/>
      <c r="HS100" s="92"/>
      <c r="HT100" s="92"/>
      <c r="HU100" s="92"/>
      <c r="HV100" s="92"/>
      <c r="HW100" s="92"/>
      <c r="HX100" s="92"/>
      <c r="HY100" s="92"/>
      <c r="HZ100" s="92"/>
      <c r="IA100" s="92"/>
      <c r="IB100" s="92"/>
      <c r="IC100" s="92"/>
      <c r="ID100" s="92"/>
      <c r="IE100" s="92"/>
      <c r="IF100" s="92"/>
      <c r="IG100" s="92"/>
      <c r="IH100" s="92"/>
      <c r="II100" s="92"/>
      <c r="IJ100" s="92"/>
      <c r="IK100" s="92"/>
      <c r="IL100" s="92"/>
      <c r="IM100" s="92"/>
      <c r="IN100" s="92"/>
      <c r="IO100" s="92"/>
      <c r="IP100" s="92"/>
      <c r="IQ100" s="92"/>
      <c r="IR100" s="92"/>
      <c r="IS100" s="92"/>
      <c r="IT100" s="92"/>
      <c r="IU100" s="92"/>
      <c r="IV100" s="92"/>
      <c r="IW100" s="92"/>
      <c r="IX100" s="92"/>
      <c r="IY100" s="92"/>
    </row>
    <row r="101" spans="1:259" x14ac:dyDescent="0.3">
      <c r="A101" s="2" t="s">
        <v>300</v>
      </c>
      <c r="B101" s="7"/>
      <c r="C101" s="2"/>
      <c r="D101" s="2"/>
      <c r="E101" s="2" t="s">
        <v>299</v>
      </c>
      <c r="F101" s="2" t="s">
        <v>60</v>
      </c>
      <c r="G101" s="2" t="s">
        <v>465</v>
      </c>
      <c r="H101" s="2" t="s">
        <v>468</v>
      </c>
      <c r="I101" s="2" t="s">
        <v>474</v>
      </c>
      <c r="J101" s="87"/>
      <c r="K101" s="88">
        <f t="shared" si="43"/>
        <v>0</v>
      </c>
      <c r="L101" s="89">
        <v>0</v>
      </c>
      <c r="M101" s="88">
        <f t="shared" si="28"/>
        <v>0</v>
      </c>
      <c r="N101" s="88">
        <f t="shared" si="44"/>
        <v>0</v>
      </c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1"/>
      <c r="AU101" s="30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  <c r="DQ101" s="92"/>
      <c r="DR101" s="92"/>
      <c r="DS101" s="92"/>
      <c r="DT101" s="92"/>
      <c r="DU101" s="92"/>
      <c r="DV101" s="92"/>
      <c r="DW101" s="92"/>
      <c r="DX101" s="92"/>
      <c r="DY101" s="92"/>
      <c r="DZ101" s="92"/>
      <c r="EA101" s="92"/>
      <c r="EB101" s="92"/>
      <c r="EC101" s="92"/>
      <c r="ED101" s="92"/>
      <c r="EE101" s="92"/>
      <c r="EF101" s="92"/>
      <c r="EG101" s="92"/>
      <c r="EH101" s="92"/>
      <c r="EI101" s="92"/>
      <c r="EJ101" s="92"/>
      <c r="EK101" s="92"/>
      <c r="EL101" s="92"/>
      <c r="EM101" s="92"/>
      <c r="EN101" s="92"/>
      <c r="EO101" s="92"/>
      <c r="EP101" s="92"/>
      <c r="EQ101" s="92"/>
      <c r="ER101" s="92"/>
      <c r="ES101" s="92"/>
      <c r="ET101" s="92"/>
      <c r="EU101" s="92"/>
      <c r="EV101" s="92"/>
      <c r="EW101" s="92"/>
      <c r="EX101" s="92"/>
      <c r="EY101" s="92"/>
      <c r="EZ101" s="92"/>
      <c r="FA101" s="92"/>
      <c r="FB101" s="92"/>
      <c r="FC101" s="92"/>
      <c r="FD101" s="92"/>
      <c r="FE101" s="92"/>
      <c r="FF101" s="92"/>
      <c r="FG101" s="92"/>
      <c r="FH101" s="92"/>
      <c r="FI101" s="92"/>
      <c r="FJ101" s="92"/>
      <c r="FK101" s="92"/>
      <c r="FL101" s="92"/>
      <c r="FM101" s="92"/>
      <c r="FN101" s="92"/>
      <c r="FO101" s="92"/>
      <c r="FP101" s="92"/>
      <c r="FQ101" s="92"/>
      <c r="FR101" s="92"/>
      <c r="FS101" s="92"/>
      <c r="FT101" s="92"/>
      <c r="FU101" s="92"/>
      <c r="FV101" s="92"/>
      <c r="FW101" s="92"/>
      <c r="FX101" s="92"/>
      <c r="FY101" s="92"/>
      <c r="FZ101" s="92"/>
      <c r="GA101" s="92"/>
      <c r="GB101" s="92"/>
      <c r="GC101" s="92"/>
      <c r="GD101" s="92"/>
      <c r="GE101" s="92"/>
      <c r="GF101" s="92"/>
      <c r="GG101" s="92"/>
      <c r="GH101" s="92"/>
      <c r="GI101" s="92"/>
      <c r="GJ101" s="92"/>
      <c r="GK101" s="92"/>
      <c r="GL101" s="92"/>
      <c r="GM101" s="92"/>
      <c r="GN101" s="92"/>
      <c r="GO101" s="92"/>
      <c r="GP101" s="92"/>
      <c r="GQ101" s="92"/>
      <c r="GR101" s="92"/>
      <c r="GS101" s="92"/>
      <c r="GT101" s="92"/>
      <c r="GU101" s="92"/>
      <c r="GV101" s="92"/>
      <c r="GW101" s="92"/>
      <c r="GX101" s="92"/>
      <c r="GY101" s="92"/>
      <c r="GZ101" s="92"/>
      <c r="HA101" s="92"/>
      <c r="HB101" s="92"/>
      <c r="HC101" s="92"/>
      <c r="HD101" s="92"/>
      <c r="HE101" s="92"/>
      <c r="HF101" s="92"/>
      <c r="HG101" s="92"/>
      <c r="HH101" s="92"/>
      <c r="HI101" s="92"/>
      <c r="HJ101" s="92"/>
      <c r="HK101" s="92"/>
      <c r="HL101" s="92"/>
      <c r="HM101" s="92"/>
      <c r="HN101" s="92"/>
      <c r="HO101" s="92"/>
      <c r="HP101" s="92"/>
      <c r="HQ101" s="92"/>
      <c r="HR101" s="92"/>
      <c r="HS101" s="92"/>
      <c r="HT101" s="92"/>
      <c r="HU101" s="92"/>
      <c r="HV101" s="92"/>
      <c r="HW101" s="92"/>
      <c r="HX101" s="92"/>
      <c r="HY101" s="92"/>
      <c r="HZ101" s="92"/>
      <c r="IA101" s="92"/>
      <c r="IB101" s="92"/>
      <c r="IC101" s="92"/>
      <c r="ID101" s="92"/>
      <c r="IE101" s="92"/>
      <c r="IF101" s="92"/>
      <c r="IG101" s="92"/>
      <c r="IH101" s="92"/>
      <c r="II101" s="92"/>
      <c r="IJ101" s="92"/>
      <c r="IK101" s="92"/>
      <c r="IL101" s="92"/>
      <c r="IM101" s="92"/>
      <c r="IN101" s="92"/>
      <c r="IO101" s="92"/>
      <c r="IP101" s="92"/>
      <c r="IQ101" s="92"/>
      <c r="IR101" s="92"/>
      <c r="IS101" s="92"/>
      <c r="IT101" s="92"/>
      <c r="IU101" s="92"/>
      <c r="IV101" s="92"/>
      <c r="IW101" s="92"/>
      <c r="IX101" s="92"/>
      <c r="IY101" s="92"/>
    </row>
    <row r="102" spans="1:259" x14ac:dyDescent="0.3">
      <c r="A102" s="2" t="s">
        <v>413</v>
      </c>
      <c r="B102" s="7"/>
      <c r="C102" s="2"/>
      <c r="D102" s="2"/>
      <c r="E102" s="2" t="s">
        <v>299</v>
      </c>
      <c r="F102" s="2" t="s">
        <v>60</v>
      </c>
      <c r="G102" s="2" t="s">
        <v>336</v>
      </c>
      <c r="H102" s="2" t="s">
        <v>412</v>
      </c>
      <c r="I102" s="2" t="s">
        <v>414</v>
      </c>
      <c r="J102" s="87"/>
      <c r="K102" s="88">
        <f t="shared" ref="K102" si="45">L102-M102</f>
        <v>0</v>
      </c>
      <c r="L102" s="89">
        <v>0</v>
      </c>
      <c r="M102" s="88">
        <f t="shared" si="28"/>
        <v>0</v>
      </c>
      <c r="N102" s="88">
        <f t="shared" ref="N102" si="46">K102</f>
        <v>0</v>
      </c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1"/>
      <c r="AU102" s="30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2"/>
      <c r="BY102" s="92"/>
      <c r="BZ102" s="92"/>
      <c r="CA102" s="92"/>
      <c r="CB102" s="92"/>
      <c r="CC102" s="92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  <c r="CV102" s="92"/>
      <c r="CW102" s="92"/>
      <c r="CX102" s="92"/>
      <c r="CY102" s="92"/>
      <c r="CZ102" s="92"/>
      <c r="DA102" s="92"/>
      <c r="DB102" s="92"/>
      <c r="DC102" s="92"/>
      <c r="DD102" s="92"/>
      <c r="DE102" s="92"/>
      <c r="DF102" s="92"/>
      <c r="DG102" s="92"/>
      <c r="DH102" s="92"/>
      <c r="DI102" s="92"/>
      <c r="DJ102" s="92"/>
      <c r="DK102" s="92"/>
      <c r="DL102" s="92"/>
      <c r="DM102" s="92"/>
      <c r="DN102" s="92"/>
      <c r="DO102" s="92"/>
      <c r="DP102" s="92"/>
      <c r="DQ102" s="92"/>
      <c r="DR102" s="92"/>
      <c r="DS102" s="92"/>
      <c r="DT102" s="92"/>
      <c r="DU102" s="92"/>
      <c r="DV102" s="92"/>
      <c r="DW102" s="92"/>
      <c r="DX102" s="92"/>
      <c r="DY102" s="92"/>
      <c r="DZ102" s="92"/>
      <c r="EA102" s="92"/>
      <c r="EB102" s="92"/>
      <c r="EC102" s="92"/>
      <c r="ED102" s="92"/>
      <c r="EE102" s="92"/>
      <c r="EF102" s="92"/>
      <c r="EG102" s="92"/>
      <c r="EH102" s="92"/>
      <c r="EI102" s="92"/>
      <c r="EJ102" s="92"/>
      <c r="EK102" s="92"/>
      <c r="EL102" s="92"/>
      <c r="EM102" s="92"/>
      <c r="EN102" s="92"/>
      <c r="EO102" s="92"/>
      <c r="EP102" s="92"/>
      <c r="EQ102" s="92"/>
      <c r="ER102" s="92"/>
      <c r="ES102" s="92"/>
      <c r="ET102" s="92"/>
      <c r="EU102" s="92"/>
      <c r="EV102" s="92"/>
      <c r="EW102" s="92"/>
      <c r="EX102" s="92"/>
      <c r="EY102" s="92"/>
      <c r="EZ102" s="92"/>
      <c r="FA102" s="92"/>
      <c r="FB102" s="92"/>
      <c r="FC102" s="92"/>
      <c r="FD102" s="92"/>
      <c r="FE102" s="92"/>
      <c r="FF102" s="92"/>
      <c r="FG102" s="92"/>
      <c r="FH102" s="92"/>
      <c r="FI102" s="92"/>
      <c r="FJ102" s="92"/>
      <c r="FK102" s="92"/>
      <c r="FL102" s="92"/>
      <c r="FM102" s="92"/>
      <c r="FN102" s="92"/>
      <c r="FO102" s="92"/>
      <c r="FP102" s="92"/>
      <c r="FQ102" s="92"/>
      <c r="FR102" s="92"/>
      <c r="FS102" s="92"/>
      <c r="FT102" s="92"/>
      <c r="FU102" s="92"/>
      <c r="FV102" s="92"/>
      <c r="FW102" s="92"/>
      <c r="FX102" s="92"/>
      <c r="FY102" s="92"/>
      <c r="FZ102" s="92"/>
      <c r="GA102" s="92"/>
      <c r="GB102" s="92"/>
      <c r="GC102" s="92"/>
      <c r="GD102" s="92"/>
      <c r="GE102" s="92"/>
      <c r="GF102" s="92"/>
      <c r="GG102" s="92"/>
      <c r="GH102" s="92"/>
      <c r="GI102" s="92"/>
      <c r="GJ102" s="92"/>
      <c r="GK102" s="92"/>
      <c r="GL102" s="92"/>
      <c r="GM102" s="92"/>
      <c r="GN102" s="92"/>
      <c r="GO102" s="92"/>
      <c r="GP102" s="92"/>
      <c r="GQ102" s="92"/>
      <c r="GR102" s="92"/>
      <c r="GS102" s="92"/>
      <c r="GT102" s="92"/>
      <c r="GU102" s="92"/>
      <c r="GV102" s="92"/>
      <c r="GW102" s="92"/>
      <c r="GX102" s="92"/>
      <c r="GY102" s="92"/>
      <c r="GZ102" s="92"/>
      <c r="HA102" s="92"/>
      <c r="HB102" s="92"/>
      <c r="HC102" s="92"/>
      <c r="HD102" s="92"/>
      <c r="HE102" s="92"/>
      <c r="HF102" s="92"/>
      <c r="HG102" s="92"/>
      <c r="HH102" s="92"/>
      <c r="HI102" s="92"/>
      <c r="HJ102" s="92"/>
      <c r="HK102" s="92"/>
      <c r="HL102" s="92"/>
      <c r="HM102" s="92"/>
      <c r="HN102" s="92"/>
      <c r="HO102" s="92"/>
      <c r="HP102" s="92"/>
      <c r="HQ102" s="92"/>
      <c r="HR102" s="92"/>
      <c r="HS102" s="92"/>
      <c r="HT102" s="92"/>
      <c r="HU102" s="92"/>
      <c r="HV102" s="92"/>
      <c r="HW102" s="92"/>
      <c r="HX102" s="92"/>
      <c r="HY102" s="92"/>
      <c r="HZ102" s="92"/>
      <c r="IA102" s="92"/>
      <c r="IB102" s="92"/>
      <c r="IC102" s="92"/>
      <c r="ID102" s="92"/>
      <c r="IE102" s="92"/>
      <c r="IF102" s="92"/>
      <c r="IG102" s="92"/>
      <c r="IH102" s="92"/>
      <c r="II102" s="92"/>
      <c r="IJ102" s="92"/>
      <c r="IK102" s="92"/>
      <c r="IL102" s="92"/>
      <c r="IM102" s="92"/>
      <c r="IN102" s="92"/>
      <c r="IO102" s="92"/>
      <c r="IP102" s="92"/>
      <c r="IQ102" s="92"/>
      <c r="IR102" s="92"/>
      <c r="IS102" s="92"/>
      <c r="IT102" s="92"/>
      <c r="IU102" s="92"/>
      <c r="IV102" s="92"/>
      <c r="IW102" s="92"/>
      <c r="IX102" s="92"/>
      <c r="IY102" s="92"/>
    </row>
    <row r="103" spans="1:259" x14ac:dyDescent="0.3">
      <c r="A103" s="2" t="s">
        <v>413</v>
      </c>
      <c r="B103" s="7"/>
      <c r="C103" s="2"/>
      <c r="D103" s="2"/>
      <c r="E103" s="2" t="s">
        <v>299</v>
      </c>
      <c r="F103" s="2" t="s">
        <v>60</v>
      </c>
      <c r="G103" s="2" t="s">
        <v>419</v>
      </c>
      <c r="H103" s="2" t="s">
        <v>426</v>
      </c>
      <c r="I103" s="2" t="s">
        <v>442</v>
      </c>
      <c r="J103" s="87"/>
      <c r="K103" s="88">
        <f t="shared" ref="K103:K112" si="47">L103-M103</f>
        <v>0</v>
      </c>
      <c r="L103" s="89">
        <v>0</v>
      </c>
      <c r="M103" s="88">
        <f t="shared" si="28"/>
        <v>0</v>
      </c>
      <c r="N103" s="88">
        <f t="shared" ref="N103:N112" si="48">K103</f>
        <v>0</v>
      </c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1"/>
      <c r="AU103" s="30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2"/>
      <c r="BY103" s="92"/>
      <c r="BZ103" s="92"/>
      <c r="CA103" s="92"/>
      <c r="CB103" s="92"/>
      <c r="CC103" s="92"/>
      <c r="CD103" s="92"/>
      <c r="CE103" s="92"/>
      <c r="CF103" s="92"/>
      <c r="CG103" s="92"/>
      <c r="CH103" s="92"/>
      <c r="CI103" s="92"/>
      <c r="CJ103" s="92"/>
      <c r="CK103" s="92"/>
      <c r="CL103" s="92"/>
      <c r="CM103" s="92"/>
      <c r="CN103" s="92"/>
      <c r="CO103" s="92"/>
      <c r="CP103" s="92"/>
      <c r="CQ103" s="92"/>
      <c r="CR103" s="92"/>
      <c r="CS103" s="92"/>
      <c r="CT103" s="92"/>
      <c r="CU103" s="92"/>
      <c r="CV103" s="92"/>
      <c r="CW103" s="92"/>
      <c r="CX103" s="92"/>
      <c r="CY103" s="92"/>
      <c r="CZ103" s="92"/>
      <c r="DA103" s="92"/>
      <c r="DB103" s="92"/>
      <c r="DC103" s="92"/>
      <c r="DD103" s="92"/>
      <c r="DE103" s="92"/>
      <c r="DF103" s="92"/>
      <c r="DG103" s="92"/>
      <c r="DH103" s="92"/>
      <c r="DI103" s="92"/>
      <c r="DJ103" s="92"/>
      <c r="DK103" s="92"/>
      <c r="DL103" s="92"/>
      <c r="DM103" s="92"/>
      <c r="DN103" s="92"/>
      <c r="DO103" s="92"/>
      <c r="DP103" s="92"/>
      <c r="DQ103" s="92"/>
      <c r="DR103" s="92"/>
      <c r="DS103" s="92"/>
      <c r="DT103" s="92"/>
      <c r="DU103" s="92"/>
      <c r="DV103" s="92"/>
      <c r="DW103" s="92"/>
      <c r="DX103" s="92"/>
      <c r="DY103" s="92"/>
      <c r="DZ103" s="92"/>
      <c r="EA103" s="92"/>
      <c r="EB103" s="92"/>
      <c r="EC103" s="92"/>
      <c r="ED103" s="92"/>
      <c r="EE103" s="92"/>
      <c r="EF103" s="92"/>
      <c r="EG103" s="92"/>
      <c r="EH103" s="92"/>
      <c r="EI103" s="92"/>
      <c r="EJ103" s="92"/>
      <c r="EK103" s="92"/>
      <c r="EL103" s="92"/>
      <c r="EM103" s="92"/>
      <c r="EN103" s="92"/>
      <c r="EO103" s="92"/>
      <c r="EP103" s="92"/>
      <c r="EQ103" s="92"/>
      <c r="ER103" s="92"/>
      <c r="ES103" s="92"/>
      <c r="ET103" s="92"/>
      <c r="EU103" s="92"/>
      <c r="EV103" s="92"/>
      <c r="EW103" s="92"/>
      <c r="EX103" s="92"/>
      <c r="EY103" s="92"/>
      <c r="EZ103" s="92"/>
      <c r="FA103" s="92"/>
      <c r="FB103" s="92"/>
      <c r="FC103" s="92"/>
      <c r="FD103" s="92"/>
      <c r="FE103" s="92"/>
      <c r="FF103" s="92"/>
      <c r="FG103" s="92"/>
      <c r="FH103" s="92"/>
      <c r="FI103" s="92"/>
      <c r="FJ103" s="92"/>
      <c r="FK103" s="92"/>
      <c r="FL103" s="92"/>
      <c r="FM103" s="92"/>
      <c r="FN103" s="92"/>
      <c r="FO103" s="92"/>
      <c r="FP103" s="92"/>
      <c r="FQ103" s="92"/>
      <c r="FR103" s="92"/>
      <c r="FS103" s="92"/>
      <c r="FT103" s="92"/>
      <c r="FU103" s="92"/>
      <c r="FV103" s="92"/>
      <c r="FW103" s="92"/>
      <c r="FX103" s="92"/>
      <c r="FY103" s="92"/>
      <c r="FZ103" s="92"/>
      <c r="GA103" s="92"/>
      <c r="GB103" s="92"/>
      <c r="GC103" s="92"/>
      <c r="GD103" s="92"/>
      <c r="GE103" s="92"/>
      <c r="GF103" s="92"/>
      <c r="GG103" s="92"/>
      <c r="GH103" s="92"/>
      <c r="GI103" s="92"/>
      <c r="GJ103" s="92"/>
      <c r="GK103" s="92"/>
      <c r="GL103" s="92"/>
      <c r="GM103" s="92"/>
      <c r="GN103" s="92"/>
      <c r="GO103" s="92"/>
      <c r="GP103" s="92"/>
      <c r="GQ103" s="92"/>
      <c r="GR103" s="92"/>
      <c r="GS103" s="92"/>
      <c r="GT103" s="92"/>
      <c r="GU103" s="92"/>
      <c r="GV103" s="92"/>
      <c r="GW103" s="92"/>
      <c r="GX103" s="92"/>
      <c r="GY103" s="92"/>
      <c r="GZ103" s="92"/>
      <c r="HA103" s="92"/>
      <c r="HB103" s="92"/>
      <c r="HC103" s="92"/>
      <c r="HD103" s="92"/>
      <c r="HE103" s="92"/>
      <c r="HF103" s="92"/>
      <c r="HG103" s="92"/>
      <c r="HH103" s="92"/>
      <c r="HI103" s="92"/>
      <c r="HJ103" s="92"/>
      <c r="HK103" s="92"/>
      <c r="HL103" s="92"/>
      <c r="HM103" s="92"/>
      <c r="HN103" s="92"/>
      <c r="HO103" s="92"/>
      <c r="HP103" s="92"/>
      <c r="HQ103" s="92"/>
      <c r="HR103" s="92"/>
      <c r="HS103" s="92"/>
      <c r="HT103" s="92"/>
      <c r="HU103" s="92"/>
      <c r="HV103" s="92"/>
      <c r="HW103" s="92"/>
      <c r="HX103" s="92"/>
      <c r="HY103" s="92"/>
      <c r="HZ103" s="92"/>
      <c r="IA103" s="92"/>
      <c r="IB103" s="92"/>
      <c r="IC103" s="92"/>
      <c r="ID103" s="92"/>
      <c r="IE103" s="92"/>
      <c r="IF103" s="92"/>
      <c r="IG103" s="92"/>
      <c r="IH103" s="92"/>
      <c r="II103" s="92"/>
      <c r="IJ103" s="92"/>
      <c r="IK103" s="92"/>
      <c r="IL103" s="92"/>
      <c r="IM103" s="92"/>
      <c r="IN103" s="92"/>
      <c r="IO103" s="92"/>
      <c r="IP103" s="92"/>
      <c r="IQ103" s="92"/>
      <c r="IR103" s="92"/>
      <c r="IS103" s="92"/>
      <c r="IT103" s="92"/>
      <c r="IU103" s="92"/>
      <c r="IV103" s="92"/>
      <c r="IW103" s="92"/>
      <c r="IX103" s="92"/>
      <c r="IY103" s="92"/>
    </row>
    <row r="104" spans="1:259" x14ac:dyDescent="0.3">
      <c r="A104" s="2" t="s">
        <v>413</v>
      </c>
      <c r="B104" s="7"/>
      <c r="C104" s="2"/>
      <c r="D104" s="2"/>
      <c r="E104" s="2" t="s">
        <v>299</v>
      </c>
      <c r="F104" s="2" t="s">
        <v>60</v>
      </c>
      <c r="G104" s="2" t="s">
        <v>419</v>
      </c>
      <c r="H104" s="2" t="s">
        <v>427</v>
      </c>
      <c r="I104" s="2" t="s">
        <v>445</v>
      </c>
      <c r="J104" s="87"/>
      <c r="K104" s="88">
        <f t="shared" si="47"/>
        <v>0</v>
      </c>
      <c r="L104" s="89">
        <v>0</v>
      </c>
      <c r="M104" s="88">
        <f t="shared" si="28"/>
        <v>0</v>
      </c>
      <c r="N104" s="88">
        <f t="shared" si="48"/>
        <v>0</v>
      </c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1"/>
      <c r="AU104" s="30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2"/>
      <c r="BY104" s="92"/>
      <c r="BZ104" s="92"/>
      <c r="CA104" s="92"/>
      <c r="CB104" s="92"/>
      <c r="CC104" s="92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  <c r="CV104" s="92"/>
      <c r="CW104" s="92"/>
      <c r="CX104" s="92"/>
      <c r="CY104" s="92"/>
      <c r="CZ104" s="92"/>
      <c r="DA104" s="92"/>
      <c r="DB104" s="92"/>
      <c r="DC104" s="92"/>
      <c r="DD104" s="92"/>
      <c r="DE104" s="92"/>
      <c r="DF104" s="92"/>
      <c r="DG104" s="92"/>
      <c r="DH104" s="92"/>
      <c r="DI104" s="92"/>
      <c r="DJ104" s="92"/>
      <c r="DK104" s="92"/>
      <c r="DL104" s="92"/>
      <c r="DM104" s="92"/>
      <c r="DN104" s="92"/>
      <c r="DO104" s="92"/>
      <c r="DP104" s="92"/>
      <c r="DQ104" s="92"/>
      <c r="DR104" s="92"/>
      <c r="DS104" s="92"/>
      <c r="DT104" s="92"/>
      <c r="DU104" s="92"/>
      <c r="DV104" s="92"/>
      <c r="DW104" s="92"/>
      <c r="DX104" s="92"/>
      <c r="DY104" s="92"/>
      <c r="DZ104" s="92"/>
      <c r="EA104" s="92"/>
      <c r="EB104" s="92"/>
      <c r="EC104" s="92"/>
      <c r="ED104" s="92"/>
      <c r="EE104" s="92"/>
      <c r="EF104" s="92"/>
      <c r="EG104" s="92"/>
      <c r="EH104" s="92"/>
      <c r="EI104" s="92"/>
      <c r="EJ104" s="92"/>
      <c r="EK104" s="92"/>
      <c r="EL104" s="92"/>
      <c r="EM104" s="92"/>
      <c r="EN104" s="92"/>
      <c r="EO104" s="92"/>
      <c r="EP104" s="92"/>
      <c r="EQ104" s="92"/>
      <c r="ER104" s="92"/>
      <c r="ES104" s="92"/>
      <c r="ET104" s="92"/>
      <c r="EU104" s="92"/>
      <c r="EV104" s="92"/>
      <c r="EW104" s="92"/>
      <c r="EX104" s="92"/>
      <c r="EY104" s="92"/>
      <c r="EZ104" s="92"/>
      <c r="FA104" s="92"/>
      <c r="FB104" s="92"/>
      <c r="FC104" s="92"/>
      <c r="FD104" s="92"/>
      <c r="FE104" s="92"/>
      <c r="FF104" s="92"/>
      <c r="FG104" s="92"/>
      <c r="FH104" s="92"/>
      <c r="FI104" s="92"/>
      <c r="FJ104" s="92"/>
      <c r="FK104" s="92"/>
      <c r="FL104" s="92"/>
      <c r="FM104" s="92"/>
      <c r="FN104" s="92"/>
      <c r="FO104" s="92"/>
      <c r="FP104" s="92"/>
      <c r="FQ104" s="92"/>
      <c r="FR104" s="92"/>
      <c r="FS104" s="92"/>
      <c r="FT104" s="92"/>
      <c r="FU104" s="92"/>
      <c r="FV104" s="92"/>
      <c r="FW104" s="92"/>
      <c r="FX104" s="92"/>
      <c r="FY104" s="92"/>
      <c r="FZ104" s="92"/>
      <c r="GA104" s="92"/>
      <c r="GB104" s="92"/>
      <c r="GC104" s="92"/>
      <c r="GD104" s="92"/>
      <c r="GE104" s="92"/>
      <c r="GF104" s="92"/>
      <c r="GG104" s="92"/>
      <c r="GH104" s="92"/>
      <c r="GI104" s="92"/>
      <c r="GJ104" s="92"/>
      <c r="GK104" s="92"/>
      <c r="GL104" s="92"/>
      <c r="GM104" s="92"/>
      <c r="GN104" s="92"/>
      <c r="GO104" s="92"/>
      <c r="GP104" s="92"/>
      <c r="GQ104" s="92"/>
      <c r="GR104" s="92"/>
      <c r="GS104" s="92"/>
      <c r="GT104" s="92"/>
      <c r="GU104" s="92"/>
      <c r="GV104" s="92"/>
      <c r="GW104" s="92"/>
      <c r="GX104" s="92"/>
      <c r="GY104" s="92"/>
      <c r="GZ104" s="92"/>
      <c r="HA104" s="92"/>
      <c r="HB104" s="92"/>
      <c r="HC104" s="92"/>
      <c r="HD104" s="92"/>
      <c r="HE104" s="92"/>
      <c r="HF104" s="92"/>
      <c r="HG104" s="92"/>
      <c r="HH104" s="92"/>
      <c r="HI104" s="92"/>
      <c r="HJ104" s="92"/>
      <c r="HK104" s="92"/>
      <c r="HL104" s="92"/>
      <c r="HM104" s="92"/>
      <c r="HN104" s="92"/>
      <c r="HO104" s="92"/>
      <c r="HP104" s="92"/>
      <c r="HQ104" s="92"/>
      <c r="HR104" s="92"/>
      <c r="HS104" s="92"/>
      <c r="HT104" s="92"/>
      <c r="HU104" s="92"/>
      <c r="HV104" s="92"/>
      <c r="HW104" s="92"/>
      <c r="HX104" s="92"/>
      <c r="HY104" s="92"/>
      <c r="HZ104" s="92"/>
      <c r="IA104" s="92"/>
      <c r="IB104" s="92"/>
      <c r="IC104" s="92"/>
      <c r="ID104" s="92"/>
      <c r="IE104" s="92"/>
      <c r="IF104" s="92"/>
      <c r="IG104" s="92"/>
      <c r="IH104" s="92"/>
      <c r="II104" s="92"/>
      <c r="IJ104" s="92"/>
      <c r="IK104" s="92"/>
      <c r="IL104" s="92"/>
      <c r="IM104" s="92"/>
      <c r="IN104" s="92"/>
      <c r="IO104" s="92"/>
      <c r="IP104" s="92"/>
      <c r="IQ104" s="92"/>
      <c r="IR104" s="92"/>
      <c r="IS104" s="92"/>
      <c r="IT104" s="92"/>
      <c r="IU104" s="92"/>
      <c r="IV104" s="92"/>
      <c r="IW104" s="92"/>
      <c r="IX104" s="92"/>
      <c r="IY104" s="92"/>
    </row>
    <row r="105" spans="1:259" x14ac:dyDescent="0.3">
      <c r="A105" s="2" t="s">
        <v>413</v>
      </c>
      <c r="B105" s="7"/>
      <c r="C105" s="2"/>
      <c r="D105" s="2"/>
      <c r="E105" s="2" t="s">
        <v>299</v>
      </c>
      <c r="F105" s="2" t="s">
        <v>60</v>
      </c>
      <c r="G105" s="2" t="s">
        <v>419</v>
      </c>
      <c r="H105" s="2" t="s">
        <v>428</v>
      </c>
      <c r="I105" s="2" t="s">
        <v>445</v>
      </c>
      <c r="J105" s="87"/>
      <c r="K105" s="88">
        <f t="shared" si="47"/>
        <v>0</v>
      </c>
      <c r="L105" s="89">
        <v>0</v>
      </c>
      <c r="M105" s="88">
        <f t="shared" si="28"/>
        <v>0</v>
      </c>
      <c r="N105" s="88">
        <f t="shared" si="48"/>
        <v>0</v>
      </c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1"/>
      <c r="AU105" s="30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2"/>
      <c r="BY105" s="92"/>
      <c r="BZ105" s="92"/>
      <c r="CA105" s="92"/>
      <c r="CB105" s="92"/>
      <c r="CC105" s="92"/>
      <c r="CD105" s="92"/>
      <c r="CE105" s="92"/>
      <c r="CF105" s="92"/>
      <c r="CG105" s="92"/>
      <c r="CH105" s="92"/>
      <c r="CI105" s="92"/>
      <c r="CJ105" s="92"/>
      <c r="CK105" s="92"/>
      <c r="CL105" s="92"/>
      <c r="CM105" s="92"/>
      <c r="CN105" s="92"/>
      <c r="CO105" s="92"/>
      <c r="CP105" s="92"/>
      <c r="CQ105" s="92"/>
      <c r="CR105" s="92"/>
      <c r="CS105" s="92"/>
      <c r="CT105" s="92"/>
      <c r="CU105" s="92"/>
      <c r="CV105" s="92"/>
      <c r="CW105" s="92"/>
      <c r="CX105" s="92"/>
      <c r="CY105" s="92"/>
      <c r="CZ105" s="92"/>
      <c r="DA105" s="92"/>
      <c r="DB105" s="92"/>
      <c r="DC105" s="92"/>
      <c r="DD105" s="92"/>
      <c r="DE105" s="92"/>
      <c r="DF105" s="92"/>
      <c r="DG105" s="92"/>
      <c r="DH105" s="92"/>
      <c r="DI105" s="92"/>
      <c r="DJ105" s="92"/>
      <c r="DK105" s="92"/>
      <c r="DL105" s="92"/>
      <c r="DM105" s="92"/>
      <c r="DN105" s="92"/>
      <c r="DO105" s="92"/>
      <c r="DP105" s="92"/>
      <c r="DQ105" s="92"/>
      <c r="DR105" s="92"/>
      <c r="DS105" s="92"/>
      <c r="DT105" s="92"/>
      <c r="DU105" s="92"/>
      <c r="DV105" s="92"/>
      <c r="DW105" s="92"/>
      <c r="DX105" s="92"/>
      <c r="DY105" s="92"/>
      <c r="DZ105" s="92"/>
      <c r="EA105" s="92"/>
      <c r="EB105" s="92"/>
      <c r="EC105" s="92"/>
      <c r="ED105" s="92"/>
      <c r="EE105" s="92"/>
      <c r="EF105" s="92"/>
      <c r="EG105" s="92"/>
      <c r="EH105" s="92"/>
      <c r="EI105" s="92"/>
      <c r="EJ105" s="92"/>
      <c r="EK105" s="92"/>
      <c r="EL105" s="92"/>
      <c r="EM105" s="92"/>
      <c r="EN105" s="92"/>
      <c r="EO105" s="92"/>
      <c r="EP105" s="92"/>
      <c r="EQ105" s="92"/>
      <c r="ER105" s="92"/>
      <c r="ES105" s="92"/>
      <c r="ET105" s="92"/>
      <c r="EU105" s="92"/>
      <c r="EV105" s="92"/>
      <c r="EW105" s="92"/>
      <c r="EX105" s="92"/>
      <c r="EY105" s="92"/>
      <c r="EZ105" s="92"/>
      <c r="FA105" s="92"/>
      <c r="FB105" s="92"/>
      <c r="FC105" s="92"/>
      <c r="FD105" s="92"/>
      <c r="FE105" s="92"/>
      <c r="FF105" s="92"/>
      <c r="FG105" s="92"/>
      <c r="FH105" s="92"/>
      <c r="FI105" s="92"/>
      <c r="FJ105" s="92"/>
      <c r="FK105" s="92"/>
      <c r="FL105" s="92"/>
      <c r="FM105" s="92"/>
      <c r="FN105" s="92"/>
      <c r="FO105" s="92"/>
      <c r="FP105" s="92"/>
      <c r="FQ105" s="92"/>
      <c r="FR105" s="92"/>
      <c r="FS105" s="92"/>
      <c r="FT105" s="92"/>
      <c r="FU105" s="92"/>
      <c r="FV105" s="92"/>
      <c r="FW105" s="92"/>
      <c r="FX105" s="92"/>
      <c r="FY105" s="92"/>
      <c r="FZ105" s="92"/>
      <c r="GA105" s="92"/>
      <c r="GB105" s="92"/>
      <c r="GC105" s="92"/>
      <c r="GD105" s="92"/>
      <c r="GE105" s="92"/>
      <c r="GF105" s="92"/>
      <c r="GG105" s="92"/>
      <c r="GH105" s="92"/>
      <c r="GI105" s="92"/>
      <c r="GJ105" s="92"/>
      <c r="GK105" s="92"/>
      <c r="GL105" s="92"/>
      <c r="GM105" s="92"/>
      <c r="GN105" s="92"/>
      <c r="GO105" s="92"/>
      <c r="GP105" s="92"/>
      <c r="GQ105" s="92"/>
      <c r="GR105" s="92"/>
      <c r="GS105" s="92"/>
      <c r="GT105" s="92"/>
      <c r="GU105" s="92"/>
      <c r="GV105" s="92"/>
      <c r="GW105" s="92"/>
      <c r="GX105" s="92"/>
      <c r="GY105" s="92"/>
      <c r="GZ105" s="92"/>
      <c r="HA105" s="92"/>
      <c r="HB105" s="92"/>
      <c r="HC105" s="92"/>
      <c r="HD105" s="92"/>
      <c r="HE105" s="92"/>
      <c r="HF105" s="92"/>
      <c r="HG105" s="92"/>
      <c r="HH105" s="92"/>
      <c r="HI105" s="92"/>
      <c r="HJ105" s="92"/>
      <c r="HK105" s="92"/>
      <c r="HL105" s="92"/>
      <c r="HM105" s="92"/>
      <c r="HN105" s="92"/>
      <c r="HO105" s="92"/>
      <c r="HP105" s="92"/>
      <c r="HQ105" s="92"/>
      <c r="HR105" s="92"/>
      <c r="HS105" s="92"/>
      <c r="HT105" s="92"/>
      <c r="HU105" s="92"/>
      <c r="HV105" s="92"/>
      <c r="HW105" s="92"/>
      <c r="HX105" s="92"/>
      <c r="HY105" s="92"/>
      <c r="HZ105" s="92"/>
      <c r="IA105" s="92"/>
      <c r="IB105" s="92"/>
      <c r="IC105" s="92"/>
      <c r="ID105" s="92"/>
      <c r="IE105" s="92"/>
      <c r="IF105" s="92"/>
      <c r="IG105" s="92"/>
      <c r="IH105" s="92"/>
      <c r="II105" s="92"/>
      <c r="IJ105" s="92"/>
      <c r="IK105" s="92"/>
      <c r="IL105" s="92"/>
      <c r="IM105" s="92"/>
      <c r="IN105" s="92"/>
      <c r="IO105" s="92"/>
      <c r="IP105" s="92"/>
      <c r="IQ105" s="92"/>
      <c r="IR105" s="92"/>
      <c r="IS105" s="92"/>
      <c r="IT105" s="92"/>
      <c r="IU105" s="92"/>
      <c r="IV105" s="92"/>
      <c r="IW105" s="92"/>
      <c r="IX105" s="92"/>
      <c r="IY105" s="92"/>
    </row>
    <row r="106" spans="1:259" x14ac:dyDescent="0.3">
      <c r="A106" s="2" t="s">
        <v>413</v>
      </c>
      <c r="B106" s="7"/>
      <c r="C106" s="2"/>
      <c r="D106" s="2"/>
      <c r="E106" s="2" t="s">
        <v>299</v>
      </c>
      <c r="F106" s="2" t="s">
        <v>60</v>
      </c>
      <c r="G106" s="2" t="s">
        <v>419</v>
      </c>
      <c r="H106" s="2" t="s">
        <v>429</v>
      </c>
      <c r="I106" s="2" t="s">
        <v>445</v>
      </c>
      <c r="J106" s="87"/>
      <c r="K106" s="88">
        <f t="shared" si="47"/>
        <v>0</v>
      </c>
      <c r="L106" s="89">
        <v>0</v>
      </c>
      <c r="M106" s="88">
        <f t="shared" si="28"/>
        <v>0</v>
      </c>
      <c r="N106" s="88">
        <f t="shared" si="48"/>
        <v>0</v>
      </c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1"/>
      <c r="AU106" s="30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2"/>
      <c r="BY106" s="92"/>
      <c r="BZ106" s="92"/>
      <c r="CA106" s="92"/>
      <c r="CB106" s="92"/>
      <c r="CC106" s="92"/>
      <c r="CD106" s="92"/>
      <c r="CE106" s="92"/>
      <c r="CF106" s="92"/>
      <c r="CG106" s="92"/>
      <c r="CH106" s="92"/>
      <c r="CI106" s="92"/>
      <c r="CJ106" s="92"/>
      <c r="CK106" s="92"/>
      <c r="CL106" s="92"/>
      <c r="CM106" s="92"/>
      <c r="CN106" s="92"/>
      <c r="CO106" s="92"/>
      <c r="CP106" s="92"/>
      <c r="CQ106" s="92"/>
      <c r="CR106" s="92"/>
      <c r="CS106" s="92"/>
      <c r="CT106" s="92"/>
      <c r="CU106" s="92"/>
      <c r="CV106" s="92"/>
      <c r="CW106" s="92"/>
      <c r="CX106" s="92"/>
      <c r="CY106" s="92"/>
      <c r="CZ106" s="92"/>
      <c r="DA106" s="92"/>
      <c r="DB106" s="92"/>
      <c r="DC106" s="92"/>
      <c r="DD106" s="92"/>
      <c r="DE106" s="92"/>
      <c r="DF106" s="92"/>
      <c r="DG106" s="92"/>
      <c r="DH106" s="92"/>
      <c r="DI106" s="92"/>
      <c r="DJ106" s="92"/>
      <c r="DK106" s="92"/>
      <c r="DL106" s="92"/>
      <c r="DM106" s="92"/>
      <c r="DN106" s="92"/>
      <c r="DO106" s="92"/>
      <c r="DP106" s="92"/>
      <c r="DQ106" s="92"/>
      <c r="DR106" s="92"/>
      <c r="DS106" s="92"/>
      <c r="DT106" s="92"/>
      <c r="DU106" s="92"/>
      <c r="DV106" s="92"/>
      <c r="DW106" s="92"/>
      <c r="DX106" s="92"/>
      <c r="DY106" s="92"/>
      <c r="DZ106" s="92"/>
      <c r="EA106" s="92"/>
      <c r="EB106" s="92"/>
      <c r="EC106" s="92"/>
      <c r="ED106" s="92"/>
      <c r="EE106" s="92"/>
      <c r="EF106" s="92"/>
      <c r="EG106" s="92"/>
      <c r="EH106" s="92"/>
      <c r="EI106" s="92"/>
      <c r="EJ106" s="92"/>
      <c r="EK106" s="92"/>
      <c r="EL106" s="92"/>
      <c r="EM106" s="92"/>
      <c r="EN106" s="92"/>
      <c r="EO106" s="92"/>
      <c r="EP106" s="92"/>
      <c r="EQ106" s="92"/>
      <c r="ER106" s="92"/>
      <c r="ES106" s="92"/>
      <c r="ET106" s="92"/>
      <c r="EU106" s="92"/>
      <c r="EV106" s="92"/>
      <c r="EW106" s="92"/>
      <c r="EX106" s="92"/>
      <c r="EY106" s="92"/>
      <c r="EZ106" s="92"/>
      <c r="FA106" s="92"/>
      <c r="FB106" s="92"/>
      <c r="FC106" s="92"/>
      <c r="FD106" s="92"/>
      <c r="FE106" s="92"/>
      <c r="FF106" s="92"/>
      <c r="FG106" s="92"/>
      <c r="FH106" s="92"/>
      <c r="FI106" s="92"/>
      <c r="FJ106" s="92"/>
      <c r="FK106" s="92"/>
      <c r="FL106" s="92"/>
      <c r="FM106" s="92"/>
      <c r="FN106" s="92"/>
      <c r="FO106" s="92"/>
      <c r="FP106" s="92"/>
      <c r="FQ106" s="92"/>
      <c r="FR106" s="92"/>
      <c r="FS106" s="92"/>
      <c r="FT106" s="92"/>
      <c r="FU106" s="92"/>
      <c r="FV106" s="92"/>
      <c r="FW106" s="92"/>
      <c r="FX106" s="92"/>
      <c r="FY106" s="92"/>
      <c r="FZ106" s="92"/>
      <c r="GA106" s="92"/>
      <c r="GB106" s="92"/>
      <c r="GC106" s="92"/>
      <c r="GD106" s="92"/>
      <c r="GE106" s="92"/>
      <c r="GF106" s="92"/>
      <c r="GG106" s="92"/>
      <c r="GH106" s="92"/>
      <c r="GI106" s="92"/>
      <c r="GJ106" s="92"/>
      <c r="GK106" s="92"/>
      <c r="GL106" s="92"/>
      <c r="GM106" s="92"/>
      <c r="GN106" s="92"/>
      <c r="GO106" s="92"/>
      <c r="GP106" s="92"/>
      <c r="GQ106" s="92"/>
      <c r="GR106" s="92"/>
      <c r="GS106" s="92"/>
      <c r="GT106" s="92"/>
      <c r="GU106" s="92"/>
      <c r="GV106" s="92"/>
      <c r="GW106" s="92"/>
      <c r="GX106" s="92"/>
      <c r="GY106" s="92"/>
      <c r="GZ106" s="92"/>
      <c r="HA106" s="92"/>
      <c r="HB106" s="92"/>
      <c r="HC106" s="92"/>
      <c r="HD106" s="92"/>
      <c r="HE106" s="92"/>
      <c r="HF106" s="92"/>
      <c r="HG106" s="92"/>
      <c r="HH106" s="92"/>
      <c r="HI106" s="92"/>
      <c r="HJ106" s="92"/>
      <c r="HK106" s="92"/>
      <c r="HL106" s="92"/>
      <c r="HM106" s="92"/>
      <c r="HN106" s="92"/>
      <c r="HO106" s="92"/>
      <c r="HP106" s="92"/>
      <c r="HQ106" s="92"/>
      <c r="HR106" s="92"/>
      <c r="HS106" s="92"/>
      <c r="HT106" s="92"/>
      <c r="HU106" s="92"/>
      <c r="HV106" s="92"/>
      <c r="HW106" s="92"/>
      <c r="HX106" s="92"/>
      <c r="HY106" s="92"/>
      <c r="HZ106" s="92"/>
      <c r="IA106" s="92"/>
      <c r="IB106" s="92"/>
      <c r="IC106" s="92"/>
      <c r="ID106" s="92"/>
      <c r="IE106" s="92"/>
      <c r="IF106" s="92"/>
      <c r="IG106" s="92"/>
      <c r="IH106" s="92"/>
      <c r="II106" s="92"/>
      <c r="IJ106" s="92"/>
      <c r="IK106" s="92"/>
      <c r="IL106" s="92"/>
      <c r="IM106" s="92"/>
      <c r="IN106" s="92"/>
      <c r="IO106" s="92"/>
      <c r="IP106" s="92"/>
      <c r="IQ106" s="92"/>
      <c r="IR106" s="92"/>
      <c r="IS106" s="92"/>
      <c r="IT106" s="92"/>
      <c r="IU106" s="92"/>
      <c r="IV106" s="92"/>
      <c r="IW106" s="92"/>
      <c r="IX106" s="92"/>
      <c r="IY106" s="92"/>
    </row>
    <row r="107" spans="1:259" x14ac:dyDescent="0.3">
      <c r="A107" s="2" t="s">
        <v>413</v>
      </c>
      <c r="B107" s="7"/>
      <c r="C107" s="2"/>
      <c r="D107" s="2"/>
      <c r="E107" s="2" t="s">
        <v>299</v>
      </c>
      <c r="F107" s="2" t="s">
        <v>60</v>
      </c>
      <c r="G107" s="2" t="s">
        <v>419</v>
      </c>
      <c r="H107" s="2" t="s">
        <v>430</v>
      </c>
      <c r="I107" s="2" t="s">
        <v>446</v>
      </c>
      <c r="J107" s="87"/>
      <c r="K107" s="88">
        <f t="shared" si="47"/>
        <v>0</v>
      </c>
      <c r="L107" s="89">
        <v>0</v>
      </c>
      <c r="M107" s="88">
        <f t="shared" si="28"/>
        <v>0</v>
      </c>
      <c r="N107" s="88">
        <f t="shared" si="48"/>
        <v>0</v>
      </c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1"/>
      <c r="AU107" s="30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2"/>
      <c r="BY107" s="92"/>
      <c r="BZ107" s="92"/>
      <c r="CA107" s="92"/>
      <c r="CB107" s="92"/>
      <c r="CC107" s="92"/>
      <c r="CD107" s="92"/>
      <c r="CE107" s="92"/>
      <c r="CF107" s="92"/>
      <c r="CG107" s="92"/>
      <c r="CH107" s="92"/>
      <c r="CI107" s="92"/>
      <c r="CJ107" s="92"/>
      <c r="CK107" s="92"/>
      <c r="CL107" s="92"/>
      <c r="CM107" s="92"/>
      <c r="CN107" s="92"/>
      <c r="CO107" s="92"/>
      <c r="CP107" s="92"/>
      <c r="CQ107" s="92"/>
      <c r="CR107" s="92"/>
      <c r="CS107" s="92"/>
      <c r="CT107" s="92"/>
      <c r="CU107" s="92"/>
      <c r="CV107" s="92"/>
      <c r="CW107" s="92"/>
      <c r="CX107" s="92"/>
      <c r="CY107" s="92"/>
      <c r="CZ107" s="92"/>
      <c r="DA107" s="92"/>
      <c r="DB107" s="92"/>
      <c r="DC107" s="92"/>
      <c r="DD107" s="92"/>
      <c r="DE107" s="92"/>
      <c r="DF107" s="92"/>
      <c r="DG107" s="92"/>
      <c r="DH107" s="92"/>
      <c r="DI107" s="92"/>
      <c r="DJ107" s="92"/>
      <c r="DK107" s="92"/>
      <c r="DL107" s="92"/>
      <c r="DM107" s="92"/>
      <c r="DN107" s="92"/>
      <c r="DO107" s="92"/>
      <c r="DP107" s="92"/>
      <c r="DQ107" s="92"/>
      <c r="DR107" s="92"/>
      <c r="DS107" s="92"/>
      <c r="DT107" s="92"/>
      <c r="DU107" s="92"/>
      <c r="DV107" s="92"/>
      <c r="DW107" s="92"/>
      <c r="DX107" s="92"/>
      <c r="DY107" s="92"/>
      <c r="DZ107" s="92"/>
      <c r="EA107" s="92"/>
      <c r="EB107" s="92"/>
      <c r="EC107" s="92"/>
      <c r="ED107" s="92"/>
      <c r="EE107" s="92"/>
      <c r="EF107" s="92"/>
      <c r="EG107" s="92"/>
      <c r="EH107" s="92"/>
      <c r="EI107" s="92"/>
      <c r="EJ107" s="92"/>
      <c r="EK107" s="92"/>
      <c r="EL107" s="92"/>
      <c r="EM107" s="92"/>
      <c r="EN107" s="92"/>
      <c r="EO107" s="92"/>
      <c r="EP107" s="92"/>
      <c r="EQ107" s="92"/>
      <c r="ER107" s="92"/>
      <c r="ES107" s="92"/>
      <c r="ET107" s="92"/>
      <c r="EU107" s="92"/>
      <c r="EV107" s="92"/>
      <c r="EW107" s="92"/>
      <c r="EX107" s="92"/>
      <c r="EY107" s="92"/>
      <c r="EZ107" s="92"/>
      <c r="FA107" s="92"/>
      <c r="FB107" s="92"/>
      <c r="FC107" s="92"/>
      <c r="FD107" s="92"/>
      <c r="FE107" s="92"/>
      <c r="FF107" s="92"/>
      <c r="FG107" s="92"/>
      <c r="FH107" s="92"/>
      <c r="FI107" s="92"/>
      <c r="FJ107" s="92"/>
      <c r="FK107" s="92"/>
      <c r="FL107" s="92"/>
      <c r="FM107" s="92"/>
      <c r="FN107" s="92"/>
      <c r="FO107" s="92"/>
      <c r="FP107" s="92"/>
      <c r="FQ107" s="92"/>
      <c r="FR107" s="92"/>
      <c r="FS107" s="92"/>
      <c r="FT107" s="92"/>
      <c r="FU107" s="92"/>
      <c r="FV107" s="92"/>
      <c r="FW107" s="92"/>
      <c r="FX107" s="92"/>
      <c r="FY107" s="92"/>
      <c r="FZ107" s="92"/>
      <c r="GA107" s="92"/>
      <c r="GB107" s="92"/>
      <c r="GC107" s="92"/>
      <c r="GD107" s="92"/>
      <c r="GE107" s="92"/>
      <c r="GF107" s="92"/>
      <c r="GG107" s="92"/>
      <c r="GH107" s="92"/>
      <c r="GI107" s="92"/>
      <c r="GJ107" s="92"/>
      <c r="GK107" s="92"/>
      <c r="GL107" s="92"/>
      <c r="GM107" s="92"/>
      <c r="GN107" s="92"/>
      <c r="GO107" s="92"/>
      <c r="GP107" s="92"/>
      <c r="GQ107" s="92"/>
      <c r="GR107" s="92"/>
      <c r="GS107" s="92"/>
      <c r="GT107" s="92"/>
      <c r="GU107" s="92"/>
      <c r="GV107" s="92"/>
      <c r="GW107" s="92"/>
      <c r="GX107" s="92"/>
      <c r="GY107" s="92"/>
      <c r="GZ107" s="92"/>
      <c r="HA107" s="92"/>
      <c r="HB107" s="92"/>
      <c r="HC107" s="92"/>
      <c r="HD107" s="92"/>
      <c r="HE107" s="92"/>
      <c r="HF107" s="92"/>
      <c r="HG107" s="92"/>
      <c r="HH107" s="92"/>
      <c r="HI107" s="92"/>
      <c r="HJ107" s="92"/>
      <c r="HK107" s="92"/>
      <c r="HL107" s="92"/>
      <c r="HM107" s="92"/>
      <c r="HN107" s="92"/>
      <c r="HO107" s="92"/>
      <c r="HP107" s="92"/>
      <c r="HQ107" s="92"/>
      <c r="HR107" s="92"/>
      <c r="HS107" s="92"/>
      <c r="HT107" s="92"/>
      <c r="HU107" s="92"/>
      <c r="HV107" s="92"/>
      <c r="HW107" s="92"/>
      <c r="HX107" s="92"/>
      <c r="HY107" s="92"/>
      <c r="HZ107" s="92"/>
      <c r="IA107" s="92"/>
      <c r="IB107" s="92"/>
      <c r="IC107" s="92"/>
      <c r="ID107" s="92"/>
      <c r="IE107" s="92"/>
      <c r="IF107" s="92"/>
      <c r="IG107" s="92"/>
      <c r="IH107" s="92"/>
      <c r="II107" s="92"/>
      <c r="IJ107" s="92"/>
      <c r="IK107" s="92"/>
      <c r="IL107" s="92"/>
      <c r="IM107" s="92"/>
      <c r="IN107" s="92"/>
      <c r="IO107" s="92"/>
      <c r="IP107" s="92"/>
      <c r="IQ107" s="92"/>
      <c r="IR107" s="92"/>
      <c r="IS107" s="92"/>
      <c r="IT107" s="92"/>
      <c r="IU107" s="92"/>
      <c r="IV107" s="92"/>
      <c r="IW107" s="92"/>
      <c r="IX107" s="92"/>
      <c r="IY107" s="92"/>
    </row>
    <row r="108" spans="1:259" x14ac:dyDescent="0.3">
      <c r="A108" s="2" t="s">
        <v>413</v>
      </c>
      <c r="B108" s="7"/>
      <c r="C108" s="2"/>
      <c r="D108" s="2"/>
      <c r="E108" s="2" t="s">
        <v>299</v>
      </c>
      <c r="F108" s="2" t="s">
        <v>60</v>
      </c>
      <c r="G108" s="2" t="s">
        <v>419</v>
      </c>
      <c r="H108" s="2" t="s">
        <v>431</v>
      </c>
      <c r="I108" s="2" t="s">
        <v>447</v>
      </c>
      <c r="J108" s="87"/>
      <c r="K108" s="88">
        <f t="shared" si="47"/>
        <v>0</v>
      </c>
      <c r="L108" s="89">
        <v>0</v>
      </c>
      <c r="M108" s="88">
        <f t="shared" si="28"/>
        <v>0</v>
      </c>
      <c r="N108" s="88">
        <f t="shared" si="48"/>
        <v>0</v>
      </c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1"/>
      <c r="AU108" s="30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2"/>
      <c r="BY108" s="92"/>
      <c r="BZ108" s="92"/>
      <c r="CA108" s="92"/>
      <c r="CB108" s="92"/>
      <c r="CC108" s="92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  <c r="CT108" s="92"/>
      <c r="CU108" s="92"/>
      <c r="CV108" s="92"/>
      <c r="CW108" s="92"/>
      <c r="CX108" s="92"/>
      <c r="CY108" s="92"/>
      <c r="CZ108" s="92"/>
      <c r="DA108" s="92"/>
      <c r="DB108" s="92"/>
      <c r="DC108" s="92"/>
      <c r="DD108" s="92"/>
      <c r="DE108" s="92"/>
      <c r="DF108" s="92"/>
      <c r="DG108" s="92"/>
      <c r="DH108" s="92"/>
      <c r="DI108" s="92"/>
      <c r="DJ108" s="92"/>
      <c r="DK108" s="92"/>
      <c r="DL108" s="92"/>
      <c r="DM108" s="92"/>
      <c r="DN108" s="92"/>
      <c r="DO108" s="92"/>
      <c r="DP108" s="92"/>
      <c r="DQ108" s="92"/>
      <c r="DR108" s="92"/>
      <c r="DS108" s="92"/>
      <c r="DT108" s="92"/>
      <c r="DU108" s="92"/>
      <c r="DV108" s="92"/>
      <c r="DW108" s="92"/>
      <c r="DX108" s="92"/>
      <c r="DY108" s="92"/>
      <c r="DZ108" s="92"/>
      <c r="EA108" s="92"/>
      <c r="EB108" s="92"/>
      <c r="EC108" s="92"/>
      <c r="ED108" s="92"/>
      <c r="EE108" s="92"/>
      <c r="EF108" s="92"/>
      <c r="EG108" s="92"/>
      <c r="EH108" s="92"/>
      <c r="EI108" s="92"/>
      <c r="EJ108" s="92"/>
      <c r="EK108" s="92"/>
      <c r="EL108" s="92"/>
      <c r="EM108" s="92"/>
      <c r="EN108" s="92"/>
      <c r="EO108" s="92"/>
      <c r="EP108" s="92"/>
      <c r="EQ108" s="92"/>
      <c r="ER108" s="92"/>
      <c r="ES108" s="92"/>
      <c r="ET108" s="92"/>
      <c r="EU108" s="92"/>
      <c r="EV108" s="92"/>
      <c r="EW108" s="92"/>
      <c r="EX108" s="92"/>
      <c r="EY108" s="92"/>
      <c r="EZ108" s="92"/>
      <c r="FA108" s="92"/>
      <c r="FB108" s="92"/>
      <c r="FC108" s="92"/>
      <c r="FD108" s="92"/>
      <c r="FE108" s="92"/>
      <c r="FF108" s="92"/>
      <c r="FG108" s="92"/>
      <c r="FH108" s="92"/>
      <c r="FI108" s="92"/>
      <c r="FJ108" s="92"/>
      <c r="FK108" s="92"/>
      <c r="FL108" s="92"/>
      <c r="FM108" s="92"/>
      <c r="FN108" s="92"/>
      <c r="FO108" s="92"/>
      <c r="FP108" s="92"/>
      <c r="FQ108" s="92"/>
      <c r="FR108" s="92"/>
      <c r="FS108" s="92"/>
      <c r="FT108" s="92"/>
      <c r="FU108" s="92"/>
      <c r="FV108" s="92"/>
      <c r="FW108" s="92"/>
      <c r="FX108" s="92"/>
      <c r="FY108" s="92"/>
      <c r="FZ108" s="92"/>
      <c r="GA108" s="92"/>
      <c r="GB108" s="92"/>
      <c r="GC108" s="92"/>
      <c r="GD108" s="92"/>
      <c r="GE108" s="92"/>
      <c r="GF108" s="92"/>
      <c r="GG108" s="92"/>
      <c r="GH108" s="92"/>
      <c r="GI108" s="92"/>
      <c r="GJ108" s="92"/>
      <c r="GK108" s="92"/>
      <c r="GL108" s="92"/>
      <c r="GM108" s="92"/>
      <c r="GN108" s="92"/>
      <c r="GO108" s="92"/>
      <c r="GP108" s="92"/>
      <c r="GQ108" s="92"/>
      <c r="GR108" s="92"/>
      <c r="GS108" s="92"/>
      <c r="GT108" s="92"/>
      <c r="GU108" s="92"/>
      <c r="GV108" s="92"/>
      <c r="GW108" s="92"/>
      <c r="GX108" s="92"/>
      <c r="GY108" s="92"/>
      <c r="GZ108" s="92"/>
      <c r="HA108" s="92"/>
      <c r="HB108" s="92"/>
      <c r="HC108" s="92"/>
      <c r="HD108" s="92"/>
      <c r="HE108" s="92"/>
      <c r="HF108" s="92"/>
      <c r="HG108" s="92"/>
      <c r="HH108" s="92"/>
      <c r="HI108" s="92"/>
      <c r="HJ108" s="92"/>
      <c r="HK108" s="92"/>
      <c r="HL108" s="92"/>
      <c r="HM108" s="92"/>
      <c r="HN108" s="92"/>
      <c r="HO108" s="92"/>
      <c r="HP108" s="92"/>
      <c r="HQ108" s="92"/>
      <c r="HR108" s="92"/>
      <c r="HS108" s="92"/>
      <c r="HT108" s="92"/>
      <c r="HU108" s="92"/>
      <c r="HV108" s="92"/>
      <c r="HW108" s="92"/>
      <c r="HX108" s="92"/>
      <c r="HY108" s="92"/>
      <c r="HZ108" s="92"/>
      <c r="IA108" s="92"/>
      <c r="IB108" s="92"/>
      <c r="IC108" s="92"/>
      <c r="ID108" s="92"/>
      <c r="IE108" s="92"/>
      <c r="IF108" s="92"/>
      <c r="IG108" s="92"/>
      <c r="IH108" s="92"/>
      <c r="II108" s="92"/>
      <c r="IJ108" s="92"/>
      <c r="IK108" s="92"/>
      <c r="IL108" s="92"/>
      <c r="IM108" s="92"/>
      <c r="IN108" s="92"/>
      <c r="IO108" s="92"/>
      <c r="IP108" s="92"/>
      <c r="IQ108" s="92"/>
      <c r="IR108" s="92"/>
      <c r="IS108" s="92"/>
      <c r="IT108" s="92"/>
      <c r="IU108" s="92"/>
      <c r="IV108" s="92"/>
      <c r="IW108" s="92"/>
      <c r="IX108" s="92"/>
      <c r="IY108" s="92"/>
    </row>
    <row r="109" spans="1:259" x14ac:dyDescent="0.3">
      <c r="A109" s="2" t="s">
        <v>413</v>
      </c>
      <c r="B109" s="7"/>
      <c r="C109" s="2"/>
      <c r="D109" s="2"/>
      <c r="E109" s="2" t="s">
        <v>299</v>
      </c>
      <c r="F109" s="2" t="s">
        <v>60</v>
      </c>
      <c r="G109" s="2" t="s">
        <v>419</v>
      </c>
      <c r="H109" s="2" t="s">
        <v>432</v>
      </c>
      <c r="I109" s="2" t="s">
        <v>472</v>
      </c>
      <c r="J109" s="87"/>
      <c r="K109" s="88">
        <f t="shared" si="47"/>
        <v>0</v>
      </c>
      <c r="L109" s="89">
        <v>0</v>
      </c>
      <c r="M109" s="88">
        <f t="shared" si="28"/>
        <v>0</v>
      </c>
      <c r="N109" s="88">
        <f t="shared" si="48"/>
        <v>0</v>
      </c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1"/>
      <c r="AU109" s="30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2"/>
      <c r="BY109" s="92"/>
      <c r="BZ109" s="92"/>
      <c r="CA109" s="92"/>
      <c r="CB109" s="92"/>
      <c r="CC109" s="92"/>
      <c r="CD109" s="92"/>
      <c r="CE109" s="92"/>
      <c r="CF109" s="92"/>
      <c r="CG109" s="92"/>
      <c r="CH109" s="92"/>
      <c r="CI109" s="92"/>
      <c r="CJ109" s="92"/>
      <c r="CK109" s="92"/>
      <c r="CL109" s="92"/>
      <c r="CM109" s="92"/>
      <c r="CN109" s="92"/>
      <c r="CO109" s="92"/>
      <c r="CP109" s="92"/>
      <c r="CQ109" s="92"/>
      <c r="CR109" s="92"/>
      <c r="CS109" s="92"/>
      <c r="CT109" s="92"/>
      <c r="CU109" s="92"/>
      <c r="CV109" s="92"/>
      <c r="CW109" s="92"/>
      <c r="CX109" s="92"/>
      <c r="CY109" s="92"/>
      <c r="CZ109" s="92"/>
      <c r="DA109" s="92"/>
      <c r="DB109" s="92"/>
      <c r="DC109" s="92"/>
      <c r="DD109" s="92"/>
      <c r="DE109" s="92"/>
      <c r="DF109" s="92"/>
      <c r="DG109" s="92"/>
      <c r="DH109" s="92"/>
      <c r="DI109" s="92"/>
      <c r="DJ109" s="92"/>
      <c r="DK109" s="92"/>
      <c r="DL109" s="92"/>
      <c r="DM109" s="92"/>
      <c r="DN109" s="92"/>
      <c r="DO109" s="92"/>
      <c r="DP109" s="92"/>
      <c r="DQ109" s="92"/>
      <c r="DR109" s="92"/>
      <c r="DS109" s="92"/>
      <c r="DT109" s="92"/>
      <c r="DU109" s="92"/>
      <c r="DV109" s="92"/>
      <c r="DW109" s="92"/>
      <c r="DX109" s="92"/>
      <c r="DY109" s="92"/>
      <c r="DZ109" s="92"/>
      <c r="EA109" s="92"/>
      <c r="EB109" s="92"/>
      <c r="EC109" s="92"/>
      <c r="ED109" s="92"/>
      <c r="EE109" s="92"/>
      <c r="EF109" s="92"/>
      <c r="EG109" s="92"/>
      <c r="EH109" s="92"/>
      <c r="EI109" s="92"/>
      <c r="EJ109" s="92"/>
      <c r="EK109" s="92"/>
      <c r="EL109" s="92"/>
      <c r="EM109" s="92"/>
      <c r="EN109" s="92"/>
      <c r="EO109" s="92"/>
      <c r="EP109" s="92"/>
      <c r="EQ109" s="92"/>
      <c r="ER109" s="92"/>
      <c r="ES109" s="92"/>
      <c r="ET109" s="92"/>
      <c r="EU109" s="92"/>
      <c r="EV109" s="92"/>
      <c r="EW109" s="92"/>
      <c r="EX109" s="92"/>
      <c r="EY109" s="92"/>
      <c r="EZ109" s="92"/>
      <c r="FA109" s="92"/>
      <c r="FB109" s="92"/>
      <c r="FC109" s="92"/>
      <c r="FD109" s="92"/>
      <c r="FE109" s="92"/>
      <c r="FF109" s="92"/>
      <c r="FG109" s="92"/>
      <c r="FH109" s="92"/>
      <c r="FI109" s="92"/>
      <c r="FJ109" s="92"/>
      <c r="FK109" s="92"/>
      <c r="FL109" s="92"/>
      <c r="FM109" s="92"/>
      <c r="FN109" s="92"/>
      <c r="FO109" s="92"/>
      <c r="FP109" s="92"/>
      <c r="FQ109" s="92"/>
      <c r="FR109" s="92"/>
      <c r="FS109" s="92"/>
      <c r="FT109" s="92"/>
      <c r="FU109" s="92"/>
      <c r="FV109" s="92"/>
      <c r="FW109" s="92"/>
      <c r="FX109" s="92"/>
      <c r="FY109" s="92"/>
      <c r="FZ109" s="92"/>
      <c r="GA109" s="92"/>
      <c r="GB109" s="92"/>
      <c r="GC109" s="92"/>
      <c r="GD109" s="92"/>
      <c r="GE109" s="92"/>
      <c r="GF109" s="92"/>
      <c r="GG109" s="92"/>
      <c r="GH109" s="92"/>
      <c r="GI109" s="92"/>
      <c r="GJ109" s="92"/>
      <c r="GK109" s="92"/>
      <c r="GL109" s="92"/>
      <c r="GM109" s="92"/>
      <c r="GN109" s="92"/>
      <c r="GO109" s="92"/>
      <c r="GP109" s="92"/>
      <c r="GQ109" s="92"/>
      <c r="GR109" s="92"/>
      <c r="GS109" s="92"/>
      <c r="GT109" s="92"/>
      <c r="GU109" s="92"/>
      <c r="GV109" s="92"/>
      <c r="GW109" s="92"/>
      <c r="GX109" s="92"/>
      <c r="GY109" s="92"/>
      <c r="GZ109" s="92"/>
      <c r="HA109" s="92"/>
      <c r="HB109" s="92"/>
      <c r="HC109" s="92"/>
      <c r="HD109" s="92"/>
      <c r="HE109" s="92"/>
      <c r="HF109" s="92"/>
      <c r="HG109" s="92"/>
      <c r="HH109" s="92"/>
      <c r="HI109" s="92"/>
      <c r="HJ109" s="92"/>
      <c r="HK109" s="92"/>
      <c r="HL109" s="92"/>
      <c r="HM109" s="92"/>
      <c r="HN109" s="92"/>
      <c r="HO109" s="92"/>
      <c r="HP109" s="92"/>
      <c r="HQ109" s="92"/>
      <c r="HR109" s="92"/>
      <c r="HS109" s="92"/>
      <c r="HT109" s="92"/>
      <c r="HU109" s="92"/>
      <c r="HV109" s="92"/>
      <c r="HW109" s="92"/>
      <c r="HX109" s="92"/>
      <c r="HY109" s="92"/>
      <c r="HZ109" s="92"/>
      <c r="IA109" s="92"/>
      <c r="IB109" s="92"/>
      <c r="IC109" s="92"/>
      <c r="ID109" s="92"/>
      <c r="IE109" s="92"/>
      <c r="IF109" s="92"/>
      <c r="IG109" s="92"/>
      <c r="IH109" s="92"/>
      <c r="II109" s="92"/>
      <c r="IJ109" s="92"/>
      <c r="IK109" s="92"/>
      <c r="IL109" s="92"/>
      <c r="IM109" s="92"/>
      <c r="IN109" s="92"/>
      <c r="IO109" s="92"/>
      <c r="IP109" s="92"/>
      <c r="IQ109" s="92"/>
      <c r="IR109" s="92"/>
      <c r="IS109" s="92"/>
      <c r="IT109" s="92"/>
      <c r="IU109" s="92"/>
      <c r="IV109" s="92"/>
      <c r="IW109" s="92"/>
      <c r="IX109" s="92"/>
      <c r="IY109" s="92"/>
    </row>
    <row r="110" spans="1:259" x14ac:dyDescent="0.3">
      <c r="A110" s="2" t="s">
        <v>413</v>
      </c>
      <c r="B110" s="7"/>
      <c r="C110" s="2"/>
      <c r="D110" s="2"/>
      <c r="E110" s="2" t="s">
        <v>299</v>
      </c>
      <c r="F110" s="2" t="s">
        <v>60</v>
      </c>
      <c r="G110" s="2" t="s">
        <v>419</v>
      </c>
      <c r="H110" s="2" t="s">
        <v>433</v>
      </c>
      <c r="I110" s="2" t="s">
        <v>463</v>
      </c>
      <c r="J110" s="87"/>
      <c r="K110" s="88">
        <f t="shared" si="47"/>
        <v>0</v>
      </c>
      <c r="L110" s="89">
        <v>0</v>
      </c>
      <c r="M110" s="88">
        <f t="shared" si="28"/>
        <v>0</v>
      </c>
      <c r="N110" s="88">
        <f t="shared" si="48"/>
        <v>0</v>
      </c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1"/>
      <c r="AU110" s="30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92"/>
      <c r="CW110" s="92"/>
      <c r="CX110" s="92"/>
      <c r="CY110" s="92"/>
      <c r="CZ110" s="92"/>
      <c r="DA110" s="92"/>
      <c r="DB110" s="92"/>
      <c r="DC110" s="92"/>
      <c r="DD110" s="92"/>
      <c r="DE110" s="92"/>
      <c r="DF110" s="92"/>
      <c r="DG110" s="92"/>
      <c r="DH110" s="92"/>
      <c r="DI110" s="92"/>
      <c r="DJ110" s="92"/>
      <c r="DK110" s="92"/>
      <c r="DL110" s="92"/>
      <c r="DM110" s="92"/>
      <c r="DN110" s="92"/>
      <c r="DO110" s="92"/>
      <c r="DP110" s="92"/>
      <c r="DQ110" s="92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92"/>
      <c r="EE110" s="92"/>
      <c r="EF110" s="92"/>
      <c r="EG110" s="92"/>
      <c r="EH110" s="92"/>
      <c r="EI110" s="92"/>
      <c r="EJ110" s="92"/>
      <c r="EK110" s="92"/>
      <c r="EL110" s="92"/>
      <c r="EM110" s="92"/>
      <c r="EN110" s="92"/>
      <c r="EO110" s="92"/>
      <c r="EP110" s="92"/>
      <c r="EQ110" s="92"/>
      <c r="ER110" s="92"/>
      <c r="ES110" s="92"/>
      <c r="ET110" s="92"/>
      <c r="EU110" s="92"/>
      <c r="EV110" s="92"/>
      <c r="EW110" s="92"/>
      <c r="EX110" s="92"/>
      <c r="EY110" s="92"/>
      <c r="EZ110" s="92"/>
      <c r="FA110" s="92"/>
      <c r="FB110" s="92"/>
      <c r="FC110" s="92"/>
      <c r="FD110" s="92"/>
      <c r="FE110" s="92"/>
      <c r="FF110" s="92"/>
      <c r="FG110" s="92"/>
      <c r="FH110" s="92"/>
      <c r="FI110" s="92"/>
      <c r="FJ110" s="92"/>
      <c r="FK110" s="92"/>
      <c r="FL110" s="92"/>
      <c r="FM110" s="92"/>
      <c r="FN110" s="92"/>
      <c r="FO110" s="92"/>
      <c r="FP110" s="92"/>
      <c r="FQ110" s="92"/>
      <c r="FR110" s="92"/>
      <c r="FS110" s="92"/>
      <c r="FT110" s="92"/>
      <c r="FU110" s="92"/>
      <c r="FV110" s="92"/>
      <c r="FW110" s="92"/>
      <c r="FX110" s="92"/>
      <c r="FY110" s="92"/>
      <c r="FZ110" s="92"/>
      <c r="GA110" s="92"/>
      <c r="GB110" s="92"/>
      <c r="GC110" s="92"/>
      <c r="GD110" s="92"/>
      <c r="GE110" s="92"/>
      <c r="GF110" s="92"/>
      <c r="GG110" s="92"/>
      <c r="GH110" s="92"/>
      <c r="GI110" s="92"/>
      <c r="GJ110" s="92"/>
      <c r="GK110" s="92"/>
      <c r="GL110" s="92"/>
      <c r="GM110" s="92"/>
      <c r="GN110" s="92"/>
      <c r="GO110" s="92"/>
      <c r="GP110" s="92"/>
      <c r="GQ110" s="92"/>
      <c r="GR110" s="92"/>
      <c r="GS110" s="92"/>
      <c r="GT110" s="92"/>
      <c r="GU110" s="92"/>
      <c r="GV110" s="92"/>
      <c r="GW110" s="92"/>
      <c r="GX110" s="92"/>
      <c r="GY110" s="92"/>
      <c r="GZ110" s="92"/>
      <c r="HA110" s="92"/>
      <c r="HB110" s="92"/>
      <c r="HC110" s="92"/>
      <c r="HD110" s="92"/>
      <c r="HE110" s="92"/>
      <c r="HF110" s="92"/>
      <c r="HG110" s="92"/>
      <c r="HH110" s="92"/>
      <c r="HI110" s="92"/>
      <c r="HJ110" s="92"/>
      <c r="HK110" s="92"/>
      <c r="HL110" s="92"/>
      <c r="HM110" s="92"/>
      <c r="HN110" s="92"/>
      <c r="HO110" s="92"/>
      <c r="HP110" s="92"/>
      <c r="HQ110" s="92"/>
      <c r="HR110" s="92"/>
      <c r="HS110" s="92"/>
      <c r="HT110" s="92"/>
      <c r="HU110" s="92"/>
      <c r="HV110" s="92"/>
      <c r="HW110" s="92"/>
      <c r="HX110" s="92"/>
      <c r="HY110" s="92"/>
      <c r="HZ110" s="92"/>
      <c r="IA110" s="92"/>
      <c r="IB110" s="92"/>
      <c r="IC110" s="92"/>
      <c r="ID110" s="92"/>
      <c r="IE110" s="92"/>
      <c r="IF110" s="92"/>
      <c r="IG110" s="92"/>
      <c r="IH110" s="92"/>
      <c r="II110" s="92"/>
      <c r="IJ110" s="92"/>
      <c r="IK110" s="92"/>
      <c r="IL110" s="92"/>
      <c r="IM110" s="92"/>
      <c r="IN110" s="92"/>
      <c r="IO110" s="92"/>
      <c r="IP110" s="92"/>
      <c r="IQ110" s="92"/>
      <c r="IR110" s="92"/>
      <c r="IS110" s="92"/>
      <c r="IT110" s="92"/>
      <c r="IU110" s="92"/>
      <c r="IV110" s="92"/>
      <c r="IW110" s="92"/>
      <c r="IX110" s="92"/>
      <c r="IY110" s="92"/>
    </row>
    <row r="111" spans="1:259" x14ac:dyDescent="0.3">
      <c r="A111" s="2" t="s">
        <v>413</v>
      </c>
      <c r="B111" s="7"/>
      <c r="C111" s="2"/>
      <c r="D111" s="2"/>
      <c r="E111" s="2" t="s">
        <v>299</v>
      </c>
      <c r="F111" s="2" t="s">
        <v>60</v>
      </c>
      <c r="G111" s="2" t="s">
        <v>419</v>
      </c>
      <c r="H111" s="2" t="s">
        <v>434</v>
      </c>
      <c r="I111" s="2" t="s">
        <v>472</v>
      </c>
      <c r="J111" s="87"/>
      <c r="K111" s="88">
        <f t="shared" si="47"/>
        <v>0</v>
      </c>
      <c r="L111" s="89">
        <v>0</v>
      </c>
      <c r="M111" s="88">
        <f t="shared" si="28"/>
        <v>0</v>
      </c>
      <c r="N111" s="88">
        <f t="shared" si="48"/>
        <v>0</v>
      </c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1"/>
      <c r="AU111" s="30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2"/>
      <c r="BY111" s="92"/>
      <c r="BZ111" s="92"/>
      <c r="CA111" s="92"/>
      <c r="CB111" s="92"/>
      <c r="CC111" s="92"/>
      <c r="CD111" s="92"/>
      <c r="CE111" s="92"/>
      <c r="CF111" s="92"/>
      <c r="CG111" s="92"/>
      <c r="CH111" s="92"/>
      <c r="CI111" s="92"/>
      <c r="CJ111" s="92"/>
      <c r="CK111" s="92"/>
      <c r="CL111" s="92"/>
      <c r="CM111" s="92"/>
      <c r="CN111" s="92"/>
      <c r="CO111" s="92"/>
      <c r="CP111" s="92"/>
      <c r="CQ111" s="92"/>
      <c r="CR111" s="92"/>
      <c r="CS111" s="92"/>
      <c r="CT111" s="92"/>
      <c r="CU111" s="92"/>
      <c r="CV111" s="92"/>
      <c r="CW111" s="92"/>
      <c r="CX111" s="92"/>
      <c r="CY111" s="92"/>
      <c r="CZ111" s="92"/>
      <c r="DA111" s="92"/>
      <c r="DB111" s="92"/>
      <c r="DC111" s="92"/>
      <c r="DD111" s="92"/>
      <c r="DE111" s="92"/>
      <c r="DF111" s="92"/>
      <c r="DG111" s="92"/>
      <c r="DH111" s="92"/>
      <c r="DI111" s="92"/>
      <c r="DJ111" s="92"/>
      <c r="DK111" s="92"/>
      <c r="DL111" s="92"/>
      <c r="DM111" s="92"/>
      <c r="DN111" s="92"/>
      <c r="DO111" s="92"/>
      <c r="DP111" s="92"/>
      <c r="DQ111" s="92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92"/>
      <c r="EE111" s="92"/>
      <c r="EF111" s="92"/>
      <c r="EG111" s="92"/>
      <c r="EH111" s="92"/>
      <c r="EI111" s="92"/>
      <c r="EJ111" s="92"/>
      <c r="EK111" s="92"/>
      <c r="EL111" s="92"/>
      <c r="EM111" s="92"/>
      <c r="EN111" s="92"/>
      <c r="EO111" s="92"/>
      <c r="EP111" s="92"/>
      <c r="EQ111" s="92"/>
      <c r="ER111" s="92"/>
      <c r="ES111" s="92"/>
      <c r="ET111" s="92"/>
      <c r="EU111" s="92"/>
      <c r="EV111" s="92"/>
      <c r="EW111" s="92"/>
      <c r="EX111" s="92"/>
      <c r="EY111" s="92"/>
      <c r="EZ111" s="92"/>
      <c r="FA111" s="92"/>
      <c r="FB111" s="92"/>
      <c r="FC111" s="92"/>
      <c r="FD111" s="92"/>
      <c r="FE111" s="92"/>
      <c r="FF111" s="92"/>
      <c r="FG111" s="92"/>
      <c r="FH111" s="92"/>
      <c r="FI111" s="92"/>
      <c r="FJ111" s="92"/>
      <c r="FK111" s="92"/>
      <c r="FL111" s="92"/>
      <c r="FM111" s="92"/>
      <c r="FN111" s="92"/>
      <c r="FO111" s="92"/>
      <c r="FP111" s="92"/>
      <c r="FQ111" s="92"/>
      <c r="FR111" s="92"/>
      <c r="FS111" s="92"/>
      <c r="FT111" s="92"/>
      <c r="FU111" s="92"/>
      <c r="FV111" s="92"/>
      <c r="FW111" s="92"/>
      <c r="FX111" s="92"/>
      <c r="FY111" s="92"/>
      <c r="FZ111" s="92"/>
      <c r="GA111" s="92"/>
      <c r="GB111" s="92"/>
      <c r="GC111" s="92"/>
      <c r="GD111" s="92"/>
      <c r="GE111" s="92"/>
      <c r="GF111" s="92"/>
      <c r="GG111" s="92"/>
      <c r="GH111" s="92"/>
      <c r="GI111" s="92"/>
      <c r="GJ111" s="92"/>
      <c r="GK111" s="92"/>
      <c r="GL111" s="92"/>
      <c r="GM111" s="92"/>
      <c r="GN111" s="92"/>
      <c r="GO111" s="92"/>
      <c r="GP111" s="92"/>
      <c r="GQ111" s="92"/>
      <c r="GR111" s="92"/>
      <c r="GS111" s="92"/>
      <c r="GT111" s="92"/>
      <c r="GU111" s="92"/>
      <c r="GV111" s="92"/>
      <c r="GW111" s="92"/>
      <c r="GX111" s="92"/>
      <c r="GY111" s="92"/>
      <c r="GZ111" s="92"/>
      <c r="HA111" s="92"/>
      <c r="HB111" s="92"/>
      <c r="HC111" s="92"/>
      <c r="HD111" s="92"/>
      <c r="HE111" s="92"/>
      <c r="HF111" s="92"/>
      <c r="HG111" s="92"/>
      <c r="HH111" s="92"/>
      <c r="HI111" s="92"/>
      <c r="HJ111" s="92"/>
      <c r="HK111" s="92"/>
      <c r="HL111" s="92"/>
      <c r="HM111" s="92"/>
      <c r="HN111" s="92"/>
      <c r="HO111" s="92"/>
      <c r="HP111" s="92"/>
      <c r="HQ111" s="92"/>
      <c r="HR111" s="92"/>
      <c r="HS111" s="92"/>
      <c r="HT111" s="92"/>
      <c r="HU111" s="92"/>
      <c r="HV111" s="92"/>
      <c r="HW111" s="92"/>
      <c r="HX111" s="92"/>
      <c r="HY111" s="92"/>
      <c r="HZ111" s="92"/>
      <c r="IA111" s="92"/>
      <c r="IB111" s="92"/>
      <c r="IC111" s="92"/>
      <c r="ID111" s="92"/>
      <c r="IE111" s="92"/>
      <c r="IF111" s="92"/>
      <c r="IG111" s="92"/>
      <c r="IH111" s="92"/>
      <c r="II111" s="92"/>
      <c r="IJ111" s="92"/>
      <c r="IK111" s="92"/>
      <c r="IL111" s="92"/>
      <c r="IM111" s="92"/>
      <c r="IN111" s="92"/>
      <c r="IO111" s="92"/>
      <c r="IP111" s="92"/>
      <c r="IQ111" s="92"/>
      <c r="IR111" s="92"/>
      <c r="IS111" s="92"/>
      <c r="IT111" s="92"/>
      <c r="IU111" s="92"/>
      <c r="IV111" s="92"/>
      <c r="IW111" s="92"/>
      <c r="IX111" s="92"/>
      <c r="IY111" s="92"/>
    </row>
    <row r="112" spans="1:259" x14ac:dyDescent="0.3">
      <c r="A112" s="2" t="s">
        <v>413</v>
      </c>
      <c r="B112" s="7"/>
      <c r="C112" s="2"/>
      <c r="D112" s="2"/>
      <c r="E112" s="2" t="s">
        <v>299</v>
      </c>
      <c r="F112" s="2" t="s">
        <v>60</v>
      </c>
      <c r="G112" s="2" t="s">
        <v>419</v>
      </c>
      <c r="H112" s="2" t="s">
        <v>435</v>
      </c>
      <c r="I112" s="2" t="s">
        <v>474</v>
      </c>
      <c r="J112" s="87"/>
      <c r="K112" s="88">
        <f t="shared" si="47"/>
        <v>0</v>
      </c>
      <c r="L112" s="89">
        <v>0</v>
      </c>
      <c r="M112" s="88">
        <f t="shared" si="28"/>
        <v>0</v>
      </c>
      <c r="N112" s="88">
        <f t="shared" si="48"/>
        <v>0</v>
      </c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1"/>
      <c r="AU112" s="30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  <c r="CW112" s="92"/>
      <c r="CX112" s="92"/>
      <c r="CY112" s="92"/>
      <c r="CZ112" s="92"/>
      <c r="DA112" s="92"/>
      <c r="DB112" s="92"/>
      <c r="DC112" s="92"/>
      <c r="DD112" s="92"/>
      <c r="DE112" s="92"/>
      <c r="DF112" s="92"/>
      <c r="DG112" s="92"/>
      <c r="DH112" s="92"/>
      <c r="DI112" s="92"/>
      <c r="DJ112" s="92"/>
      <c r="DK112" s="92"/>
      <c r="DL112" s="92"/>
      <c r="DM112" s="92"/>
      <c r="DN112" s="92"/>
      <c r="DO112" s="92"/>
      <c r="DP112" s="92"/>
      <c r="DQ112" s="92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92"/>
      <c r="EE112" s="92"/>
      <c r="EF112" s="92"/>
      <c r="EG112" s="92"/>
      <c r="EH112" s="92"/>
      <c r="EI112" s="92"/>
      <c r="EJ112" s="92"/>
      <c r="EK112" s="92"/>
      <c r="EL112" s="92"/>
      <c r="EM112" s="92"/>
      <c r="EN112" s="92"/>
      <c r="EO112" s="92"/>
      <c r="EP112" s="92"/>
      <c r="EQ112" s="92"/>
      <c r="ER112" s="92"/>
      <c r="ES112" s="92"/>
      <c r="ET112" s="92"/>
      <c r="EU112" s="92"/>
      <c r="EV112" s="92"/>
      <c r="EW112" s="92"/>
      <c r="EX112" s="92"/>
      <c r="EY112" s="92"/>
      <c r="EZ112" s="92"/>
      <c r="FA112" s="92"/>
      <c r="FB112" s="92"/>
      <c r="FC112" s="92"/>
      <c r="FD112" s="92"/>
      <c r="FE112" s="92"/>
      <c r="FF112" s="92"/>
      <c r="FG112" s="92"/>
      <c r="FH112" s="92"/>
      <c r="FI112" s="92"/>
      <c r="FJ112" s="92"/>
      <c r="FK112" s="92"/>
      <c r="FL112" s="92"/>
      <c r="FM112" s="92"/>
      <c r="FN112" s="92"/>
      <c r="FO112" s="92"/>
      <c r="FP112" s="92"/>
      <c r="FQ112" s="92"/>
      <c r="FR112" s="92"/>
      <c r="FS112" s="92"/>
      <c r="FT112" s="92"/>
      <c r="FU112" s="92"/>
      <c r="FV112" s="92"/>
      <c r="FW112" s="92"/>
      <c r="FX112" s="92"/>
      <c r="FY112" s="92"/>
      <c r="FZ112" s="92"/>
      <c r="GA112" s="92"/>
      <c r="GB112" s="92"/>
      <c r="GC112" s="92"/>
      <c r="GD112" s="92"/>
      <c r="GE112" s="92"/>
      <c r="GF112" s="92"/>
      <c r="GG112" s="92"/>
      <c r="GH112" s="92"/>
      <c r="GI112" s="92"/>
      <c r="GJ112" s="92"/>
      <c r="GK112" s="92"/>
      <c r="GL112" s="92"/>
      <c r="GM112" s="92"/>
      <c r="GN112" s="92"/>
      <c r="GO112" s="92"/>
      <c r="GP112" s="92"/>
      <c r="GQ112" s="92"/>
      <c r="GR112" s="92"/>
      <c r="GS112" s="92"/>
      <c r="GT112" s="92"/>
      <c r="GU112" s="92"/>
      <c r="GV112" s="92"/>
      <c r="GW112" s="92"/>
      <c r="GX112" s="92"/>
      <c r="GY112" s="92"/>
      <c r="GZ112" s="92"/>
      <c r="HA112" s="92"/>
      <c r="HB112" s="92"/>
      <c r="HC112" s="92"/>
      <c r="HD112" s="92"/>
      <c r="HE112" s="92"/>
      <c r="HF112" s="92"/>
      <c r="HG112" s="92"/>
      <c r="HH112" s="92"/>
      <c r="HI112" s="92"/>
      <c r="HJ112" s="92"/>
      <c r="HK112" s="92"/>
      <c r="HL112" s="92"/>
      <c r="HM112" s="92"/>
      <c r="HN112" s="92"/>
      <c r="HO112" s="92"/>
      <c r="HP112" s="92"/>
      <c r="HQ112" s="92"/>
      <c r="HR112" s="92"/>
      <c r="HS112" s="92"/>
      <c r="HT112" s="92"/>
      <c r="HU112" s="92"/>
      <c r="HV112" s="92"/>
      <c r="HW112" s="92"/>
      <c r="HX112" s="92"/>
      <c r="HY112" s="92"/>
      <c r="HZ112" s="92"/>
      <c r="IA112" s="92"/>
      <c r="IB112" s="92"/>
      <c r="IC112" s="92"/>
      <c r="ID112" s="92"/>
      <c r="IE112" s="92"/>
      <c r="IF112" s="92"/>
      <c r="IG112" s="92"/>
      <c r="IH112" s="92"/>
      <c r="II112" s="92"/>
      <c r="IJ112" s="92"/>
      <c r="IK112" s="92"/>
      <c r="IL112" s="92"/>
      <c r="IM112" s="92"/>
      <c r="IN112" s="92"/>
      <c r="IO112" s="92"/>
      <c r="IP112" s="92"/>
      <c r="IQ112" s="92"/>
      <c r="IR112" s="92"/>
      <c r="IS112" s="92"/>
      <c r="IT112" s="92"/>
      <c r="IU112" s="92"/>
      <c r="IV112" s="92"/>
      <c r="IW112" s="92"/>
      <c r="IX112" s="92"/>
      <c r="IY112" s="92"/>
    </row>
    <row r="113" spans="1:259" x14ac:dyDescent="0.3">
      <c r="A113" s="2" t="s">
        <v>413</v>
      </c>
      <c r="B113" s="7"/>
      <c r="C113" s="2"/>
      <c r="D113" s="2"/>
      <c r="E113" s="2" t="s">
        <v>299</v>
      </c>
      <c r="F113" s="2" t="s">
        <v>60</v>
      </c>
      <c r="G113" s="2" t="s">
        <v>336</v>
      </c>
      <c r="H113" s="2" t="s">
        <v>475</v>
      </c>
      <c r="I113" s="2" t="s">
        <v>474</v>
      </c>
      <c r="J113" s="87"/>
      <c r="K113" s="88">
        <f t="shared" ref="K113" si="49">L113-M113</f>
        <v>0</v>
      </c>
      <c r="L113" s="89">
        <v>0</v>
      </c>
      <c r="M113" s="88">
        <f t="shared" si="28"/>
        <v>0</v>
      </c>
      <c r="N113" s="88">
        <f t="shared" ref="N113" si="50">K113</f>
        <v>0</v>
      </c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1"/>
      <c r="AU113" s="30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2"/>
      <c r="BY113" s="92"/>
      <c r="BZ113" s="92"/>
      <c r="CA113" s="92"/>
      <c r="CB113" s="92"/>
      <c r="CC113" s="92"/>
      <c r="CD113" s="92"/>
      <c r="CE113" s="92"/>
      <c r="CF113" s="92"/>
      <c r="CG113" s="92"/>
      <c r="CH113" s="92"/>
      <c r="CI113" s="92"/>
      <c r="CJ113" s="92"/>
      <c r="CK113" s="92"/>
      <c r="CL113" s="92"/>
      <c r="CM113" s="92"/>
      <c r="CN113" s="92"/>
      <c r="CO113" s="92"/>
      <c r="CP113" s="92"/>
      <c r="CQ113" s="92"/>
      <c r="CR113" s="92"/>
      <c r="CS113" s="92"/>
      <c r="CT113" s="92"/>
      <c r="CU113" s="92"/>
      <c r="CV113" s="92"/>
      <c r="CW113" s="92"/>
      <c r="CX113" s="92"/>
      <c r="CY113" s="92"/>
      <c r="CZ113" s="92"/>
      <c r="DA113" s="92"/>
      <c r="DB113" s="92"/>
      <c r="DC113" s="92"/>
      <c r="DD113" s="92"/>
      <c r="DE113" s="92"/>
      <c r="DF113" s="92"/>
      <c r="DG113" s="92"/>
      <c r="DH113" s="92"/>
      <c r="DI113" s="92"/>
      <c r="DJ113" s="92"/>
      <c r="DK113" s="92"/>
      <c r="DL113" s="92"/>
      <c r="DM113" s="92"/>
      <c r="DN113" s="92"/>
      <c r="DO113" s="92"/>
      <c r="DP113" s="92"/>
      <c r="DQ113" s="92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92"/>
      <c r="EE113" s="92"/>
      <c r="EF113" s="92"/>
      <c r="EG113" s="92"/>
      <c r="EH113" s="92"/>
      <c r="EI113" s="92"/>
      <c r="EJ113" s="92"/>
      <c r="EK113" s="92"/>
      <c r="EL113" s="92"/>
      <c r="EM113" s="92"/>
      <c r="EN113" s="92"/>
      <c r="EO113" s="92"/>
      <c r="EP113" s="92"/>
      <c r="EQ113" s="92"/>
      <c r="ER113" s="92"/>
      <c r="ES113" s="92"/>
      <c r="ET113" s="92"/>
      <c r="EU113" s="92"/>
      <c r="EV113" s="92"/>
      <c r="EW113" s="92"/>
      <c r="EX113" s="92"/>
      <c r="EY113" s="92"/>
      <c r="EZ113" s="92"/>
      <c r="FA113" s="92"/>
      <c r="FB113" s="92"/>
      <c r="FC113" s="92"/>
      <c r="FD113" s="92"/>
      <c r="FE113" s="92"/>
      <c r="FF113" s="92"/>
      <c r="FG113" s="92"/>
      <c r="FH113" s="92"/>
      <c r="FI113" s="92"/>
      <c r="FJ113" s="92"/>
      <c r="FK113" s="92"/>
      <c r="FL113" s="92"/>
      <c r="FM113" s="92"/>
      <c r="FN113" s="92"/>
      <c r="FO113" s="92"/>
      <c r="FP113" s="92"/>
      <c r="FQ113" s="92"/>
      <c r="FR113" s="92"/>
      <c r="FS113" s="92"/>
      <c r="FT113" s="92"/>
      <c r="FU113" s="92"/>
      <c r="FV113" s="92"/>
      <c r="FW113" s="92"/>
      <c r="FX113" s="92"/>
      <c r="FY113" s="92"/>
      <c r="FZ113" s="92"/>
      <c r="GA113" s="92"/>
      <c r="GB113" s="92"/>
      <c r="GC113" s="92"/>
      <c r="GD113" s="92"/>
      <c r="GE113" s="92"/>
      <c r="GF113" s="92"/>
      <c r="GG113" s="92"/>
      <c r="GH113" s="92"/>
      <c r="GI113" s="92"/>
      <c r="GJ113" s="92"/>
      <c r="GK113" s="92"/>
      <c r="GL113" s="92"/>
      <c r="GM113" s="92"/>
      <c r="GN113" s="92"/>
      <c r="GO113" s="92"/>
      <c r="GP113" s="92"/>
      <c r="GQ113" s="92"/>
      <c r="GR113" s="92"/>
      <c r="GS113" s="92"/>
      <c r="GT113" s="92"/>
      <c r="GU113" s="92"/>
      <c r="GV113" s="92"/>
      <c r="GW113" s="92"/>
      <c r="GX113" s="92"/>
      <c r="GY113" s="92"/>
      <c r="GZ113" s="92"/>
      <c r="HA113" s="92"/>
      <c r="HB113" s="92"/>
      <c r="HC113" s="92"/>
      <c r="HD113" s="92"/>
      <c r="HE113" s="92"/>
      <c r="HF113" s="92"/>
      <c r="HG113" s="92"/>
      <c r="HH113" s="92"/>
      <c r="HI113" s="92"/>
      <c r="HJ113" s="92"/>
      <c r="HK113" s="92"/>
      <c r="HL113" s="92"/>
      <c r="HM113" s="92"/>
      <c r="HN113" s="92"/>
      <c r="HO113" s="92"/>
      <c r="HP113" s="92"/>
      <c r="HQ113" s="92"/>
      <c r="HR113" s="92"/>
      <c r="HS113" s="92"/>
      <c r="HT113" s="92"/>
      <c r="HU113" s="92"/>
      <c r="HV113" s="92"/>
      <c r="HW113" s="92"/>
      <c r="HX113" s="92"/>
      <c r="HY113" s="92"/>
      <c r="HZ113" s="92"/>
      <c r="IA113" s="92"/>
      <c r="IB113" s="92"/>
      <c r="IC113" s="92"/>
      <c r="ID113" s="92"/>
      <c r="IE113" s="92"/>
      <c r="IF113" s="92"/>
      <c r="IG113" s="92"/>
      <c r="IH113" s="92"/>
      <c r="II113" s="92"/>
      <c r="IJ113" s="92"/>
      <c r="IK113" s="92"/>
      <c r="IL113" s="92"/>
      <c r="IM113" s="92"/>
      <c r="IN113" s="92"/>
      <c r="IO113" s="92"/>
      <c r="IP113" s="92"/>
      <c r="IQ113" s="92"/>
      <c r="IR113" s="92"/>
      <c r="IS113" s="92"/>
      <c r="IT113" s="92"/>
      <c r="IU113" s="92"/>
      <c r="IV113" s="92"/>
      <c r="IW113" s="92"/>
      <c r="IX113" s="92"/>
      <c r="IY113" s="92"/>
    </row>
    <row r="114" spans="1:259" x14ac:dyDescent="0.3">
      <c r="A114" s="2" t="s">
        <v>198</v>
      </c>
      <c r="B114" s="7"/>
      <c r="C114" s="2"/>
      <c r="D114" s="2"/>
      <c r="E114" s="2" t="s">
        <v>195</v>
      </c>
      <c r="F114" s="2" t="s">
        <v>60</v>
      </c>
      <c r="G114" s="2" t="s">
        <v>291</v>
      </c>
      <c r="H114" s="2"/>
      <c r="I114" s="2" t="s">
        <v>308</v>
      </c>
      <c r="J114" s="87"/>
      <c r="K114" s="88">
        <f t="shared" si="0"/>
        <v>0</v>
      </c>
      <c r="L114" s="89">
        <v>0</v>
      </c>
      <c r="M114" s="88">
        <f t="shared" si="28"/>
        <v>0</v>
      </c>
      <c r="N114" s="88">
        <f t="shared" si="2"/>
        <v>0</v>
      </c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1"/>
      <c r="AU114" s="30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2"/>
      <c r="BY114" s="92"/>
      <c r="BZ114" s="92"/>
      <c r="CA114" s="92"/>
      <c r="CB114" s="92"/>
      <c r="CC114" s="92"/>
      <c r="CD114" s="92"/>
      <c r="CE114" s="92"/>
      <c r="CF114" s="92"/>
      <c r="CG114" s="92"/>
      <c r="CH114" s="92"/>
      <c r="CI114" s="92"/>
      <c r="CJ114" s="92"/>
      <c r="CK114" s="92"/>
      <c r="CL114" s="92"/>
      <c r="CM114" s="92"/>
      <c r="CN114" s="92"/>
      <c r="CO114" s="92"/>
      <c r="CP114" s="92"/>
      <c r="CQ114" s="92"/>
      <c r="CR114" s="92"/>
      <c r="CS114" s="92"/>
      <c r="CT114" s="92"/>
      <c r="CU114" s="92"/>
      <c r="CV114" s="92"/>
      <c r="CW114" s="92"/>
      <c r="CX114" s="92"/>
      <c r="CY114" s="92"/>
      <c r="CZ114" s="92"/>
      <c r="DA114" s="92"/>
      <c r="DB114" s="92"/>
      <c r="DC114" s="92"/>
      <c r="DD114" s="92"/>
      <c r="DE114" s="92"/>
      <c r="DF114" s="92"/>
      <c r="DG114" s="92"/>
      <c r="DH114" s="92"/>
      <c r="DI114" s="92"/>
      <c r="DJ114" s="92"/>
      <c r="DK114" s="92"/>
      <c r="DL114" s="92"/>
      <c r="DM114" s="92"/>
      <c r="DN114" s="92"/>
      <c r="DO114" s="92"/>
      <c r="DP114" s="92"/>
      <c r="DQ114" s="92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92"/>
      <c r="EE114" s="92"/>
      <c r="EF114" s="92"/>
      <c r="EG114" s="92"/>
      <c r="EH114" s="92"/>
      <c r="EI114" s="92"/>
      <c r="EJ114" s="92"/>
      <c r="EK114" s="92"/>
      <c r="EL114" s="92"/>
      <c r="EM114" s="92"/>
      <c r="EN114" s="92"/>
      <c r="EO114" s="92"/>
      <c r="EP114" s="92"/>
      <c r="EQ114" s="92"/>
      <c r="ER114" s="92"/>
      <c r="ES114" s="92"/>
      <c r="ET114" s="92"/>
      <c r="EU114" s="92"/>
      <c r="EV114" s="92"/>
      <c r="EW114" s="92"/>
      <c r="EX114" s="92"/>
      <c r="EY114" s="92"/>
      <c r="EZ114" s="92"/>
      <c r="FA114" s="92"/>
      <c r="FB114" s="92"/>
      <c r="FC114" s="92"/>
      <c r="FD114" s="92"/>
      <c r="FE114" s="92"/>
      <c r="FF114" s="92"/>
      <c r="FG114" s="92"/>
      <c r="FH114" s="92"/>
      <c r="FI114" s="92"/>
      <c r="FJ114" s="92"/>
      <c r="FK114" s="92"/>
      <c r="FL114" s="92"/>
      <c r="FM114" s="92"/>
      <c r="FN114" s="92"/>
      <c r="FO114" s="92"/>
      <c r="FP114" s="92"/>
      <c r="FQ114" s="92"/>
      <c r="FR114" s="92"/>
      <c r="FS114" s="92"/>
      <c r="FT114" s="92"/>
      <c r="FU114" s="92"/>
      <c r="FV114" s="92"/>
      <c r="FW114" s="92"/>
      <c r="FX114" s="92"/>
      <c r="FY114" s="92"/>
      <c r="FZ114" s="92"/>
      <c r="GA114" s="92"/>
      <c r="GB114" s="92"/>
      <c r="GC114" s="92"/>
      <c r="GD114" s="92"/>
      <c r="GE114" s="92"/>
      <c r="GF114" s="92"/>
      <c r="GG114" s="92"/>
      <c r="GH114" s="92"/>
      <c r="GI114" s="92"/>
      <c r="GJ114" s="92"/>
      <c r="GK114" s="92"/>
      <c r="GL114" s="92"/>
      <c r="GM114" s="92"/>
      <c r="GN114" s="92"/>
      <c r="GO114" s="92"/>
      <c r="GP114" s="92"/>
      <c r="GQ114" s="92"/>
      <c r="GR114" s="92"/>
      <c r="GS114" s="92"/>
      <c r="GT114" s="92"/>
      <c r="GU114" s="92"/>
      <c r="GV114" s="92"/>
      <c r="GW114" s="92"/>
      <c r="GX114" s="92"/>
      <c r="GY114" s="92"/>
      <c r="GZ114" s="92"/>
      <c r="HA114" s="92"/>
      <c r="HB114" s="92"/>
      <c r="HC114" s="92"/>
      <c r="HD114" s="92"/>
      <c r="HE114" s="92"/>
      <c r="HF114" s="92"/>
      <c r="HG114" s="92"/>
      <c r="HH114" s="92"/>
      <c r="HI114" s="92"/>
      <c r="HJ114" s="92"/>
      <c r="HK114" s="92"/>
      <c r="HL114" s="92"/>
      <c r="HM114" s="92"/>
      <c r="HN114" s="92"/>
      <c r="HO114" s="92"/>
      <c r="HP114" s="92"/>
      <c r="HQ114" s="92"/>
      <c r="HR114" s="92"/>
      <c r="HS114" s="92"/>
      <c r="HT114" s="92"/>
      <c r="HU114" s="92"/>
      <c r="HV114" s="92"/>
      <c r="HW114" s="92"/>
      <c r="HX114" s="92"/>
      <c r="HY114" s="92"/>
      <c r="HZ114" s="92"/>
      <c r="IA114" s="92"/>
      <c r="IB114" s="92"/>
      <c r="IC114" s="92"/>
      <c r="ID114" s="92"/>
      <c r="IE114" s="92"/>
      <c r="IF114" s="92"/>
      <c r="IG114" s="92"/>
      <c r="IH114" s="92"/>
      <c r="II114" s="92"/>
      <c r="IJ114" s="92"/>
      <c r="IK114" s="92"/>
      <c r="IL114" s="92"/>
      <c r="IM114" s="92"/>
      <c r="IN114" s="92"/>
      <c r="IO114" s="92"/>
      <c r="IP114" s="92"/>
      <c r="IQ114" s="92"/>
      <c r="IR114" s="92"/>
      <c r="IS114" s="92"/>
      <c r="IT114" s="92"/>
      <c r="IU114" s="92"/>
      <c r="IV114" s="92"/>
      <c r="IW114" s="92"/>
      <c r="IX114" s="92"/>
      <c r="IY114" s="92"/>
    </row>
    <row r="115" spans="1:259" x14ac:dyDescent="0.3">
      <c r="A115" s="2" t="s">
        <v>199</v>
      </c>
      <c r="B115" s="2"/>
      <c r="C115" s="2"/>
      <c r="D115" s="2"/>
      <c r="E115" s="2" t="s">
        <v>196</v>
      </c>
      <c r="F115" s="2" t="s">
        <v>60</v>
      </c>
      <c r="G115" s="2" t="s">
        <v>291</v>
      </c>
      <c r="H115" s="2"/>
      <c r="I115" s="2" t="s">
        <v>308</v>
      </c>
      <c r="J115" s="87"/>
      <c r="K115" s="88">
        <f t="shared" si="0"/>
        <v>1</v>
      </c>
      <c r="L115" s="89">
        <v>1</v>
      </c>
      <c r="M115" s="88">
        <f t="shared" si="28"/>
        <v>0</v>
      </c>
      <c r="N115" s="88">
        <f t="shared" si="2"/>
        <v>1</v>
      </c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1"/>
      <c r="AU115" s="30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2"/>
      <c r="BY115" s="92"/>
      <c r="BZ115" s="92"/>
      <c r="CA115" s="92"/>
      <c r="CB115" s="92"/>
      <c r="CC115" s="92"/>
      <c r="CD115" s="92"/>
      <c r="CE115" s="92"/>
      <c r="CF115" s="92"/>
      <c r="CG115" s="92"/>
      <c r="CH115" s="92"/>
      <c r="CI115" s="92"/>
      <c r="CJ115" s="92"/>
      <c r="CK115" s="92"/>
      <c r="CL115" s="92"/>
      <c r="CM115" s="92"/>
      <c r="CN115" s="92"/>
      <c r="CO115" s="92"/>
      <c r="CP115" s="92"/>
      <c r="CQ115" s="92"/>
      <c r="CR115" s="92"/>
      <c r="CS115" s="92"/>
      <c r="CT115" s="92"/>
      <c r="CU115" s="92"/>
      <c r="CV115" s="92"/>
      <c r="CW115" s="92"/>
      <c r="CX115" s="92"/>
      <c r="CY115" s="92"/>
      <c r="CZ115" s="92"/>
      <c r="DA115" s="92"/>
      <c r="DB115" s="92"/>
      <c r="DC115" s="92"/>
      <c r="DD115" s="92"/>
      <c r="DE115" s="92"/>
      <c r="DF115" s="92"/>
      <c r="DG115" s="92"/>
      <c r="DH115" s="92"/>
      <c r="DI115" s="92"/>
      <c r="DJ115" s="92"/>
      <c r="DK115" s="92"/>
      <c r="DL115" s="92"/>
      <c r="DM115" s="92"/>
      <c r="DN115" s="92"/>
      <c r="DO115" s="92"/>
      <c r="DP115" s="92"/>
      <c r="DQ115" s="92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92"/>
      <c r="EE115" s="92"/>
      <c r="EF115" s="92"/>
      <c r="EG115" s="92"/>
      <c r="EH115" s="92"/>
      <c r="EI115" s="92"/>
      <c r="EJ115" s="92"/>
      <c r="EK115" s="92"/>
      <c r="EL115" s="92"/>
      <c r="EM115" s="92"/>
      <c r="EN115" s="92"/>
      <c r="EO115" s="92"/>
      <c r="EP115" s="92"/>
      <c r="EQ115" s="92"/>
      <c r="ER115" s="92"/>
      <c r="ES115" s="92"/>
      <c r="ET115" s="92"/>
      <c r="EU115" s="92"/>
      <c r="EV115" s="92"/>
      <c r="EW115" s="92"/>
      <c r="EX115" s="92"/>
      <c r="EY115" s="92"/>
      <c r="EZ115" s="92"/>
      <c r="FA115" s="92"/>
      <c r="FB115" s="92"/>
      <c r="FC115" s="92"/>
      <c r="FD115" s="92"/>
      <c r="FE115" s="92"/>
      <c r="FF115" s="92"/>
      <c r="FG115" s="92"/>
      <c r="FH115" s="92"/>
      <c r="FI115" s="92"/>
      <c r="FJ115" s="92"/>
      <c r="FK115" s="92"/>
      <c r="FL115" s="92"/>
      <c r="FM115" s="92"/>
      <c r="FN115" s="92"/>
      <c r="FO115" s="92"/>
      <c r="FP115" s="92"/>
      <c r="FQ115" s="92"/>
      <c r="FR115" s="92"/>
      <c r="FS115" s="92"/>
      <c r="FT115" s="92"/>
      <c r="FU115" s="92"/>
      <c r="FV115" s="92"/>
      <c r="FW115" s="92"/>
      <c r="FX115" s="92"/>
      <c r="FY115" s="92"/>
      <c r="FZ115" s="92"/>
      <c r="GA115" s="92"/>
      <c r="GB115" s="92"/>
      <c r="GC115" s="92"/>
      <c r="GD115" s="92"/>
      <c r="GE115" s="92"/>
      <c r="GF115" s="92"/>
      <c r="GG115" s="92"/>
      <c r="GH115" s="92"/>
      <c r="GI115" s="92"/>
      <c r="GJ115" s="92"/>
      <c r="GK115" s="92"/>
      <c r="GL115" s="92"/>
      <c r="GM115" s="92"/>
      <c r="GN115" s="92"/>
      <c r="GO115" s="92"/>
      <c r="GP115" s="92"/>
      <c r="GQ115" s="92"/>
      <c r="GR115" s="92"/>
      <c r="GS115" s="92"/>
      <c r="GT115" s="92"/>
      <c r="GU115" s="92"/>
      <c r="GV115" s="92"/>
      <c r="GW115" s="92"/>
      <c r="GX115" s="92"/>
      <c r="GY115" s="92"/>
      <c r="GZ115" s="92"/>
      <c r="HA115" s="92"/>
      <c r="HB115" s="92"/>
      <c r="HC115" s="92"/>
      <c r="HD115" s="92"/>
      <c r="HE115" s="92"/>
      <c r="HF115" s="92"/>
      <c r="HG115" s="92"/>
      <c r="HH115" s="92"/>
      <c r="HI115" s="92"/>
      <c r="HJ115" s="92"/>
      <c r="HK115" s="92"/>
      <c r="HL115" s="92"/>
      <c r="HM115" s="92"/>
      <c r="HN115" s="92"/>
      <c r="HO115" s="92"/>
      <c r="HP115" s="92"/>
      <c r="HQ115" s="92"/>
      <c r="HR115" s="92"/>
      <c r="HS115" s="92"/>
      <c r="HT115" s="92"/>
      <c r="HU115" s="92"/>
      <c r="HV115" s="92"/>
      <c r="HW115" s="92"/>
      <c r="HX115" s="92"/>
      <c r="HY115" s="92"/>
      <c r="HZ115" s="92"/>
      <c r="IA115" s="92"/>
      <c r="IB115" s="92"/>
      <c r="IC115" s="92"/>
      <c r="ID115" s="92"/>
      <c r="IE115" s="92"/>
      <c r="IF115" s="92"/>
      <c r="IG115" s="92"/>
      <c r="IH115" s="92"/>
      <c r="II115" s="92"/>
      <c r="IJ115" s="92"/>
      <c r="IK115" s="92"/>
      <c r="IL115" s="92"/>
      <c r="IM115" s="92"/>
      <c r="IN115" s="92"/>
      <c r="IO115" s="92"/>
      <c r="IP115" s="92"/>
      <c r="IQ115" s="92"/>
      <c r="IR115" s="92"/>
      <c r="IS115" s="92"/>
      <c r="IT115" s="92"/>
      <c r="IU115" s="92"/>
      <c r="IV115" s="92"/>
      <c r="IW115" s="92"/>
      <c r="IX115" s="92"/>
      <c r="IY115" s="92"/>
    </row>
    <row r="116" spans="1:259" x14ac:dyDescent="0.3">
      <c r="A116" s="2" t="s">
        <v>310</v>
      </c>
      <c r="B116" s="2"/>
      <c r="C116" s="2"/>
      <c r="D116" s="2"/>
      <c r="E116" s="2" t="s">
        <v>310</v>
      </c>
      <c r="F116" s="2" t="s">
        <v>60</v>
      </c>
      <c r="G116" s="2" t="s">
        <v>291</v>
      </c>
      <c r="H116" s="2"/>
      <c r="I116" s="2" t="s">
        <v>308</v>
      </c>
      <c r="J116" s="87"/>
      <c r="K116" s="88">
        <f t="shared" si="0"/>
        <v>2</v>
      </c>
      <c r="L116" s="89">
        <v>2</v>
      </c>
      <c r="M116" s="88">
        <f t="shared" si="28"/>
        <v>0</v>
      </c>
      <c r="N116" s="88">
        <f t="shared" si="2"/>
        <v>2</v>
      </c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1"/>
      <c r="AU116" s="30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2"/>
      <c r="BY116" s="92"/>
      <c r="BZ116" s="92"/>
      <c r="CA116" s="92"/>
      <c r="CB116" s="92"/>
      <c r="CC116" s="92"/>
      <c r="CD116" s="92"/>
      <c r="CE116" s="92"/>
      <c r="CF116" s="92"/>
      <c r="CG116" s="92"/>
      <c r="CH116" s="92"/>
      <c r="CI116" s="92"/>
      <c r="CJ116" s="92"/>
      <c r="CK116" s="92"/>
      <c r="CL116" s="92"/>
      <c r="CM116" s="92"/>
      <c r="CN116" s="92"/>
      <c r="CO116" s="92"/>
      <c r="CP116" s="92"/>
      <c r="CQ116" s="92"/>
      <c r="CR116" s="92"/>
      <c r="CS116" s="92"/>
      <c r="CT116" s="92"/>
      <c r="CU116" s="92"/>
      <c r="CV116" s="92"/>
      <c r="CW116" s="92"/>
      <c r="CX116" s="92"/>
      <c r="CY116" s="92"/>
      <c r="CZ116" s="92"/>
      <c r="DA116" s="92"/>
      <c r="DB116" s="92"/>
      <c r="DC116" s="92"/>
      <c r="DD116" s="92"/>
      <c r="DE116" s="92"/>
      <c r="DF116" s="92"/>
      <c r="DG116" s="92"/>
      <c r="DH116" s="92"/>
      <c r="DI116" s="92"/>
      <c r="DJ116" s="92"/>
      <c r="DK116" s="92"/>
      <c r="DL116" s="92"/>
      <c r="DM116" s="92"/>
      <c r="DN116" s="92"/>
      <c r="DO116" s="92"/>
      <c r="DP116" s="92"/>
      <c r="DQ116" s="92"/>
      <c r="DR116" s="92"/>
      <c r="DS116" s="92"/>
      <c r="DT116" s="92"/>
      <c r="DU116" s="92"/>
      <c r="DV116" s="92"/>
      <c r="DW116" s="92"/>
      <c r="DX116" s="92"/>
      <c r="DY116" s="92"/>
      <c r="DZ116" s="92"/>
      <c r="EA116" s="92"/>
      <c r="EB116" s="92"/>
      <c r="EC116" s="92"/>
      <c r="ED116" s="92"/>
      <c r="EE116" s="92"/>
      <c r="EF116" s="92"/>
      <c r="EG116" s="92"/>
      <c r="EH116" s="92"/>
      <c r="EI116" s="92"/>
      <c r="EJ116" s="92"/>
      <c r="EK116" s="92"/>
      <c r="EL116" s="92"/>
      <c r="EM116" s="92"/>
      <c r="EN116" s="92"/>
      <c r="EO116" s="92"/>
      <c r="EP116" s="92"/>
      <c r="EQ116" s="92"/>
      <c r="ER116" s="92"/>
      <c r="ES116" s="92"/>
      <c r="ET116" s="92"/>
      <c r="EU116" s="92"/>
      <c r="EV116" s="92"/>
      <c r="EW116" s="92"/>
      <c r="EX116" s="92"/>
      <c r="EY116" s="92"/>
      <c r="EZ116" s="92"/>
      <c r="FA116" s="92"/>
      <c r="FB116" s="92"/>
      <c r="FC116" s="92"/>
      <c r="FD116" s="92"/>
      <c r="FE116" s="92"/>
      <c r="FF116" s="92"/>
      <c r="FG116" s="92"/>
      <c r="FH116" s="92"/>
      <c r="FI116" s="92"/>
      <c r="FJ116" s="92"/>
      <c r="FK116" s="92"/>
      <c r="FL116" s="92"/>
      <c r="FM116" s="92"/>
      <c r="FN116" s="92"/>
      <c r="FO116" s="92"/>
      <c r="FP116" s="92"/>
      <c r="FQ116" s="92"/>
      <c r="FR116" s="92"/>
      <c r="FS116" s="92"/>
      <c r="FT116" s="92"/>
      <c r="FU116" s="92"/>
      <c r="FV116" s="92"/>
      <c r="FW116" s="92"/>
      <c r="FX116" s="92"/>
      <c r="FY116" s="92"/>
      <c r="FZ116" s="92"/>
      <c r="GA116" s="92"/>
      <c r="GB116" s="92"/>
      <c r="GC116" s="92"/>
      <c r="GD116" s="92"/>
      <c r="GE116" s="92"/>
      <c r="GF116" s="92"/>
      <c r="GG116" s="92"/>
      <c r="GH116" s="92"/>
      <c r="GI116" s="92"/>
      <c r="GJ116" s="92"/>
      <c r="GK116" s="92"/>
      <c r="GL116" s="92"/>
      <c r="GM116" s="92"/>
      <c r="GN116" s="92"/>
      <c r="GO116" s="92"/>
      <c r="GP116" s="92"/>
      <c r="GQ116" s="92"/>
      <c r="GR116" s="92"/>
      <c r="GS116" s="92"/>
      <c r="GT116" s="92"/>
      <c r="GU116" s="92"/>
      <c r="GV116" s="92"/>
      <c r="GW116" s="92"/>
      <c r="GX116" s="92"/>
      <c r="GY116" s="92"/>
      <c r="GZ116" s="92"/>
      <c r="HA116" s="92"/>
      <c r="HB116" s="92"/>
      <c r="HC116" s="92"/>
      <c r="HD116" s="92"/>
      <c r="HE116" s="92"/>
      <c r="HF116" s="92"/>
      <c r="HG116" s="92"/>
      <c r="HH116" s="92"/>
      <c r="HI116" s="92"/>
      <c r="HJ116" s="92"/>
      <c r="HK116" s="92"/>
      <c r="HL116" s="92"/>
      <c r="HM116" s="92"/>
      <c r="HN116" s="92"/>
      <c r="HO116" s="92"/>
      <c r="HP116" s="92"/>
      <c r="HQ116" s="92"/>
      <c r="HR116" s="92"/>
      <c r="HS116" s="92"/>
      <c r="HT116" s="92"/>
      <c r="HU116" s="92"/>
      <c r="HV116" s="92"/>
      <c r="HW116" s="92"/>
      <c r="HX116" s="92"/>
      <c r="HY116" s="92"/>
      <c r="HZ116" s="92"/>
      <c r="IA116" s="92"/>
      <c r="IB116" s="92"/>
      <c r="IC116" s="92"/>
      <c r="ID116" s="92"/>
      <c r="IE116" s="92"/>
      <c r="IF116" s="92"/>
      <c r="IG116" s="92"/>
      <c r="IH116" s="92"/>
      <c r="II116" s="92"/>
      <c r="IJ116" s="92"/>
      <c r="IK116" s="92"/>
      <c r="IL116" s="92"/>
      <c r="IM116" s="92"/>
      <c r="IN116" s="92"/>
      <c r="IO116" s="92"/>
      <c r="IP116" s="92"/>
      <c r="IQ116" s="92"/>
      <c r="IR116" s="92"/>
      <c r="IS116" s="92"/>
      <c r="IT116" s="92"/>
      <c r="IU116" s="92"/>
      <c r="IV116" s="92"/>
      <c r="IW116" s="92"/>
      <c r="IX116" s="92"/>
      <c r="IY116" s="92"/>
    </row>
    <row r="117" spans="1:259" x14ac:dyDescent="0.3">
      <c r="A117" s="2" t="s">
        <v>311</v>
      </c>
      <c r="B117" s="2"/>
      <c r="C117" s="2"/>
      <c r="D117" s="2"/>
      <c r="E117" s="2" t="s">
        <v>311</v>
      </c>
      <c r="F117" s="2" t="s">
        <v>60</v>
      </c>
      <c r="G117" s="2" t="s">
        <v>291</v>
      </c>
      <c r="H117" s="2"/>
      <c r="I117" s="2" t="s">
        <v>308</v>
      </c>
      <c r="J117" s="87"/>
      <c r="K117" s="88">
        <f t="shared" si="0"/>
        <v>3</v>
      </c>
      <c r="L117" s="89">
        <v>3</v>
      </c>
      <c r="M117" s="88">
        <f t="shared" si="28"/>
        <v>0</v>
      </c>
      <c r="N117" s="88">
        <f t="shared" si="2"/>
        <v>3</v>
      </c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1"/>
      <c r="AU117" s="30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  <c r="DC117" s="92"/>
      <c r="DD117" s="92"/>
      <c r="DE117" s="92"/>
      <c r="DF117" s="92"/>
      <c r="DG117" s="92"/>
      <c r="DH117" s="92"/>
      <c r="DI117" s="92"/>
      <c r="DJ117" s="92"/>
      <c r="DK117" s="92"/>
      <c r="DL117" s="92"/>
      <c r="DM117" s="92"/>
      <c r="DN117" s="92"/>
      <c r="DO117" s="92"/>
      <c r="DP117" s="92"/>
      <c r="DQ117" s="92"/>
      <c r="DR117" s="92"/>
      <c r="DS117" s="92"/>
      <c r="DT117" s="92"/>
      <c r="DU117" s="92"/>
      <c r="DV117" s="92"/>
      <c r="DW117" s="92"/>
      <c r="DX117" s="92"/>
      <c r="DY117" s="92"/>
      <c r="DZ117" s="92"/>
      <c r="EA117" s="92"/>
      <c r="EB117" s="92"/>
      <c r="EC117" s="92"/>
      <c r="ED117" s="92"/>
      <c r="EE117" s="92"/>
      <c r="EF117" s="92"/>
      <c r="EG117" s="92"/>
      <c r="EH117" s="92"/>
      <c r="EI117" s="92"/>
      <c r="EJ117" s="92"/>
      <c r="EK117" s="92"/>
      <c r="EL117" s="92"/>
      <c r="EM117" s="92"/>
      <c r="EN117" s="92"/>
      <c r="EO117" s="92"/>
      <c r="EP117" s="92"/>
      <c r="EQ117" s="92"/>
      <c r="ER117" s="92"/>
      <c r="ES117" s="92"/>
      <c r="ET117" s="92"/>
      <c r="EU117" s="92"/>
      <c r="EV117" s="92"/>
      <c r="EW117" s="92"/>
      <c r="EX117" s="92"/>
      <c r="EY117" s="92"/>
      <c r="EZ117" s="92"/>
      <c r="FA117" s="92"/>
      <c r="FB117" s="92"/>
      <c r="FC117" s="92"/>
      <c r="FD117" s="92"/>
      <c r="FE117" s="92"/>
      <c r="FF117" s="92"/>
      <c r="FG117" s="92"/>
      <c r="FH117" s="92"/>
      <c r="FI117" s="92"/>
      <c r="FJ117" s="92"/>
      <c r="FK117" s="92"/>
      <c r="FL117" s="92"/>
      <c r="FM117" s="92"/>
      <c r="FN117" s="92"/>
      <c r="FO117" s="92"/>
      <c r="FP117" s="92"/>
      <c r="FQ117" s="92"/>
      <c r="FR117" s="92"/>
      <c r="FS117" s="92"/>
      <c r="FT117" s="92"/>
      <c r="FU117" s="92"/>
      <c r="FV117" s="92"/>
      <c r="FW117" s="92"/>
      <c r="FX117" s="92"/>
      <c r="FY117" s="92"/>
      <c r="FZ117" s="92"/>
      <c r="GA117" s="92"/>
      <c r="GB117" s="92"/>
      <c r="GC117" s="92"/>
      <c r="GD117" s="92"/>
      <c r="GE117" s="92"/>
      <c r="GF117" s="92"/>
      <c r="GG117" s="92"/>
      <c r="GH117" s="92"/>
      <c r="GI117" s="92"/>
      <c r="GJ117" s="92"/>
      <c r="GK117" s="92"/>
      <c r="GL117" s="92"/>
      <c r="GM117" s="92"/>
      <c r="GN117" s="92"/>
      <c r="GO117" s="92"/>
      <c r="GP117" s="92"/>
      <c r="GQ117" s="92"/>
      <c r="GR117" s="92"/>
      <c r="GS117" s="92"/>
      <c r="GT117" s="92"/>
      <c r="GU117" s="92"/>
      <c r="GV117" s="92"/>
      <c r="GW117" s="92"/>
      <c r="GX117" s="92"/>
      <c r="GY117" s="92"/>
      <c r="GZ117" s="92"/>
      <c r="HA117" s="92"/>
      <c r="HB117" s="92"/>
      <c r="HC117" s="92"/>
      <c r="HD117" s="92"/>
      <c r="HE117" s="92"/>
      <c r="HF117" s="92"/>
      <c r="HG117" s="92"/>
      <c r="HH117" s="92"/>
      <c r="HI117" s="92"/>
      <c r="HJ117" s="92"/>
      <c r="HK117" s="92"/>
      <c r="HL117" s="92"/>
      <c r="HM117" s="92"/>
      <c r="HN117" s="92"/>
      <c r="HO117" s="92"/>
      <c r="HP117" s="92"/>
      <c r="HQ117" s="92"/>
      <c r="HR117" s="92"/>
      <c r="HS117" s="92"/>
      <c r="HT117" s="92"/>
      <c r="HU117" s="92"/>
      <c r="HV117" s="92"/>
      <c r="HW117" s="92"/>
      <c r="HX117" s="92"/>
      <c r="HY117" s="92"/>
      <c r="HZ117" s="92"/>
      <c r="IA117" s="92"/>
      <c r="IB117" s="92"/>
      <c r="IC117" s="92"/>
      <c r="ID117" s="92"/>
      <c r="IE117" s="92"/>
      <c r="IF117" s="92"/>
      <c r="IG117" s="92"/>
      <c r="IH117" s="92"/>
      <c r="II117" s="92"/>
      <c r="IJ117" s="92"/>
      <c r="IK117" s="92"/>
      <c r="IL117" s="92"/>
      <c r="IM117" s="92"/>
      <c r="IN117" s="92"/>
      <c r="IO117" s="92"/>
      <c r="IP117" s="92"/>
      <c r="IQ117" s="92"/>
      <c r="IR117" s="92"/>
      <c r="IS117" s="92"/>
      <c r="IT117" s="92"/>
      <c r="IU117" s="92"/>
      <c r="IV117" s="92"/>
      <c r="IW117" s="92"/>
      <c r="IX117" s="92"/>
      <c r="IY117" s="92"/>
    </row>
    <row r="118" spans="1:259" x14ac:dyDescent="0.3">
      <c r="A118" s="2" t="s">
        <v>312</v>
      </c>
      <c r="B118" s="7"/>
      <c r="C118" s="2"/>
      <c r="D118" s="2"/>
      <c r="E118" s="2" t="s">
        <v>312</v>
      </c>
      <c r="F118" s="2" t="s">
        <v>60</v>
      </c>
      <c r="G118" s="2" t="s">
        <v>291</v>
      </c>
      <c r="H118" s="2"/>
      <c r="I118" s="2" t="s">
        <v>308</v>
      </c>
      <c r="J118" s="87"/>
      <c r="K118" s="88">
        <f t="shared" si="0"/>
        <v>1</v>
      </c>
      <c r="L118" s="89">
        <v>1</v>
      </c>
      <c r="M118" s="88">
        <f t="shared" si="28"/>
        <v>0</v>
      </c>
      <c r="N118" s="88">
        <f t="shared" si="2"/>
        <v>1</v>
      </c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1"/>
      <c r="AU118" s="30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  <c r="CV118" s="92"/>
      <c r="CW118" s="92"/>
      <c r="CX118" s="92"/>
      <c r="CY118" s="92"/>
      <c r="CZ118" s="92"/>
      <c r="DA118" s="92"/>
      <c r="DB118" s="92"/>
      <c r="DC118" s="92"/>
      <c r="DD118" s="92"/>
      <c r="DE118" s="92"/>
      <c r="DF118" s="92"/>
      <c r="DG118" s="92"/>
      <c r="DH118" s="92"/>
      <c r="DI118" s="92"/>
      <c r="DJ118" s="92"/>
      <c r="DK118" s="92"/>
      <c r="DL118" s="92"/>
      <c r="DM118" s="92"/>
      <c r="DN118" s="92"/>
      <c r="DO118" s="92"/>
      <c r="DP118" s="92"/>
      <c r="DQ118" s="92"/>
      <c r="DR118" s="92"/>
      <c r="DS118" s="92"/>
      <c r="DT118" s="92"/>
      <c r="DU118" s="92"/>
      <c r="DV118" s="92"/>
      <c r="DW118" s="92"/>
      <c r="DX118" s="92"/>
      <c r="DY118" s="92"/>
      <c r="DZ118" s="92"/>
      <c r="EA118" s="92"/>
      <c r="EB118" s="92"/>
      <c r="EC118" s="92"/>
      <c r="ED118" s="92"/>
      <c r="EE118" s="92"/>
      <c r="EF118" s="92"/>
      <c r="EG118" s="92"/>
      <c r="EH118" s="92"/>
      <c r="EI118" s="92"/>
      <c r="EJ118" s="92"/>
      <c r="EK118" s="92"/>
      <c r="EL118" s="92"/>
      <c r="EM118" s="92"/>
      <c r="EN118" s="92"/>
      <c r="EO118" s="92"/>
      <c r="EP118" s="92"/>
      <c r="EQ118" s="92"/>
      <c r="ER118" s="92"/>
      <c r="ES118" s="92"/>
      <c r="ET118" s="92"/>
      <c r="EU118" s="92"/>
      <c r="EV118" s="92"/>
      <c r="EW118" s="92"/>
      <c r="EX118" s="92"/>
      <c r="EY118" s="92"/>
      <c r="EZ118" s="92"/>
      <c r="FA118" s="92"/>
      <c r="FB118" s="92"/>
      <c r="FC118" s="92"/>
      <c r="FD118" s="92"/>
      <c r="FE118" s="92"/>
      <c r="FF118" s="92"/>
      <c r="FG118" s="92"/>
      <c r="FH118" s="92"/>
      <c r="FI118" s="92"/>
      <c r="FJ118" s="92"/>
      <c r="FK118" s="92"/>
      <c r="FL118" s="92"/>
      <c r="FM118" s="92"/>
      <c r="FN118" s="92"/>
      <c r="FO118" s="92"/>
      <c r="FP118" s="92"/>
      <c r="FQ118" s="92"/>
      <c r="FR118" s="92"/>
      <c r="FS118" s="92"/>
      <c r="FT118" s="92"/>
      <c r="FU118" s="92"/>
      <c r="FV118" s="92"/>
      <c r="FW118" s="92"/>
      <c r="FX118" s="92"/>
      <c r="FY118" s="92"/>
      <c r="FZ118" s="92"/>
      <c r="GA118" s="92"/>
      <c r="GB118" s="92"/>
      <c r="GC118" s="92"/>
      <c r="GD118" s="92"/>
      <c r="GE118" s="92"/>
      <c r="GF118" s="92"/>
      <c r="GG118" s="92"/>
      <c r="GH118" s="92"/>
      <c r="GI118" s="92"/>
      <c r="GJ118" s="92"/>
      <c r="GK118" s="92"/>
      <c r="GL118" s="92"/>
      <c r="GM118" s="92"/>
      <c r="GN118" s="92"/>
      <c r="GO118" s="92"/>
      <c r="GP118" s="92"/>
      <c r="GQ118" s="92"/>
      <c r="GR118" s="92"/>
      <c r="GS118" s="92"/>
      <c r="GT118" s="92"/>
      <c r="GU118" s="92"/>
      <c r="GV118" s="92"/>
      <c r="GW118" s="92"/>
      <c r="GX118" s="92"/>
      <c r="GY118" s="92"/>
      <c r="GZ118" s="92"/>
      <c r="HA118" s="92"/>
      <c r="HB118" s="92"/>
      <c r="HC118" s="92"/>
      <c r="HD118" s="92"/>
      <c r="HE118" s="92"/>
      <c r="HF118" s="92"/>
      <c r="HG118" s="92"/>
      <c r="HH118" s="92"/>
      <c r="HI118" s="92"/>
      <c r="HJ118" s="92"/>
      <c r="HK118" s="92"/>
      <c r="HL118" s="92"/>
      <c r="HM118" s="92"/>
      <c r="HN118" s="92"/>
      <c r="HO118" s="92"/>
      <c r="HP118" s="92"/>
      <c r="HQ118" s="92"/>
      <c r="HR118" s="92"/>
      <c r="HS118" s="92"/>
      <c r="HT118" s="92"/>
      <c r="HU118" s="92"/>
      <c r="HV118" s="92"/>
      <c r="HW118" s="92"/>
      <c r="HX118" s="92"/>
      <c r="HY118" s="92"/>
      <c r="HZ118" s="92"/>
      <c r="IA118" s="92"/>
      <c r="IB118" s="92"/>
      <c r="IC118" s="92"/>
      <c r="ID118" s="92"/>
      <c r="IE118" s="92"/>
      <c r="IF118" s="92"/>
      <c r="IG118" s="92"/>
      <c r="IH118" s="92"/>
      <c r="II118" s="92"/>
      <c r="IJ118" s="92"/>
      <c r="IK118" s="92"/>
      <c r="IL118" s="92"/>
      <c r="IM118" s="92"/>
      <c r="IN118" s="92"/>
      <c r="IO118" s="92"/>
      <c r="IP118" s="92"/>
      <c r="IQ118" s="92"/>
      <c r="IR118" s="92"/>
      <c r="IS118" s="92"/>
      <c r="IT118" s="92"/>
      <c r="IU118" s="92"/>
      <c r="IV118" s="92"/>
      <c r="IW118" s="92"/>
      <c r="IX118" s="92"/>
      <c r="IY118" s="92"/>
    </row>
    <row r="119" spans="1:259" x14ac:dyDescent="0.3">
      <c r="A119" s="2" t="s">
        <v>313</v>
      </c>
      <c r="B119" s="7"/>
      <c r="C119" s="2"/>
      <c r="D119" s="2"/>
      <c r="E119" s="2" t="s">
        <v>313</v>
      </c>
      <c r="F119" s="2" t="s">
        <v>60</v>
      </c>
      <c r="G119" s="2" t="s">
        <v>291</v>
      </c>
      <c r="H119" s="2"/>
      <c r="I119" s="2" t="s">
        <v>308</v>
      </c>
      <c r="J119" s="87"/>
      <c r="K119" s="88">
        <f t="shared" si="0"/>
        <v>1</v>
      </c>
      <c r="L119" s="89">
        <v>1</v>
      </c>
      <c r="M119" s="88">
        <f t="shared" si="28"/>
        <v>0</v>
      </c>
      <c r="N119" s="88">
        <f t="shared" si="2"/>
        <v>1</v>
      </c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1"/>
      <c r="AU119" s="30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92"/>
      <c r="CY119" s="92"/>
      <c r="CZ119" s="92"/>
      <c r="DA119" s="92"/>
      <c r="DB119" s="92"/>
      <c r="DC119" s="92"/>
      <c r="DD119" s="92"/>
      <c r="DE119" s="92"/>
      <c r="DF119" s="92"/>
      <c r="DG119" s="92"/>
      <c r="DH119" s="92"/>
      <c r="DI119" s="92"/>
      <c r="DJ119" s="92"/>
      <c r="DK119" s="92"/>
      <c r="DL119" s="92"/>
      <c r="DM119" s="92"/>
      <c r="DN119" s="92"/>
      <c r="DO119" s="92"/>
      <c r="DP119" s="92"/>
      <c r="DQ119" s="92"/>
      <c r="DR119" s="92"/>
      <c r="DS119" s="92"/>
      <c r="DT119" s="92"/>
      <c r="DU119" s="92"/>
      <c r="DV119" s="92"/>
      <c r="DW119" s="92"/>
      <c r="DX119" s="92"/>
      <c r="DY119" s="92"/>
      <c r="DZ119" s="92"/>
      <c r="EA119" s="92"/>
      <c r="EB119" s="92"/>
      <c r="EC119" s="92"/>
      <c r="ED119" s="92"/>
      <c r="EE119" s="92"/>
      <c r="EF119" s="92"/>
      <c r="EG119" s="92"/>
      <c r="EH119" s="92"/>
      <c r="EI119" s="92"/>
      <c r="EJ119" s="92"/>
      <c r="EK119" s="92"/>
      <c r="EL119" s="92"/>
      <c r="EM119" s="92"/>
      <c r="EN119" s="92"/>
      <c r="EO119" s="92"/>
      <c r="EP119" s="92"/>
      <c r="EQ119" s="92"/>
      <c r="ER119" s="92"/>
      <c r="ES119" s="92"/>
      <c r="ET119" s="92"/>
      <c r="EU119" s="92"/>
      <c r="EV119" s="92"/>
      <c r="EW119" s="92"/>
      <c r="EX119" s="92"/>
      <c r="EY119" s="92"/>
      <c r="EZ119" s="92"/>
      <c r="FA119" s="92"/>
      <c r="FB119" s="92"/>
      <c r="FC119" s="92"/>
      <c r="FD119" s="92"/>
      <c r="FE119" s="92"/>
      <c r="FF119" s="92"/>
      <c r="FG119" s="92"/>
      <c r="FH119" s="92"/>
      <c r="FI119" s="92"/>
      <c r="FJ119" s="92"/>
      <c r="FK119" s="92"/>
      <c r="FL119" s="92"/>
      <c r="FM119" s="92"/>
      <c r="FN119" s="92"/>
      <c r="FO119" s="92"/>
      <c r="FP119" s="92"/>
      <c r="FQ119" s="92"/>
      <c r="FR119" s="92"/>
      <c r="FS119" s="92"/>
      <c r="FT119" s="92"/>
      <c r="FU119" s="92"/>
      <c r="FV119" s="92"/>
      <c r="FW119" s="92"/>
      <c r="FX119" s="92"/>
      <c r="FY119" s="92"/>
      <c r="FZ119" s="92"/>
      <c r="GA119" s="92"/>
      <c r="GB119" s="92"/>
      <c r="GC119" s="92"/>
      <c r="GD119" s="92"/>
      <c r="GE119" s="92"/>
      <c r="GF119" s="92"/>
      <c r="GG119" s="92"/>
      <c r="GH119" s="92"/>
      <c r="GI119" s="92"/>
      <c r="GJ119" s="92"/>
      <c r="GK119" s="92"/>
      <c r="GL119" s="92"/>
      <c r="GM119" s="92"/>
      <c r="GN119" s="92"/>
      <c r="GO119" s="92"/>
      <c r="GP119" s="92"/>
      <c r="GQ119" s="92"/>
      <c r="GR119" s="92"/>
      <c r="GS119" s="92"/>
      <c r="GT119" s="92"/>
      <c r="GU119" s="92"/>
      <c r="GV119" s="92"/>
      <c r="GW119" s="92"/>
      <c r="GX119" s="92"/>
      <c r="GY119" s="92"/>
      <c r="GZ119" s="92"/>
      <c r="HA119" s="92"/>
      <c r="HB119" s="92"/>
      <c r="HC119" s="92"/>
      <c r="HD119" s="92"/>
      <c r="HE119" s="92"/>
      <c r="HF119" s="92"/>
      <c r="HG119" s="92"/>
      <c r="HH119" s="92"/>
      <c r="HI119" s="92"/>
      <c r="HJ119" s="92"/>
      <c r="HK119" s="92"/>
      <c r="HL119" s="92"/>
      <c r="HM119" s="92"/>
      <c r="HN119" s="92"/>
      <c r="HO119" s="92"/>
      <c r="HP119" s="92"/>
      <c r="HQ119" s="92"/>
      <c r="HR119" s="92"/>
      <c r="HS119" s="92"/>
      <c r="HT119" s="92"/>
      <c r="HU119" s="92"/>
      <c r="HV119" s="92"/>
      <c r="HW119" s="92"/>
      <c r="HX119" s="92"/>
      <c r="HY119" s="92"/>
      <c r="HZ119" s="92"/>
      <c r="IA119" s="92"/>
      <c r="IB119" s="92"/>
      <c r="IC119" s="92"/>
      <c r="ID119" s="92"/>
      <c r="IE119" s="92"/>
      <c r="IF119" s="92"/>
      <c r="IG119" s="92"/>
      <c r="IH119" s="92"/>
      <c r="II119" s="92"/>
      <c r="IJ119" s="92"/>
      <c r="IK119" s="92"/>
      <c r="IL119" s="92"/>
      <c r="IM119" s="92"/>
      <c r="IN119" s="92"/>
      <c r="IO119" s="92"/>
      <c r="IP119" s="92"/>
      <c r="IQ119" s="92"/>
      <c r="IR119" s="92"/>
      <c r="IS119" s="92"/>
      <c r="IT119" s="92"/>
      <c r="IU119" s="92"/>
      <c r="IV119" s="92"/>
      <c r="IW119" s="92"/>
      <c r="IX119" s="92"/>
      <c r="IY119" s="92"/>
    </row>
    <row r="120" spans="1:259" x14ac:dyDescent="0.3">
      <c r="A120" s="2" t="s">
        <v>316</v>
      </c>
      <c r="B120" s="7"/>
      <c r="C120" s="2"/>
      <c r="D120" s="2"/>
      <c r="E120" s="2" t="s">
        <v>315</v>
      </c>
      <c r="F120" s="2" t="s">
        <v>60</v>
      </c>
      <c r="G120" s="2" t="s">
        <v>291</v>
      </c>
      <c r="H120" s="2"/>
      <c r="I120" s="2" t="s">
        <v>308</v>
      </c>
      <c r="J120" s="87"/>
      <c r="K120" s="88">
        <f t="shared" si="0"/>
        <v>1</v>
      </c>
      <c r="L120" s="89">
        <v>1</v>
      </c>
      <c r="M120" s="88">
        <f t="shared" si="28"/>
        <v>0</v>
      </c>
      <c r="N120" s="88">
        <f t="shared" si="2"/>
        <v>1</v>
      </c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1"/>
      <c r="AU120" s="30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/>
      <c r="CO120" s="92"/>
      <c r="CP120" s="92"/>
      <c r="CQ120" s="92"/>
      <c r="CR120" s="92"/>
      <c r="CS120" s="92"/>
      <c r="CT120" s="92"/>
      <c r="CU120" s="92"/>
      <c r="CV120" s="92"/>
      <c r="CW120" s="92"/>
      <c r="CX120" s="92"/>
      <c r="CY120" s="92"/>
      <c r="CZ120" s="92"/>
      <c r="DA120" s="92"/>
      <c r="DB120" s="92"/>
      <c r="DC120" s="92"/>
      <c r="DD120" s="92"/>
      <c r="DE120" s="92"/>
      <c r="DF120" s="92"/>
      <c r="DG120" s="92"/>
      <c r="DH120" s="92"/>
      <c r="DI120" s="92"/>
      <c r="DJ120" s="92"/>
      <c r="DK120" s="92"/>
      <c r="DL120" s="92"/>
      <c r="DM120" s="92"/>
      <c r="DN120" s="92"/>
      <c r="DO120" s="92"/>
      <c r="DP120" s="92"/>
      <c r="DQ120" s="92"/>
      <c r="DR120" s="92"/>
      <c r="DS120" s="92"/>
      <c r="DT120" s="92"/>
      <c r="DU120" s="92"/>
      <c r="DV120" s="92"/>
      <c r="DW120" s="92"/>
      <c r="DX120" s="92"/>
      <c r="DY120" s="92"/>
      <c r="DZ120" s="92"/>
      <c r="EA120" s="92"/>
      <c r="EB120" s="92"/>
      <c r="EC120" s="92"/>
      <c r="ED120" s="92"/>
      <c r="EE120" s="92"/>
      <c r="EF120" s="92"/>
      <c r="EG120" s="92"/>
      <c r="EH120" s="92"/>
      <c r="EI120" s="92"/>
      <c r="EJ120" s="92"/>
      <c r="EK120" s="92"/>
      <c r="EL120" s="92"/>
      <c r="EM120" s="92"/>
      <c r="EN120" s="92"/>
      <c r="EO120" s="92"/>
      <c r="EP120" s="92"/>
      <c r="EQ120" s="92"/>
      <c r="ER120" s="92"/>
      <c r="ES120" s="92"/>
      <c r="ET120" s="92"/>
      <c r="EU120" s="92"/>
      <c r="EV120" s="92"/>
      <c r="EW120" s="92"/>
      <c r="EX120" s="92"/>
      <c r="EY120" s="92"/>
      <c r="EZ120" s="92"/>
      <c r="FA120" s="92"/>
      <c r="FB120" s="92"/>
      <c r="FC120" s="92"/>
      <c r="FD120" s="92"/>
      <c r="FE120" s="92"/>
      <c r="FF120" s="92"/>
      <c r="FG120" s="92"/>
      <c r="FH120" s="92"/>
      <c r="FI120" s="92"/>
      <c r="FJ120" s="92"/>
      <c r="FK120" s="92"/>
      <c r="FL120" s="92"/>
      <c r="FM120" s="92"/>
      <c r="FN120" s="92"/>
      <c r="FO120" s="92"/>
      <c r="FP120" s="92"/>
      <c r="FQ120" s="92"/>
      <c r="FR120" s="92"/>
      <c r="FS120" s="92"/>
      <c r="FT120" s="92"/>
      <c r="FU120" s="92"/>
      <c r="FV120" s="92"/>
      <c r="FW120" s="92"/>
      <c r="FX120" s="92"/>
      <c r="FY120" s="92"/>
      <c r="FZ120" s="92"/>
      <c r="GA120" s="92"/>
      <c r="GB120" s="92"/>
      <c r="GC120" s="92"/>
      <c r="GD120" s="92"/>
      <c r="GE120" s="92"/>
      <c r="GF120" s="92"/>
      <c r="GG120" s="92"/>
      <c r="GH120" s="92"/>
      <c r="GI120" s="92"/>
      <c r="GJ120" s="92"/>
      <c r="GK120" s="92"/>
      <c r="GL120" s="92"/>
      <c r="GM120" s="92"/>
      <c r="GN120" s="92"/>
      <c r="GO120" s="92"/>
      <c r="GP120" s="92"/>
      <c r="GQ120" s="92"/>
      <c r="GR120" s="92"/>
      <c r="GS120" s="92"/>
      <c r="GT120" s="92"/>
      <c r="GU120" s="92"/>
      <c r="GV120" s="92"/>
      <c r="GW120" s="92"/>
      <c r="GX120" s="92"/>
      <c r="GY120" s="92"/>
      <c r="GZ120" s="92"/>
      <c r="HA120" s="92"/>
      <c r="HB120" s="92"/>
      <c r="HC120" s="92"/>
      <c r="HD120" s="92"/>
      <c r="HE120" s="92"/>
      <c r="HF120" s="92"/>
      <c r="HG120" s="92"/>
      <c r="HH120" s="92"/>
      <c r="HI120" s="92"/>
      <c r="HJ120" s="92"/>
      <c r="HK120" s="92"/>
      <c r="HL120" s="92"/>
      <c r="HM120" s="92"/>
      <c r="HN120" s="92"/>
      <c r="HO120" s="92"/>
      <c r="HP120" s="92"/>
      <c r="HQ120" s="92"/>
      <c r="HR120" s="92"/>
      <c r="HS120" s="92"/>
      <c r="HT120" s="92"/>
      <c r="HU120" s="92"/>
      <c r="HV120" s="92"/>
      <c r="HW120" s="92"/>
      <c r="HX120" s="92"/>
      <c r="HY120" s="92"/>
      <c r="HZ120" s="92"/>
      <c r="IA120" s="92"/>
      <c r="IB120" s="92"/>
      <c r="IC120" s="92"/>
      <c r="ID120" s="92"/>
      <c r="IE120" s="92"/>
      <c r="IF120" s="92"/>
      <c r="IG120" s="92"/>
      <c r="IH120" s="92"/>
      <c r="II120" s="92"/>
      <c r="IJ120" s="92"/>
      <c r="IK120" s="92"/>
      <c r="IL120" s="92"/>
      <c r="IM120" s="92"/>
      <c r="IN120" s="92"/>
      <c r="IO120" s="92"/>
      <c r="IP120" s="92"/>
      <c r="IQ120" s="92"/>
      <c r="IR120" s="92"/>
      <c r="IS120" s="92"/>
      <c r="IT120" s="92"/>
      <c r="IU120" s="92"/>
      <c r="IV120" s="92"/>
      <c r="IW120" s="92"/>
      <c r="IX120" s="92"/>
      <c r="IY120" s="92"/>
    </row>
    <row r="121" spans="1:259" x14ac:dyDescent="0.3">
      <c r="A121" s="2" t="s">
        <v>314</v>
      </c>
      <c r="B121" s="7"/>
      <c r="C121" s="2"/>
      <c r="D121" s="2"/>
      <c r="E121" s="2" t="s">
        <v>314</v>
      </c>
      <c r="F121" s="2" t="s">
        <v>60</v>
      </c>
      <c r="G121" s="2" t="s">
        <v>291</v>
      </c>
      <c r="H121" s="2"/>
      <c r="I121" s="2" t="s">
        <v>308</v>
      </c>
      <c r="J121" s="87"/>
      <c r="K121" s="88">
        <f t="shared" si="0"/>
        <v>1</v>
      </c>
      <c r="L121" s="89">
        <v>1</v>
      </c>
      <c r="M121" s="88">
        <f t="shared" si="28"/>
        <v>0</v>
      </c>
      <c r="N121" s="88">
        <f t="shared" si="2"/>
        <v>1</v>
      </c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1"/>
      <c r="AU121" s="30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2"/>
      <c r="BY121" s="92"/>
      <c r="BZ121" s="92"/>
      <c r="CA121" s="92"/>
      <c r="CB121" s="92"/>
      <c r="CC121" s="92"/>
      <c r="CD121" s="92"/>
      <c r="CE121" s="92"/>
      <c r="CF121" s="92"/>
      <c r="CG121" s="92"/>
      <c r="CH121" s="92"/>
      <c r="CI121" s="92"/>
      <c r="CJ121" s="92"/>
      <c r="CK121" s="92"/>
      <c r="CL121" s="92"/>
      <c r="CM121" s="92"/>
      <c r="CN121" s="92"/>
      <c r="CO121" s="92"/>
      <c r="CP121" s="92"/>
      <c r="CQ121" s="92"/>
      <c r="CR121" s="92"/>
      <c r="CS121" s="92"/>
      <c r="CT121" s="92"/>
      <c r="CU121" s="92"/>
      <c r="CV121" s="92"/>
      <c r="CW121" s="92"/>
      <c r="CX121" s="92"/>
      <c r="CY121" s="92"/>
      <c r="CZ121" s="92"/>
      <c r="DA121" s="92"/>
      <c r="DB121" s="92"/>
      <c r="DC121" s="92"/>
      <c r="DD121" s="92"/>
      <c r="DE121" s="92"/>
      <c r="DF121" s="92"/>
      <c r="DG121" s="92"/>
      <c r="DH121" s="92"/>
      <c r="DI121" s="92"/>
      <c r="DJ121" s="92"/>
      <c r="DK121" s="92"/>
      <c r="DL121" s="92"/>
      <c r="DM121" s="92"/>
      <c r="DN121" s="92"/>
      <c r="DO121" s="92"/>
      <c r="DP121" s="92"/>
      <c r="DQ121" s="92"/>
      <c r="DR121" s="92"/>
      <c r="DS121" s="92"/>
      <c r="DT121" s="92"/>
      <c r="DU121" s="92"/>
      <c r="DV121" s="92"/>
      <c r="DW121" s="92"/>
      <c r="DX121" s="92"/>
      <c r="DY121" s="92"/>
      <c r="DZ121" s="92"/>
      <c r="EA121" s="92"/>
      <c r="EB121" s="92"/>
      <c r="EC121" s="92"/>
      <c r="ED121" s="92"/>
      <c r="EE121" s="92"/>
      <c r="EF121" s="92"/>
      <c r="EG121" s="92"/>
      <c r="EH121" s="92"/>
      <c r="EI121" s="92"/>
      <c r="EJ121" s="92"/>
      <c r="EK121" s="92"/>
      <c r="EL121" s="92"/>
      <c r="EM121" s="92"/>
      <c r="EN121" s="92"/>
      <c r="EO121" s="92"/>
      <c r="EP121" s="92"/>
      <c r="EQ121" s="92"/>
      <c r="ER121" s="92"/>
      <c r="ES121" s="92"/>
      <c r="ET121" s="92"/>
      <c r="EU121" s="92"/>
      <c r="EV121" s="92"/>
      <c r="EW121" s="92"/>
      <c r="EX121" s="92"/>
      <c r="EY121" s="92"/>
      <c r="EZ121" s="92"/>
      <c r="FA121" s="92"/>
      <c r="FB121" s="92"/>
      <c r="FC121" s="92"/>
      <c r="FD121" s="92"/>
      <c r="FE121" s="92"/>
      <c r="FF121" s="92"/>
      <c r="FG121" s="92"/>
      <c r="FH121" s="92"/>
      <c r="FI121" s="92"/>
      <c r="FJ121" s="92"/>
      <c r="FK121" s="92"/>
      <c r="FL121" s="92"/>
      <c r="FM121" s="92"/>
      <c r="FN121" s="92"/>
      <c r="FO121" s="92"/>
      <c r="FP121" s="92"/>
      <c r="FQ121" s="92"/>
      <c r="FR121" s="92"/>
      <c r="FS121" s="92"/>
      <c r="FT121" s="92"/>
      <c r="FU121" s="92"/>
      <c r="FV121" s="92"/>
      <c r="FW121" s="92"/>
      <c r="FX121" s="92"/>
      <c r="FY121" s="92"/>
      <c r="FZ121" s="92"/>
      <c r="GA121" s="92"/>
      <c r="GB121" s="92"/>
      <c r="GC121" s="92"/>
      <c r="GD121" s="92"/>
      <c r="GE121" s="92"/>
      <c r="GF121" s="92"/>
      <c r="GG121" s="92"/>
      <c r="GH121" s="92"/>
      <c r="GI121" s="92"/>
      <c r="GJ121" s="92"/>
      <c r="GK121" s="92"/>
      <c r="GL121" s="92"/>
      <c r="GM121" s="92"/>
      <c r="GN121" s="92"/>
      <c r="GO121" s="92"/>
      <c r="GP121" s="92"/>
      <c r="GQ121" s="92"/>
      <c r="GR121" s="92"/>
      <c r="GS121" s="92"/>
      <c r="GT121" s="92"/>
      <c r="GU121" s="92"/>
      <c r="GV121" s="92"/>
      <c r="GW121" s="92"/>
      <c r="GX121" s="92"/>
      <c r="GY121" s="92"/>
      <c r="GZ121" s="92"/>
      <c r="HA121" s="92"/>
      <c r="HB121" s="92"/>
      <c r="HC121" s="92"/>
      <c r="HD121" s="92"/>
      <c r="HE121" s="92"/>
      <c r="HF121" s="92"/>
      <c r="HG121" s="92"/>
      <c r="HH121" s="92"/>
      <c r="HI121" s="92"/>
      <c r="HJ121" s="92"/>
      <c r="HK121" s="92"/>
      <c r="HL121" s="92"/>
      <c r="HM121" s="92"/>
      <c r="HN121" s="92"/>
      <c r="HO121" s="92"/>
      <c r="HP121" s="92"/>
      <c r="HQ121" s="92"/>
      <c r="HR121" s="92"/>
      <c r="HS121" s="92"/>
      <c r="HT121" s="92"/>
      <c r="HU121" s="92"/>
      <c r="HV121" s="92"/>
      <c r="HW121" s="92"/>
      <c r="HX121" s="92"/>
      <c r="HY121" s="92"/>
      <c r="HZ121" s="92"/>
      <c r="IA121" s="92"/>
      <c r="IB121" s="92"/>
      <c r="IC121" s="92"/>
      <c r="ID121" s="92"/>
      <c r="IE121" s="92"/>
      <c r="IF121" s="92"/>
      <c r="IG121" s="92"/>
      <c r="IH121" s="92"/>
      <c r="II121" s="92"/>
      <c r="IJ121" s="92"/>
      <c r="IK121" s="92"/>
      <c r="IL121" s="92"/>
      <c r="IM121" s="92"/>
      <c r="IN121" s="92"/>
      <c r="IO121" s="92"/>
      <c r="IP121" s="92"/>
      <c r="IQ121" s="92"/>
      <c r="IR121" s="92"/>
      <c r="IS121" s="92"/>
      <c r="IT121" s="92"/>
      <c r="IU121" s="92"/>
      <c r="IV121" s="92"/>
      <c r="IW121" s="92"/>
      <c r="IX121" s="92"/>
      <c r="IY121" s="92"/>
    </row>
    <row r="122" spans="1:259" x14ac:dyDescent="0.3">
      <c r="A122" s="2" t="s">
        <v>317</v>
      </c>
      <c r="B122" s="7"/>
      <c r="C122" s="2"/>
      <c r="D122" s="2"/>
      <c r="E122" s="2" t="s">
        <v>317</v>
      </c>
      <c r="F122" s="2" t="s">
        <v>60</v>
      </c>
      <c r="G122" s="2" t="s">
        <v>291</v>
      </c>
      <c r="H122" s="2"/>
      <c r="I122" s="2" t="s">
        <v>308</v>
      </c>
      <c r="J122" s="87"/>
      <c r="K122" s="88">
        <f t="shared" si="0"/>
        <v>6</v>
      </c>
      <c r="L122" s="89">
        <v>6</v>
      </c>
      <c r="M122" s="88">
        <f t="shared" si="28"/>
        <v>0</v>
      </c>
      <c r="N122" s="88">
        <f t="shared" si="2"/>
        <v>6</v>
      </c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1"/>
      <c r="AU122" s="30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92"/>
      <c r="CY122" s="92"/>
      <c r="CZ122" s="92"/>
      <c r="DA122" s="92"/>
      <c r="DB122" s="92"/>
      <c r="DC122" s="92"/>
      <c r="DD122" s="92"/>
      <c r="DE122" s="92"/>
      <c r="DF122" s="92"/>
      <c r="DG122" s="92"/>
      <c r="DH122" s="92"/>
      <c r="DI122" s="92"/>
      <c r="DJ122" s="92"/>
      <c r="DK122" s="92"/>
      <c r="DL122" s="92"/>
      <c r="DM122" s="92"/>
      <c r="DN122" s="92"/>
      <c r="DO122" s="92"/>
      <c r="DP122" s="92"/>
      <c r="DQ122" s="92"/>
      <c r="DR122" s="92"/>
      <c r="DS122" s="92"/>
      <c r="DT122" s="92"/>
      <c r="DU122" s="92"/>
      <c r="DV122" s="92"/>
      <c r="DW122" s="92"/>
      <c r="DX122" s="92"/>
      <c r="DY122" s="92"/>
      <c r="DZ122" s="92"/>
      <c r="EA122" s="92"/>
      <c r="EB122" s="92"/>
      <c r="EC122" s="92"/>
      <c r="ED122" s="92"/>
      <c r="EE122" s="92"/>
      <c r="EF122" s="92"/>
      <c r="EG122" s="92"/>
      <c r="EH122" s="92"/>
      <c r="EI122" s="92"/>
      <c r="EJ122" s="92"/>
      <c r="EK122" s="92"/>
      <c r="EL122" s="92"/>
      <c r="EM122" s="92"/>
      <c r="EN122" s="92"/>
      <c r="EO122" s="92"/>
      <c r="EP122" s="92"/>
      <c r="EQ122" s="92"/>
      <c r="ER122" s="92"/>
      <c r="ES122" s="92"/>
      <c r="ET122" s="92"/>
      <c r="EU122" s="92"/>
      <c r="EV122" s="92"/>
      <c r="EW122" s="92"/>
      <c r="EX122" s="92"/>
      <c r="EY122" s="92"/>
      <c r="EZ122" s="92"/>
      <c r="FA122" s="92"/>
      <c r="FB122" s="92"/>
      <c r="FC122" s="92"/>
      <c r="FD122" s="92"/>
      <c r="FE122" s="92"/>
      <c r="FF122" s="92"/>
      <c r="FG122" s="92"/>
      <c r="FH122" s="92"/>
      <c r="FI122" s="92"/>
      <c r="FJ122" s="92"/>
      <c r="FK122" s="92"/>
      <c r="FL122" s="92"/>
      <c r="FM122" s="92"/>
      <c r="FN122" s="92"/>
      <c r="FO122" s="92"/>
      <c r="FP122" s="92"/>
      <c r="FQ122" s="92"/>
      <c r="FR122" s="92"/>
      <c r="FS122" s="92"/>
      <c r="FT122" s="92"/>
      <c r="FU122" s="92"/>
      <c r="FV122" s="92"/>
      <c r="FW122" s="92"/>
      <c r="FX122" s="92"/>
      <c r="FY122" s="92"/>
      <c r="FZ122" s="92"/>
      <c r="GA122" s="92"/>
      <c r="GB122" s="92"/>
      <c r="GC122" s="92"/>
      <c r="GD122" s="92"/>
      <c r="GE122" s="92"/>
      <c r="GF122" s="92"/>
      <c r="GG122" s="92"/>
      <c r="GH122" s="92"/>
      <c r="GI122" s="92"/>
      <c r="GJ122" s="92"/>
      <c r="GK122" s="92"/>
      <c r="GL122" s="92"/>
      <c r="GM122" s="92"/>
      <c r="GN122" s="92"/>
      <c r="GO122" s="92"/>
      <c r="GP122" s="92"/>
      <c r="GQ122" s="92"/>
      <c r="GR122" s="92"/>
      <c r="GS122" s="92"/>
      <c r="GT122" s="92"/>
      <c r="GU122" s="92"/>
      <c r="GV122" s="92"/>
      <c r="GW122" s="92"/>
      <c r="GX122" s="92"/>
      <c r="GY122" s="92"/>
      <c r="GZ122" s="92"/>
      <c r="HA122" s="92"/>
      <c r="HB122" s="92"/>
      <c r="HC122" s="92"/>
      <c r="HD122" s="92"/>
      <c r="HE122" s="92"/>
      <c r="HF122" s="92"/>
      <c r="HG122" s="92"/>
      <c r="HH122" s="92"/>
      <c r="HI122" s="92"/>
      <c r="HJ122" s="92"/>
      <c r="HK122" s="92"/>
      <c r="HL122" s="92"/>
      <c r="HM122" s="92"/>
      <c r="HN122" s="92"/>
      <c r="HO122" s="92"/>
      <c r="HP122" s="92"/>
      <c r="HQ122" s="92"/>
      <c r="HR122" s="92"/>
      <c r="HS122" s="92"/>
      <c r="HT122" s="92"/>
      <c r="HU122" s="92"/>
      <c r="HV122" s="92"/>
      <c r="HW122" s="92"/>
      <c r="HX122" s="92"/>
      <c r="HY122" s="92"/>
      <c r="HZ122" s="92"/>
      <c r="IA122" s="92"/>
      <c r="IB122" s="92"/>
      <c r="IC122" s="92"/>
      <c r="ID122" s="92"/>
      <c r="IE122" s="92"/>
      <c r="IF122" s="92"/>
      <c r="IG122" s="92"/>
      <c r="IH122" s="92"/>
      <c r="II122" s="92"/>
      <c r="IJ122" s="92"/>
      <c r="IK122" s="92"/>
      <c r="IL122" s="92"/>
      <c r="IM122" s="92"/>
      <c r="IN122" s="92"/>
      <c r="IO122" s="92"/>
      <c r="IP122" s="92"/>
      <c r="IQ122" s="92"/>
      <c r="IR122" s="92"/>
      <c r="IS122" s="92"/>
      <c r="IT122" s="92"/>
      <c r="IU122" s="92"/>
      <c r="IV122" s="92"/>
      <c r="IW122" s="92"/>
      <c r="IX122" s="92"/>
      <c r="IY122" s="92"/>
    </row>
    <row r="123" spans="1:259" x14ac:dyDescent="0.3">
      <c r="A123" s="2" t="s">
        <v>318</v>
      </c>
      <c r="B123" s="7"/>
      <c r="C123" s="2"/>
      <c r="D123" s="2"/>
      <c r="E123" s="7" t="s">
        <v>318</v>
      </c>
      <c r="F123" s="2" t="s">
        <v>60</v>
      </c>
      <c r="G123" s="2" t="s">
        <v>291</v>
      </c>
      <c r="H123" s="2"/>
      <c r="I123" s="2" t="s">
        <v>308</v>
      </c>
      <c r="J123" s="87"/>
      <c r="K123" s="88">
        <f t="shared" si="0"/>
        <v>3</v>
      </c>
      <c r="L123" s="89">
        <v>3</v>
      </c>
      <c r="M123" s="88">
        <f t="shared" si="28"/>
        <v>0</v>
      </c>
      <c r="N123" s="88">
        <f t="shared" si="2"/>
        <v>3</v>
      </c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1"/>
      <c r="AU123" s="30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2"/>
      <c r="DQ123" s="92"/>
      <c r="DR123" s="92"/>
      <c r="DS123" s="92"/>
      <c r="DT123" s="92"/>
      <c r="DU123" s="92"/>
      <c r="DV123" s="92"/>
      <c r="DW123" s="92"/>
      <c r="DX123" s="92"/>
      <c r="DY123" s="92"/>
      <c r="DZ123" s="92"/>
      <c r="EA123" s="92"/>
      <c r="EB123" s="92"/>
      <c r="EC123" s="92"/>
      <c r="ED123" s="92"/>
      <c r="EE123" s="92"/>
      <c r="EF123" s="92"/>
      <c r="EG123" s="92"/>
      <c r="EH123" s="92"/>
      <c r="EI123" s="92"/>
      <c r="EJ123" s="92"/>
      <c r="EK123" s="92"/>
      <c r="EL123" s="92"/>
      <c r="EM123" s="92"/>
      <c r="EN123" s="92"/>
      <c r="EO123" s="92"/>
      <c r="EP123" s="92"/>
      <c r="EQ123" s="92"/>
      <c r="ER123" s="92"/>
      <c r="ES123" s="92"/>
      <c r="ET123" s="92"/>
      <c r="EU123" s="92"/>
      <c r="EV123" s="92"/>
      <c r="EW123" s="92"/>
      <c r="EX123" s="92"/>
      <c r="EY123" s="92"/>
      <c r="EZ123" s="92"/>
      <c r="FA123" s="92"/>
      <c r="FB123" s="92"/>
      <c r="FC123" s="92"/>
      <c r="FD123" s="92"/>
      <c r="FE123" s="92"/>
      <c r="FF123" s="92"/>
      <c r="FG123" s="92"/>
      <c r="FH123" s="92"/>
      <c r="FI123" s="92"/>
      <c r="FJ123" s="92"/>
      <c r="FK123" s="92"/>
      <c r="FL123" s="92"/>
      <c r="FM123" s="92"/>
      <c r="FN123" s="92"/>
      <c r="FO123" s="92"/>
      <c r="FP123" s="92"/>
      <c r="FQ123" s="92"/>
      <c r="FR123" s="92"/>
      <c r="FS123" s="92"/>
      <c r="FT123" s="92"/>
      <c r="FU123" s="92"/>
      <c r="FV123" s="92"/>
      <c r="FW123" s="92"/>
      <c r="FX123" s="92"/>
      <c r="FY123" s="92"/>
      <c r="FZ123" s="92"/>
      <c r="GA123" s="92"/>
      <c r="GB123" s="92"/>
      <c r="GC123" s="92"/>
      <c r="GD123" s="92"/>
      <c r="GE123" s="92"/>
      <c r="GF123" s="92"/>
      <c r="GG123" s="92"/>
      <c r="GH123" s="92"/>
      <c r="GI123" s="92"/>
      <c r="GJ123" s="92"/>
      <c r="GK123" s="92"/>
      <c r="GL123" s="92"/>
      <c r="GM123" s="92"/>
      <c r="GN123" s="92"/>
      <c r="GO123" s="92"/>
      <c r="GP123" s="92"/>
      <c r="GQ123" s="92"/>
      <c r="GR123" s="92"/>
      <c r="GS123" s="92"/>
      <c r="GT123" s="92"/>
      <c r="GU123" s="92"/>
      <c r="GV123" s="92"/>
      <c r="GW123" s="92"/>
      <c r="GX123" s="92"/>
      <c r="GY123" s="92"/>
      <c r="GZ123" s="92"/>
      <c r="HA123" s="92"/>
      <c r="HB123" s="92"/>
      <c r="HC123" s="92"/>
      <c r="HD123" s="92"/>
      <c r="HE123" s="92"/>
      <c r="HF123" s="92"/>
      <c r="HG123" s="92"/>
      <c r="HH123" s="92"/>
      <c r="HI123" s="92"/>
      <c r="HJ123" s="92"/>
      <c r="HK123" s="92"/>
      <c r="HL123" s="92"/>
      <c r="HM123" s="92"/>
      <c r="HN123" s="92"/>
      <c r="HO123" s="92"/>
      <c r="HP123" s="92"/>
      <c r="HQ123" s="92"/>
      <c r="HR123" s="92"/>
      <c r="HS123" s="92"/>
      <c r="HT123" s="92"/>
      <c r="HU123" s="92"/>
      <c r="HV123" s="92"/>
      <c r="HW123" s="92"/>
      <c r="HX123" s="92"/>
      <c r="HY123" s="92"/>
      <c r="HZ123" s="92"/>
      <c r="IA123" s="92"/>
      <c r="IB123" s="92"/>
      <c r="IC123" s="92"/>
      <c r="ID123" s="92"/>
      <c r="IE123" s="92"/>
      <c r="IF123" s="92"/>
      <c r="IG123" s="92"/>
      <c r="IH123" s="92"/>
      <c r="II123" s="92"/>
      <c r="IJ123" s="92"/>
      <c r="IK123" s="92"/>
      <c r="IL123" s="92"/>
      <c r="IM123" s="92"/>
      <c r="IN123" s="92"/>
      <c r="IO123" s="92"/>
      <c r="IP123" s="92"/>
      <c r="IQ123" s="92"/>
      <c r="IR123" s="92"/>
      <c r="IS123" s="92"/>
      <c r="IT123" s="92"/>
      <c r="IU123" s="92"/>
      <c r="IV123" s="92"/>
      <c r="IW123" s="92"/>
      <c r="IX123" s="92"/>
      <c r="IY123" s="92"/>
    </row>
    <row r="124" spans="1:259" x14ac:dyDescent="0.3">
      <c r="A124" s="2" t="s">
        <v>325</v>
      </c>
      <c r="B124" s="7"/>
      <c r="C124" s="2"/>
      <c r="D124" s="2"/>
      <c r="E124" s="7" t="s">
        <v>325</v>
      </c>
      <c r="F124" s="2" t="s">
        <v>60</v>
      </c>
      <c r="G124" s="2" t="s">
        <v>291</v>
      </c>
      <c r="H124" s="2"/>
      <c r="I124" s="2" t="s">
        <v>308</v>
      </c>
      <c r="J124" s="87"/>
      <c r="K124" s="88">
        <f t="shared" si="0"/>
        <v>2</v>
      </c>
      <c r="L124" s="89">
        <v>2</v>
      </c>
      <c r="M124" s="88">
        <f t="shared" si="28"/>
        <v>0</v>
      </c>
      <c r="N124" s="88">
        <f t="shared" si="2"/>
        <v>2</v>
      </c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1"/>
      <c r="AU124" s="30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  <c r="CV124" s="92"/>
      <c r="CW124" s="92"/>
      <c r="CX124" s="92"/>
      <c r="CY124" s="92"/>
      <c r="CZ124" s="92"/>
      <c r="DA124" s="92"/>
      <c r="DB124" s="92"/>
      <c r="DC124" s="92"/>
      <c r="DD124" s="92"/>
      <c r="DE124" s="92"/>
      <c r="DF124" s="92"/>
      <c r="DG124" s="92"/>
      <c r="DH124" s="92"/>
      <c r="DI124" s="92"/>
      <c r="DJ124" s="92"/>
      <c r="DK124" s="92"/>
      <c r="DL124" s="92"/>
      <c r="DM124" s="92"/>
      <c r="DN124" s="92"/>
      <c r="DO124" s="92"/>
      <c r="DP124" s="92"/>
      <c r="DQ124" s="92"/>
      <c r="DR124" s="92"/>
      <c r="DS124" s="92"/>
      <c r="DT124" s="92"/>
      <c r="DU124" s="92"/>
      <c r="DV124" s="92"/>
      <c r="DW124" s="92"/>
      <c r="DX124" s="92"/>
      <c r="DY124" s="92"/>
      <c r="DZ124" s="92"/>
      <c r="EA124" s="92"/>
      <c r="EB124" s="92"/>
      <c r="EC124" s="92"/>
      <c r="ED124" s="92"/>
      <c r="EE124" s="92"/>
      <c r="EF124" s="92"/>
      <c r="EG124" s="92"/>
      <c r="EH124" s="92"/>
      <c r="EI124" s="92"/>
      <c r="EJ124" s="92"/>
      <c r="EK124" s="92"/>
      <c r="EL124" s="92"/>
      <c r="EM124" s="92"/>
      <c r="EN124" s="92"/>
      <c r="EO124" s="92"/>
      <c r="EP124" s="92"/>
      <c r="EQ124" s="92"/>
      <c r="ER124" s="92"/>
      <c r="ES124" s="92"/>
      <c r="ET124" s="92"/>
      <c r="EU124" s="92"/>
      <c r="EV124" s="92"/>
      <c r="EW124" s="92"/>
      <c r="EX124" s="92"/>
      <c r="EY124" s="92"/>
      <c r="EZ124" s="92"/>
      <c r="FA124" s="92"/>
      <c r="FB124" s="92"/>
      <c r="FC124" s="92"/>
      <c r="FD124" s="92"/>
      <c r="FE124" s="92"/>
      <c r="FF124" s="92"/>
      <c r="FG124" s="92"/>
      <c r="FH124" s="92"/>
      <c r="FI124" s="92"/>
      <c r="FJ124" s="92"/>
      <c r="FK124" s="92"/>
      <c r="FL124" s="92"/>
      <c r="FM124" s="92"/>
      <c r="FN124" s="92"/>
      <c r="FO124" s="92"/>
      <c r="FP124" s="92"/>
      <c r="FQ124" s="92"/>
      <c r="FR124" s="92"/>
      <c r="FS124" s="92"/>
      <c r="FT124" s="92"/>
      <c r="FU124" s="92"/>
      <c r="FV124" s="92"/>
      <c r="FW124" s="92"/>
      <c r="FX124" s="92"/>
      <c r="FY124" s="92"/>
      <c r="FZ124" s="92"/>
      <c r="GA124" s="92"/>
      <c r="GB124" s="92"/>
      <c r="GC124" s="92"/>
      <c r="GD124" s="92"/>
      <c r="GE124" s="92"/>
      <c r="GF124" s="92"/>
      <c r="GG124" s="92"/>
      <c r="GH124" s="92"/>
      <c r="GI124" s="92"/>
      <c r="GJ124" s="92"/>
      <c r="GK124" s="92"/>
      <c r="GL124" s="92"/>
      <c r="GM124" s="92"/>
      <c r="GN124" s="92"/>
      <c r="GO124" s="92"/>
      <c r="GP124" s="92"/>
      <c r="GQ124" s="92"/>
      <c r="GR124" s="92"/>
      <c r="GS124" s="92"/>
      <c r="GT124" s="92"/>
      <c r="GU124" s="92"/>
      <c r="GV124" s="92"/>
      <c r="GW124" s="92"/>
      <c r="GX124" s="92"/>
      <c r="GY124" s="92"/>
      <c r="GZ124" s="92"/>
      <c r="HA124" s="92"/>
      <c r="HB124" s="92"/>
      <c r="HC124" s="92"/>
      <c r="HD124" s="92"/>
      <c r="HE124" s="92"/>
      <c r="HF124" s="92"/>
      <c r="HG124" s="92"/>
      <c r="HH124" s="92"/>
      <c r="HI124" s="92"/>
      <c r="HJ124" s="92"/>
      <c r="HK124" s="92"/>
      <c r="HL124" s="92"/>
      <c r="HM124" s="92"/>
      <c r="HN124" s="92"/>
      <c r="HO124" s="92"/>
      <c r="HP124" s="92"/>
      <c r="HQ124" s="92"/>
      <c r="HR124" s="92"/>
      <c r="HS124" s="92"/>
      <c r="HT124" s="92"/>
      <c r="HU124" s="92"/>
      <c r="HV124" s="92"/>
      <c r="HW124" s="92"/>
      <c r="HX124" s="92"/>
      <c r="HY124" s="92"/>
      <c r="HZ124" s="92"/>
      <c r="IA124" s="92"/>
      <c r="IB124" s="92"/>
      <c r="IC124" s="92"/>
      <c r="ID124" s="92"/>
      <c r="IE124" s="92"/>
      <c r="IF124" s="92"/>
      <c r="IG124" s="92"/>
      <c r="IH124" s="92"/>
      <c r="II124" s="92"/>
      <c r="IJ124" s="92"/>
      <c r="IK124" s="92"/>
      <c r="IL124" s="92"/>
      <c r="IM124" s="92"/>
      <c r="IN124" s="92"/>
      <c r="IO124" s="92"/>
      <c r="IP124" s="92"/>
      <c r="IQ124" s="92"/>
      <c r="IR124" s="92"/>
      <c r="IS124" s="92"/>
      <c r="IT124" s="92"/>
      <c r="IU124" s="92"/>
      <c r="IV124" s="92"/>
      <c r="IW124" s="92"/>
      <c r="IX124" s="92"/>
      <c r="IY124" s="92"/>
    </row>
    <row r="125" spans="1:259" x14ac:dyDescent="0.3">
      <c r="A125" s="2" t="s">
        <v>326</v>
      </c>
      <c r="B125" s="7"/>
      <c r="C125" s="2"/>
      <c r="D125" s="2"/>
      <c r="E125" s="7" t="s">
        <v>326</v>
      </c>
      <c r="F125" s="2" t="s">
        <v>60</v>
      </c>
      <c r="G125" s="2" t="s">
        <v>291</v>
      </c>
      <c r="H125" s="2"/>
      <c r="I125" s="2" t="s">
        <v>308</v>
      </c>
      <c r="J125" s="87"/>
      <c r="K125" s="88">
        <f t="shared" si="0"/>
        <v>5</v>
      </c>
      <c r="L125" s="89">
        <v>5</v>
      </c>
      <c r="M125" s="88">
        <f t="shared" si="28"/>
        <v>0</v>
      </c>
      <c r="N125" s="88">
        <f t="shared" si="2"/>
        <v>5</v>
      </c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1"/>
      <c r="AU125" s="30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2"/>
      <c r="BY125" s="92"/>
      <c r="BZ125" s="92"/>
      <c r="CA125" s="92"/>
      <c r="CB125" s="92"/>
      <c r="CC125" s="92"/>
      <c r="CD125" s="92"/>
      <c r="CE125" s="92"/>
      <c r="CF125" s="92"/>
      <c r="CG125" s="92"/>
      <c r="CH125" s="92"/>
      <c r="CI125" s="92"/>
      <c r="CJ125" s="92"/>
      <c r="CK125" s="92"/>
      <c r="CL125" s="92"/>
      <c r="CM125" s="92"/>
      <c r="CN125" s="92"/>
      <c r="CO125" s="92"/>
      <c r="CP125" s="92"/>
      <c r="CQ125" s="92"/>
      <c r="CR125" s="92"/>
      <c r="CS125" s="92"/>
      <c r="CT125" s="92"/>
      <c r="CU125" s="92"/>
      <c r="CV125" s="92"/>
      <c r="CW125" s="92"/>
      <c r="CX125" s="92"/>
      <c r="CY125" s="92"/>
      <c r="CZ125" s="92"/>
      <c r="DA125" s="92"/>
      <c r="DB125" s="92"/>
      <c r="DC125" s="92"/>
      <c r="DD125" s="92"/>
      <c r="DE125" s="92"/>
      <c r="DF125" s="92"/>
      <c r="DG125" s="92"/>
      <c r="DH125" s="92"/>
      <c r="DI125" s="92"/>
      <c r="DJ125" s="92"/>
      <c r="DK125" s="92"/>
      <c r="DL125" s="92"/>
      <c r="DM125" s="92"/>
      <c r="DN125" s="92"/>
      <c r="DO125" s="92"/>
      <c r="DP125" s="92"/>
      <c r="DQ125" s="92"/>
      <c r="DR125" s="92"/>
      <c r="DS125" s="92"/>
      <c r="DT125" s="92"/>
      <c r="DU125" s="92"/>
      <c r="DV125" s="92"/>
      <c r="DW125" s="92"/>
      <c r="DX125" s="92"/>
      <c r="DY125" s="92"/>
      <c r="DZ125" s="92"/>
      <c r="EA125" s="92"/>
      <c r="EB125" s="92"/>
      <c r="EC125" s="92"/>
      <c r="ED125" s="92"/>
      <c r="EE125" s="92"/>
      <c r="EF125" s="92"/>
      <c r="EG125" s="92"/>
      <c r="EH125" s="92"/>
      <c r="EI125" s="92"/>
      <c r="EJ125" s="92"/>
      <c r="EK125" s="92"/>
      <c r="EL125" s="92"/>
      <c r="EM125" s="92"/>
      <c r="EN125" s="92"/>
      <c r="EO125" s="92"/>
      <c r="EP125" s="92"/>
      <c r="EQ125" s="92"/>
      <c r="ER125" s="92"/>
      <c r="ES125" s="92"/>
      <c r="ET125" s="92"/>
      <c r="EU125" s="92"/>
      <c r="EV125" s="92"/>
      <c r="EW125" s="92"/>
      <c r="EX125" s="92"/>
      <c r="EY125" s="92"/>
      <c r="EZ125" s="92"/>
      <c r="FA125" s="92"/>
      <c r="FB125" s="92"/>
      <c r="FC125" s="92"/>
      <c r="FD125" s="92"/>
      <c r="FE125" s="92"/>
      <c r="FF125" s="92"/>
      <c r="FG125" s="92"/>
      <c r="FH125" s="92"/>
      <c r="FI125" s="92"/>
      <c r="FJ125" s="92"/>
      <c r="FK125" s="92"/>
      <c r="FL125" s="92"/>
      <c r="FM125" s="92"/>
      <c r="FN125" s="92"/>
      <c r="FO125" s="92"/>
      <c r="FP125" s="92"/>
      <c r="FQ125" s="92"/>
      <c r="FR125" s="92"/>
      <c r="FS125" s="92"/>
      <c r="FT125" s="92"/>
      <c r="FU125" s="92"/>
      <c r="FV125" s="92"/>
      <c r="FW125" s="92"/>
      <c r="FX125" s="92"/>
      <c r="FY125" s="92"/>
      <c r="FZ125" s="92"/>
      <c r="GA125" s="92"/>
      <c r="GB125" s="92"/>
      <c r="GC125" s="92"/>
      <c r="GD125" s="92"/>
      <c r="GE125" s="92"/>
      <c r="GF125" s="92"/>
      <c r="GG125" s="92"/>
      <c r="GH125" s="92"/>
      <c r="GI125" s="92"/>
      <c r="GJ125" s="92"/>
      <c r="GK125" s="92"/>
      <c r="GL125" s="92"/>
      <c r="GM125" s="92"/>
      <c r="GN125" s="92"/>
      <c r="GO125" s="92"/>
      <c r="GP125" s="92"/>
      <c r="GQ125" s="92"/>
      <c r="GR125" s="92"/>
      <c r="GS125" s="92"/>
      <c r="GT125" s="92"/>
      <c r="GU125" s="92"/>
      <c r="GV125" s="92"/>
      <c r="GW125" s="92"/>
      <c r="GX125" s="92"/>
      <c r="GY125" s="92"/>
      <c r="GZ125" s="92"/>
      <c r="HA125" s="92"/>
      <c r="HB125" s="92"/>
      <c r="HC125" s="92"/>
      <c r="HD125" s="92"/>
      <c r="HE125" s="92"/>
      <c r="HF125" s="92"/>
      <c r="HG125" s="92"/>
      <c r="HH125" s="92"/>
      <c r="HI125" s="92"/>
      <c r="HJ125" s="92"/>
      <c r="HK125" s="92"/>
      <c r="HL125" s="92"/>
      <c r="HM125" s="92"/>
      <c r="HN125" s="92"/>
      <c r="HO125" s="92"/>
      <c r="HP125" s="92"/>
      <c r="HQ125" s="92"/>
      <c r="HR125" s="92"/>
      <c r="HS125" s="92"/>
      <c r="HT125" s="92"/>
      <c r="HU125" s="92"/>
      <c r="HV125" s="92"/>
      <c r="HW125" s="92"/>
      <c r="HX125" s="92"/>
      <c r="HY125" s="92"/>
      <c r="HZ125" s="92"/>
      <c r="IA125" s="92"/>
      <c r="IB125" s="92"/>
      <c r="IC125" s="92"/>
      <c r="ID125" s="92"/>
      <c r="IE125" s="92"/>
      <c r="IF125" s="92"/>
      <c r="IG125" s="92"/>
      <c r="IH125" s="92"/>
      <c r="II125" s="92"/>
      <c r="IJ125" s="92"/>
      <c r="IK125" s="92"/>
      <c r="IL125" s="92"/>
      <c r="IM125" s="92"/>
      <c r="IN125" s="92"/>
      <c r="IO125" s="92"/>
      <c r="IP125" s="92"/>
      <c r="IQ125" s="92"/>
      <c r="IR125" s="92"/>
      <c r="IS125" s="92"/>
      <c r="IT125" s="92"/>
      <c r="IU125" s="92"/>
      <c r="IV125" s="92"/>
      <c r="IW125" s="92"/>
      <c r="IX125" s="92"/>
      <c r="IY125" s="92"/>
    </row>
    <row r="126" spans="1:259" x14ac:dyDescent="0.3">
      <c r="A126" s="2" t="s">
        <v>327</v>
      </c>
      <c r="B126" s="7"/>
      <c r="C126" s="2"/>
      <c r="D126" s="2"/>
      <c r="E126" s="7" t="s">
        <v>327</v>
      </c>
      <c r="F126" s="2" t="s">
        <v>60</v>
      </c>
      <c r="G126" s="2" t="s">
        <v>291</v>
      </c>
      <c r="H126" s="4"/>
      <c r="I126" s="4" t="s">
        <v>308</v>
      </c>
      <c r="J126" s="94"/>
      <c r="K126" s="88">
        <f t="shared" si="0"/>
        <v>4</v>
      </c>
      <c r="L126" s="89">
        <v>4</v>
      </c>
      <c r="M126" s="88">
        <f t="shared" si="28"/>
        <v>0</v>
      </c>
      <c r="N126" s="88">
        <f t="shared" si="2"/>
        <v>4</v>
      </c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1"/>
      <c r="AU126" s="30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2"/>
      <c r="BY126" s="92"/>
      <c r="BZ126" s="92"/>
      <c r="CA126" s="92"/>
      <c r="CB126" s="92"/>
      <c r="CC126" s="92"/>
      <c r="CD126" s="92"/>
      <c r="CE126" s="92"/>
      <c r="CF126" s="92"/>
      <c r="CG126" s="92"/>
      <c r="CH126" s="92"/>
      <c r="CI126" s="92"/>
      <c r="CJ126" s="92"/>
      <c r="CK126" s="92"/>
      <c r="CL126" s="92"/>
      <c r="CM126" s="92"/>
      <c r="CN126" s="92"/>
      <c r="CO126" s="92"/>
      <c r="CP126" s="92"/>
      <c r="CQ126" s="92"/>
      <c r="CR126" s="92"/>
      <c r="CS126" s="92"/>
      <c r="CT126" s="92"/>
      <c r="CU126" s="92"/>
      <c r="CV126" s="92"/>
      <c r="CW126" s="92"/>
      <c r="CX126" s="92"/>
      <c r="CY126" s="92"/>
      <c r="CZ126" s="92"/>
      <c r="DA126" s="92"/>
      <c r="DB126" s="92"/>
      <c r="DC126" s="92"/>
      <c r="DD126" s="92"/>
      <c r="DE126" s="92"/>
      <c r="DF126" s="92"/>
      <c r="DG126" s="92"/>
      <c r="DH126" s="92"/>
      <c r="DI126" s="92"/>
      <c r="DJ126" s="92"/>
      <c r="DK126" s="92"/>
      <c r="DL126" s="92"/>
      <c r="DM126" s="92"/>
      <c r="DN126" s="92"/>
      <c r="DO126" s="92"/>
      <c r="DP126" s="92"/>
      <c r="DQ126" s="92"/>
      <c r="DR126" s="92"/>
      <c r="DS126" s="92"/>
      <c r="DT126" s="92"/>
      <c r="DU126" s="92"/>
      <c r="DV126" s="92"/>
      <c r="DW126" s="92"/>
      <c r="DX126" s="92"/>
      <c r="DY126" s="92"/>
      <c r="DZ126" s="92"/>
      <c r="EA126" s="92"/>
      <c r="EB126" s="92"/>
      <c r="EC126" s="92"/>
      <c r="ED126" s="92"/>
      <c r="EE126" s="92"/>
      <c r="EF126" s="92"/>
      <c r="EG126" s="92"/>
      <c r="EH126" s="92"/>
      <c r="EI126" s="92"/>
      <c r="EJ126" s="92"/>
      <c r="EK126" s="92"/>
      <c r="EL126" s="92"/>
      <c r="EM126" s="92"/>
      <c r="EN126" s="92"/>
      <c r="EO126" s="92"/>
      <c r="EP126" s="92"/>
      <c r="EQ126" s="92"/>
      <c r="ER126" s="92"/>
      <c r="ES126" s="92"/>
      <c r="ET126" s="92"/>
      <c r="EU126" s="92"/>
      <c r="EV126" s="92"/>
      <c r="EW126" s="92"/>
      <c r="EX126" s="92"/>
      <c r="EY126" s="92"/>
      <c r="EZ126" s="92"/>
      <c r="FA126" s="92"/>
      <c r="FB126" s="92"/>
      <c r="FC126" s="92"/>
      <c r="FD126" s="92"/>
      <c r="FE126" s="92"/>
      <c r="FF126" s="92"/>
      <c r="FG126" s="92"/>
      <c r="FH126" s="92"/>
      <c r="FI126" s="92"/>
      <c r="FJ126" s="92"/>
      <c r="FK126" s="92"/>
      <c r="FL126" s="92"/>
      <c r="FM126" s="92"/>
      <c r="FN126" s="92"/>
      <c r="FO126" s="92"/>
      <c r="FP126" s="92"/>
      <c r="FQ126" s="92"/>
      <c r="FR126" s="92"/>
      <c r="FS126" s="92"/>
      <c r="FT126" s="92"/>
      <c r="FU126" s="92"/>
      <c r="FV126" s="92"/>
      <c r="FW126" s="92"/>
      <c r="FX126" s="92"/>
      <c r="FY126" s="92"/>
      <c r="FZ126" s="92"/>
      <c r="GA126" s="92"/>
      <c r="GB126" s="92"/>
      <c r="GC126" s="92"/>
      <c r="GD126" s="92"/>
      <c r="GE126" s="92"/>
      <c r="GF126" s="92"/>
      <c r="GG126" s="92"/>
      <c r="GH126" s="92"/>
      <c r="GI126" s="92"/>
      <c r="GJ126" s="92"/>
      <c r="GK126" s="92"/>
      <c r="GL126" s="92"/>
      <c r="GM126" s="92"/>
      <c r="GN126" s="92"/>
      <c r="GO126" s="92"/>
      <c r="GP126" s="92"/>
      <c r="GQ126" s="92"/>
      <c r="GR126" s="92"/>
      <c r="GS126" s="92"/>
      <c r="GT126" s="92"/>
      <c r="GU126" s="92"/>
      <c r="GV126" s="92"/>
      <c r="GW126" s="92"/>
      <c r="GX126" s="92"/>
      <c r="GY126" s="92"/>
      <c r="GZ126" s="92"/>
      <c r="HA126" s="92"/>
      <c r="HB126" s="92"/>
      <c r="HC126" s="92"/>
      <c r="HD126" s="92"/>
      <c r="HE126" s="92"/>
      <c r="HF126" s="92"/>
      <c r="HG126" s="92"/>
      <c r="HH126" s="92"/>
      <c r="HI126" s="92"/>
      <c r="HJ126" s="92"/>
      <c r="HK126" s="92"/>
      <c r="HL126" s="92"/>
      <c r="HM126" s="92"/>
      <c r="HN126" s="92"/>
      <c r="HO126" s="92"/>
      <c r="HP126" s="92"/>
      <c r="HQ126" s="92"/>
      <c r="HR126" s="92"/>
      <c r="HS126" s="92"/>
      <c r="HT126" s="92"/>
      <c r="HU126" s="92"/>
      <c r="HV126" s="92"/>
      <c r="HW126" s="92"/>
      <c r="HX126" s="92"/>
      <c r="HY126" s="92"/>
      <c r="HZ126" s="92"/>
      <c r="IA126" s="92"/>
      <c r="IB126" s="92"/>
      <c r="IC126" s="92"/>
      <c r="ID126" s="92"/>
      <c r="IE126" s="92"/>
      <c r="IF126" s="92"/>
      <c r="IG126" s="92"/>
      <c r="IH126" s="92"/>
      <c r="II126" s="92"/>
      <c r="IJ126" s="92"/>
      <c r="IK126" s="92"/>
      <c r="IL126" s="92"/>
      <c r="IM126" s="92"/>
      <c r="IN126" s="92"/>
      <c r="IO126" s="92"/>
      <c r="IP126" s="92"/>
      <c r="IQ126" s="92"/>
      <c r="IR126" s="92"/>
      <c r="IS126" s="92"/>
      <c r="IT126" s="92"/>
      <c r="IU126" s="92"/>
      <c r="IV126" s="92"/>
      <c r="IW126" s="92"/>
      <c r="IX126" s="92"/>
      <c r="IY126" s="92"/>
    </row>
    <row r="127" spans="1:259" x14ac:dyDescent="0.3">
      <c r="A127" s="2" t="s">
        <v>410</v>
      </c>
      <c r="B127" s="7"/>
      <c r="C127" s="2"/>
      <c r="D127" s="2"/>
      <c r="E127" s="7" t="s">
        <v>409</v>
      </c>
      <c r="F127" s="2" t="s">
        <v>60</v>
      </c>
      <c r="G127" s="2" t="s">
        <v>291</v>
      </c>
      <c r="H127" s="4"/>
      <c r="I127" s="4" t="s">
        <v>308</v>
      </c>
      <c r="J127" s="94"/>
      <c r="K127" s="88">
        <f t="shared" si="0"/>
        <v>0</v>
      </c>
      <c r="L127" s="89">
        <v>0</v>
      </c>
      <c r="M127" s="88">
        <f t="shared" si="28"/>
        <v>0</v>
      </c>
      <c r="N127" s="88">
        <f t="shared" ref="N127:N128" si="51">K127</f>
        <v>0</v>
      </c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1"/>
      <c r="AU127" s="30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2"/>
      <c r="BY127" s="92"/>
      <c r="BZ127" s="92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  <c r="CU127" s="92"/>
      <c r="CV127" s="92"/>
      <c r="CW127" s="92"/>
      <c r="CX127" s="92"/>
      <c r="CY127" s="92"/>
      <c r="CZ127" s="92"/>
      <c r="DA127" s="92"/>
      <c r="DB127" s="92"/>
      <c r="DC127" s="92"/>
      <c r="DD127" s="92"/>
      <c r="DE127" s="92"/>
      <c r="DF127" s="92"/>
      <c r="DG127" s="92"/>
      <c r="DH127" s="92"/>
      <c r="DI127" s="92"/>
      <c r="DJ127" s="92"/>
      <c r="DK127" s="92"/>
      <c r="DL127" s="92"/>
      <c r="DM127" s="92"/>
      <c r="DN127" s="92"/>
      <c r="DO127" s="92"/>
      <c r="DP127" s="92"/>
      <c r="DQ127" s="92"/>
      <c r="DR127" s="92"/>
      <c r="DS127" s="92"/>
      <c r="DT127" s="92"/>
      <c r="DU127" s="92"/>
      <c r="DV127" s="92"/>
      <c r="DW127" s="92"/>
      <c r="DX127" s="92"/>
      <c r="DY127" s="92"/>
      <c r="DZ127" s="92"/>
      <c r="EA127" s="92"/>
      <c r="EB127" s="92"/>
      <c r="EC127" s="92"/>
      <c r="ED127" s="92"/>
      <c r="EE127" s="92"/>
      <c r="EF127" s="92"/>
      <c r="EG127" s="92"/>
      <c r="EH127" s="92"/>
      <c r="EI127" s="92"/>
      <c r="EJ127" s="92"/>
      <c r="EK127" s="92"/>
      <c r="EL127" s="92"/>
      <c r="EM127" s="92"/>
      <c r="EN127" s="92"/>
      <c r="EO127" s="92"/>
      <c r="EP127" s="92"/>
      <c r="EQ127" s="92"/>
      <c r="ER127" s="92"/>
      <c r="ES127" s="92"/>
      <c r="ET127" s="92"/>
      <c r="EU127" s="92"/>
      <c r="EV127" s="92"/>
      <c r="EW127" s="92"/>
      <c r="EX127" s="92"/>
      <c r="EY127" s="92"/>
      <c r="EZ127" s="92"/>
      <c r="FA127" s="92"/>
      <c r="FB127" s="92"/>
      <c r="FC127" s="92"/>
      <c r="FD127" s="92"/>
      <c r="FE127" s="92"/>
      <c r="FF127" s="92"/>
      <c r="FG127" s="92"/>
      <c r="FH127" s="92"/>
      <c r="FI127" s="92"/>
      <c r="FJ127" s="92"/>
      <c r="FK127" s="92"/>
      <c r="FL127" s="92"/>
      <c r="FM127" s="92"/>
      <c r="FN127" s="92"/>
      <c r="FO127" s="92"/>
      <c r="FP127" s="92"/>
      <c r="FQ127" s="92"/>
      <c r="FR127" s="92"/>
      <c r="FS127" s="92"/>
      <c r="FT127" s="92"/>
      <c r="FU127" s="92"/>
      <c r="FV127" s="92"/>
      <c r="FW127" s="92"/>
      <c r="FX127" s="92"/>
      <c r="FY127" s="92"/>
      <c r="FZ127" s="92"/>
      <c r="GA127" s="92"/>
      <c r="GB127" s="92"/>
      <c r="GC127" s="92"/>
      <c r="GD127" s="92"/>
      <c r="GE127" s="92"/>
      <c r="GF127" s="92"/>
      <c r="GG127" s="92"/>
      <c r="GH127" s="92"/>
      <c r="GI127" s="92"/>
      <c r="GJ127" s="92"/>
      <c r="GK127" s="92"/>
      <c r="GL127" s="92"/>
      <c r="GM127" s="92"/>
      <c r="GN127" s="92"/>
      <c r="GO127" s="92"/>
      <c r="GP127" s="92"/>
      <c r="GQ127" s="92"/>
      <c r="GR127" s="92"/>
      <c r="GS127" s="92"/>
      <c r="GT127" s="92"/>
      <c r="GU127" s="92"/>
      <c r="GV127" s="92"/>
      <c r="GW127" s="92"/>
      <c r="GX127" s="92"/>
      <c r="GY127" s="92"/>
      <c r="GZ127" s="92"/>
      <c r="HA127" s="92"/>
      <c r="HB127" s="92"/>
      <c r="HC127" s="92"/>
      <c r="HD127" s="92"/>
      <c r="HE127" s="92"/>
      <c r="HF127" s="92"/>
      <c r="HG127" s="92"/>
      <c r="HH127" s="92"/>
      <c r="HI127" s="92"/>
      <c r="HJ127" s="92"/>
      <c r="HK127" s="92"/>
      <c r="HL127" s="92"/>
      <c r="HM127" s="92"/>
      <c r="HN127" s="92"/>
      <c r="HO127" s="92"/>
      <c r="HP127" s="92"/>
      <c r="HQ127" s="92"/>
      <c r="HR127" s="92"/>
      <c r="HS127" s="92"/>
      <c r="HT127" s="92"/>
      <c r="HU127" s="92"/>
      <c r="HV127" s="92"/>
      <c r="HW127" s="92"/>
      <c r="HX127" s="92"/>
      <c r="HY127" s="92"/>
      <c r="HZ127" s="92"/>
      <c r="IA127" s="92"/>
      <c r="IB127" s="92"/>
      <c r="IC127" s="92"/>
      <c r="ID127" s="92"/>
      <c r="IE127" s="92"/>
      <c r="IF127" s="92"/>
      <c r="IG127" s="92"/>
      <c r="IH127" s="92"/>
      <c r="II127" s="92"/>
      <c r="IJ127" s="92"/>
      <c r="IK127" s="92"/>
      <c r="IL127" s="92"/>
      <c r="IM127" s="92"/>
      <c r="IN127" s="92"/>
      <c r="IO127" s="92"/>
      <c r="IP127" s="92"/>
      <c r="IQ127" s="92"/>
      <c r="IR127" s="92"/>
      <c r="IS127" s="92"/>
      <c r="IT127" s="92"/>
      <c r="IU127" s="92"/>
      <c r="IV127" s="92"/>
      <c r="IW127" s="92"/>
      <c r="IX127" s="92"/>
      <c r="IY127" s="92"/>
    </row>
    <row r="128" spans="1:259" x14ac:dyDescent="0.3">
      <c r="A128" s="2" t="s">
        <v>193</v>
      </c>
      <c r="B128" s="7"/>
      <c r="C128" s="2"/>
      <c r="D128" s="2"/>
      <c r="E128" s="7" t="s">
        <v>425</v>
      </c>
      <c r="F128" s="2" t="s">
        <v>60</v>
      </c>
      <c r="G128" s="2" t="s">
        <v>419</v>
      </c>
      <c r="H128" s="4"/>
      <c r="I128" s="4" t="s">
        <v>308</v>
      </c>
      <c r="J128" s="94"/>
      <c r="K128" s="88">
        <f t="shared" ref="K128" si="52">L128-M128</f>
        <v>8</v>
      </c>
      <c r="L128" s="89">
        <v>9</v>
      </c>
      <c r="M128" s="88">
        <f t="shared" si="28"/>
        <v>1</v>
      </c>
      <c r="N128" s="88">
        <f t="shared" si="51"/>
        <v>8</v>
      </c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1"/>
      <c r="AU128" s="35">
        <f>1</f>
        <v>1</v>
      </c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2"/>
      <c r="BY128" s="92"/>
      <c r="BZ128" s="92"/>
      <c r="CA128" s="92"/>
      <c r="CB128" s="92"/>
      <c r="CC128" s="92"/>
      <c r="CD128" s="92"/>
      <c r="CE128" s="92"/>
      <c r="CF128" s="92"/>
      <c r="CG128" s="92"/>
      <c r="CH128" s="92"/>
      <c r="CI128" s="92"/>
      <c r="CJ128" s="92"/>
      <c r="CK128" s="92"/>
      <c r="CL128" s="92"/>
      <c r="CM128" s="92"/>
      <c r="CN128" s="92"/>
      <c r="CO128" s="92"/>
      <c r="CP128" s="92"/>
      <c r="CQ128" s="92"/>
      <c r="CR128" s="92"/>
      <c r="CS128" s="92"/>
      <c r="CT128" s="92"/>
      <c r="CU128" s="92"/>
      <c r="CV128" s="92"/>
      <c r="CW128" s="92"/>
      <c r="CX128" s="92"/>
      <c r="CY128" s="92"/>
      <c r="CZ128" s="92"/>
      <c r="DA128" s="92"/>
      <c r="DB128" s="92"/>
      <c r="DC128" s="92"/>
      <c r="DD128" s="92"/>
      <c r="DE128" s="92"/>
      <c r="DF128" s="92"/>
      <c r="DG128" s="92"/>
      <c r="DH128" s="92"/>
      <c r="DI128" s="92"/>
      <c r="DJ128" s="92"/>
      <c r="DK128" s="92"/>
      <c r="DL128" s="92"/>
      <c r="DM128" s="92"/>
      <c r="DN128" s="92"/>
      <c r="DO128" s="92"/>
      <c r="DP128" s="92"/>
      <c r="DQ128" s="92"/>
      <c r="DR128" s="92"/>
      <c r="DS128" s="92"/>
      <c r="DT128" s="92"/>
      <c r="DU128" s="92"/>
      <c r="DV128" s="92"/>
      <c r="DW128" s="92"/>
      <c r="DX128" s="92"/>
      <c r="DY128" s="92"/>
      <c r="DZ128" s="92"/>
      <c r="EA128" s="92"/>
      <c r="EB128" s="92"/>
      <c r="EC128" s="92"/>
      <c r="ED128" s="92"/>
      <c r="EE128" s="92"/>
      <c r="EF128" s="92"/>
      <c r="EG128" s="92"/>
      <c r="EH128" s="92"/>
      <c r="EI128" s="92"/>
      <c r="EJ128" s="92"/>
      <c r="EK128" s="92"/>
      <c r="EL128" s="92"/>
      <c r="EM128" s="92"/>
      <c r="EN128" s="92"/>
      <c r="EO128" s="92"/>
      <c r="EP128" s="92"/>
      <c r="EQ128" s="92"/>
      <c r="ER128" s="92"/>
      <c r="ES128" s="92"/>
      <c r="ET128" s="92"/>
      <c r="EU128" s="92"/>
      <c r="EV128" s="92"/>
      <c r="EW128" s="92"/>
      <c r="EX128" s="92"/>
      <c r="EY128" s="92"/>
      <c r="EZ128" s="92"/>
      <c r="FA128" s="92"/>
      <c r="FB128" s="92"/>
      <c r="FC128" s="92"/>
      <c r="FD128" s="92"/>
      <c r="FE128" s="92"/>
      <c r="FF128" s="92"/>
      <c r="FG128" s="92"/>
      <c r="FH128" s="92"/>
      <c r="FI128" s="92"/>
      <c r="FJ128" s="92"/>
      <c r="FK128" s="92"/>
      <c r="FL128" s="92"/>
      <c r="FM128" s="92"/>
      <c r="FN128" s="92"/>
      <c r="FO128" s="92"/>
      <c r="FP128" s="92"/>
      <c r="FQ128" s="92"/>
      <c r="FR128" s="92"/>
      <c r="FS128" s="92"/>
      <c r="FT128" s="92"/>
      <c r="FU128" s="92"/>
      <c r="FV128" s="92"/>
      <c r="FW128" s="92"/>
      <c r="FX128" s="92"/>
      <c r="FY128" s="92"/>
      <c r="FZ128" s="92"/>
      <c r="GA128" s="92"/>
      <c r="GB128" s="92"/>
      <c r="GC128" s="92"/>
      <c r="GD128" s="92"/>
      <c r="GE128" s="92"/>
      <c r="GF128" s="92"/>
      <c r="GG128" s="92"/>
      <c r="GH128" s="92"/>
      <c r="GI128" s="92"/>
      <c r="GJ128" s="92"/>
      <c r="GK128" s="92"/>
      <c r="GL128" s="92"/>
      <c r="GM128" s="92"/>
      <c r="GN128" s="92"/>
      <c r="GO128" s="92"/>
      <c r="GP128" s="92"/>
      <c r="GQ128" s="92"/>
      <c r="GR128" s="92"/>
      <c r="GS128" s="92"/>
      <c r="GT128" s="92"/>
      <c r="GU128" s="92"/>
      <c r="GV128" s="92"/>
      <c r="GW128" s="92"/>
      <c r="GX128" s="92"/>
      <c r="GY128" s="92"/>
      <c r="GZ128" s="92"/>
      <c r="HA128" s="92"/>
      <c r="HB128" s="92"/>
      <c r="HC128" s="92"/>
      <c r="HD128" s="92"/>
      <c r="HE128" s="92"/>
      <c r="HF128" s="92"/>
      <c r="HG128" s="92"/>
      <c r="HH128" s="92"/>
      <c r="HI128" s="92"/>
      <c r="HJ128" s="92"/>
      <c r="HK128" s="92"/>
      <c r="HL128" s="92"/>
      <c r="HM128" s="92"/>
      <c r="HN128" s="92"/>
      <c r="HO128" s="92"/>
      <c r="HP128" s="92"/>
      <c r="HQ128" s="92"/>
      <c r="HR128" s="92"/>
      <c r="HS128" s="92"/>
      <c r="HT128" s="92"/>
      <c r="HU128" s="92"/>
      <c r="HV128" s="92"/>
      <c r="HW128" s="92"/>
      <c r="HX128" s="92"/>
      <c r="HY128" s="92"/>
      <c r="HZ128" s="92"/>
      <c r="IA128" s="92"/>
      <c r="IB128" s="92"/>
      <c r="IC128" s="92"/>
      <c r="ID128" s="92"/>
      <c r="IE128" s="92"/>
      <c r="IF128" s="92"/>
      <c r="IG128" s="92"/>
      <c r="IH128" s="92"/>
      <c r="II128" s="92"/>
      <c r="IJ128" s="92"/>
      <c r="IK128" s="92"/>
      <c r="IL128" s="92"/>
      <c r="IM128" s="92"/>
      <c r="IN128" s="92"/>
      <c r="IO128" s="92"/>
      <c r="IP128" s="92"/>
      <c r="IQ128" s="92"/>
      <c r="IR128" s="92"/>
      <c r="IS128" s="92"/>
      <c r="IT128" s="92"/>
      <c r="IU128" s="92"/>
      <c r="IV128" s="92"/>
      <c r="IW128" s="92"/>
      <c r="IX128" s="92"/>
      <c r="IY128" s="92"/>
    </row>
    <row r="129" spans="1:259" x14ac:dyDescent="0.3">
      <c r="A129" s="2" t="s">
        <v>193</v>
      </c>
      <c r="B129" s="7"/>
      <c r="C129" s="2"/>
      <c r="D129" s="2"/>
      <c r="E129" s="7" t="s">
        <v>425</v>
      </c>
      <c r="F129" s="2" t="s">
        <v>60</v>
      </c>
      <c r="G129" s="2" t="s">
        <v>480</v>
      </c>
      <c r="H129" s="4"/>
      <c r="I129" s="4" t="s">
        <v>493</v>
      </c>
      <c r="J129" s="94"/>
      <c r="K129" s="88">
        <f t="shared" ref="K129" si="53">L129-M129</f>
        <v>0</v>
      </c>
      <c r="L129" s="89">
        <v>1</v>
      </c>
      <c r="M129" s="88">
        <f t="shared" si="28"/>
        <v>1</v>
      </c>
      <c r="N129" s="88">
        <f t="shared" ref="N129" si="54">K129</f>
        <v>0</v>
      </c>
      <c r="O129" s="90"/>
      <c r="P129" s="90"/>
      <c r="Q129" s="90"/>
      <c r="R129" s="90"/>
      <c r="S129" s="90"/>
      <c r="T129" s="90"/>
      <c r="U129" s="90"/>
      <c r="V129" s="88">
        <f>1</f>
        <v>1</v>
      </c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1"/>
      <c r="AU129" s="30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2"/>
      <c r="BY129" s="92"/>
      <c r="BZ129" s="92"/>
      <c r="CA129" s="92"/>
      <c r="CB129" s="92"/>
      <c r="CC129" s="92"/>
      <c r="CD129" s="92"/>
      <c r="CE129" s="92"/>
      <c r="CF129" s="92"/>
      <c r="CG129" s="92"/>
      <c r="CH129" s="92"/>
      <c r="CI129" s="92"/>
      <c r="CJ129" s="92"/>
      <c r="CK129" s="92"/>
      <c r="CL129" s="92"/>
      <c r="CM129" s="92"/>
      <c r="CN129" s="92"/>
      <c r="CO129" s="92"/>
      <c r="CP129" s="92"/>
      <c r="CQ129" s="92"/>
      <c r="CR129" s="92"/>
      <c r="CS129" s="92"/>
      <c r="CT129" s="92"/>
      <c r="CU129" s="92"/>
      <c r="CV129" s="92"/>
      <c r="CW129" s="92"/>
      <c r="CX129" s="92"/>
      <c r="CY129" s="92"/>
      <c r="CZ129" s="92"/>
      <c r="DA129" s="92"/>
      <c r="DB129" s="92"/>
      <c r="DC129" s="92"/>
      <c r="DD129" s="92"/>
      <c r="DE129" s="92"/>
      <c r="DF129" s="92"/>
      <c r="DG129" s="92"/>
      <c r="DH129" s="92"/>
      <c r="DI129" s="92"/>
      <c r="DJ129" s="92"/>
      <c r="DK129" s="92"/>
      <c r="DL129" s="92"/>
      <c r="DM129" s="92"/>
      <c r="DN129" s="92"/>
      <c r="DO129" s="92"/>
      <c r="DP129" s="92"/>
      <c r="DQ129" s="92"/>
      <c r="DR129" s="92"/>
      <c r="DS129" s="92"/>
      <c r="DT129" s="92"/>
      <c r="DU129" s="92"/>
      <c r="DV129" s="92"/>
      <c r="DW129" s="92"/>
      <c r="DX129" s="92"/>
      <c r="DY129" s="92"/>
      <c r="DZ129" s="92"/>
      <c r="EA129" s="92"/>
      <c r="EB129" s="92"/>
      <c r="EC129" s="92"/>
      <c r="ED129" s="92"/>
      <c r="EE129" s="92"/>
      <c r="EF129" s="92"/>
      <c r="EG129" s="92"/>
      <c r="EH129" s="92"/>
      <c r="EI129" s="92"/>
      <c r="EJ129" s="92"/>
      <c r="EK129" s="92"/>
      <c r="EL129" s="92"/>
      <c r="EM129" s="92"/>
      <c r="EN129" s="92"/>
      <c r="EO129" s="92"/>
      <c r="EP129" s="92"/>
      <c r="EQ129" s="92"/>
      <c r="ER129" s="92"/>
      <c r="ES129" s="92"/>
      <c r="ET129" s="92"/>
      <c r="EU129" s="92"/>
      <c r="EV129" s="92"/>
      <c r="EW129" s="92"/>
      <c r="EX129" s="92"/>
      <c r="EY129" s="92"/>
      <c r="EZ129" s="92"/>
      <c r="FA129" s="92"/>
      <c r="FB129" s="92"/>
      <c r="FC129" s="92"/>
      <c r="FD129" s="92"/>
      <c r="FE129" s="92"/>
      <c r="FF129" s="92"/>
      <c r="FG129" s="92"/>
      <c r="FH129" s="92"/>
      <c r="FI129" s="92"/>
      <c r="FJ129" s="92"/>
      <c r="FK129" s="92"/>
      <c r="FL129" s="92"/>
      <c r="FM129" s="92"/>
      <c r="FN129" s="92"/>
      <c r="FO129" s="92"/>
      <c r="FP129" s="92"/>
      <c r="FQ129" s="92"/>
      <c r="FR129" s="92"/>
      <c r="FS129" s="92"/>
      <c r="FT129" s="92"/>
      <c r="FU129" s="92"/>
      <c r="FV129" s="92"/>
      <c r="FW129" s="92"/>
      <c r="FX129" s="92"/>
      <c r="FY129" s="92"/>
      <c r="FZ129" s="92"/>
      <c r="GA129" s="92"/>
      <c r="GB129" s="92"/>
      <c r="GC129" s="92"/>
      <c r="GD129" s="92"/>
      <c r="GE129" s="92"/>
      <c r="GF129" s="92"/>
      <c r="GG129" s="92"/>
      <c r="GH129" s="92"/>
      <c r="GI129" s="92"/>
      <c r="GJ129" s="92"/>
      <c r="GK129" s="92"/>
      <c r="GL129" s="92"/>
      <c r="GM129" s="92"/>
      <c r="GN129" s="92"/>
      <c r="GO129" s="92"/>
      <c r="GP129" s="92"/>
      <c r="GQ129" s="92"/>
      <c r="GR129" s="92"/>
      <c r="GS129" s="92"/>
      <c r="GT129" s="92"/>
      <c r="GU129" s="92"/>
      <c r="GV129" s="92"/>
      <c r="GW129" s="92"/>
      <c r="GX129" s="92"/>
      <c r="GY129" s="92"/>
      <c r="GZ129" s="92"/>
      <c r="HA129" s="92"/>
      <c r="HB129" s="92"/>
      <c r="HC129" s="92"/>
      <c r="HD129" s="92"/>
      <c r="HE129" s="92"/>
      <c r="HF129" s="92"/>
      <c r="HG129" s="92"/>
      <c r="HH129" s="92"/>
      <c r="HI129" s="92"/>
      <c r="HJ129" s="92"/>
      <c r="HK129" s="92"/>
      <c r="HL129" s="92"/>
      <c r="HM129" s="92"/>
      <c r="HN129" s="92"/>
      <c r="HO129" s="92"/>
      <c r="HP129" s="92"/>
      <c r="HQ129" s="92"/>
      <c r="HR129" s="92"/>
      <c r="HS129" s="92"/>
      <c r="HT129" s="92"/>
      <c r="HU129" s="92"/>
      <c r="HV129" s="92"/>
      <c r="HW129" s="92"/>
      <c r="HX129" s="92"/>
      <c r="HY129" s="92"/>
      <c r="HZ129" s="92"/>
      <c r="IA129" s="92"/>
      <c r="IB129" s="92"/>
      <c r="IC129" s="92"/>
      <c r="ID129" s="92"/>
      <c r="IE129" s="92"/>
      <c r="IF129" s="92"/>
      <c r="IG129" s="92"/>
      <c r="IH129" s="92"/>
      <c r="II129" s="92"/>
      <c r="IJ129" s="92"/>
      <c r="IK129" s="92"/>
      <c r="IL129" s="92"/>
      <c r="IM129" s="92"/>
      <c r="IN129" s="92"/>
      <c r="IO129" s="92"/>
      <c r="IP129" s="92"/>
      <c r="IQ129" s="92"/>
      <c r="IR129" s="92"/>
      <c r="IS129" s="92"/>
      <c r="IT129" s="92"/>
      <c r="IU129" s="92"/>
      <c r="IV129" s="92"/>
      <c r="IW129" s="92"/>
      <c r="IX129" s="92"/>
      <c r="IY129" s="92"/>
    </row>
    <row r="130" spans="1:259" x14ac:dyDescent="0.3">
      <c r="A130" s="2" t="s">
        <v>193</v>
      </c>
      <c r="B130" s="7"/>
      <c r="C130" s="2"/>
      <c r="D130" s="2"/>
      <c r="E130" s="7" t="s">
        <v>425</v>
      </c>
      <c r="F130" s="2" t="s">
        <v>60</v>
      </c>
      <c r="G130" s="2" t="s">
        <v>492</v>
      </c>
      <c r="H130" s="4"/>
      <c r="I130" s="2" t="s">
        <v>491</v>
      </c>
      <c r="J130" s="94"/>
      <c r="K130" s="88">
        <f t="shared" ref="K130" si="55">L130-M130</f>
        <v>0</v>
      </c>
      <c r="L130" s="89">
        <v>1</v>
      </c>
      <c r="M130" s="88">
        <f t="shared" si="28"/>
        <v>1</v>
      </c>
      <c r="N130" s="88">
        <f t="shared" ref="N130" si="56">K130</f>
        <v>0</v>
      </c>
      <c r="O130" s="88">
        <f>1</f>
        <v>1</v>
      </c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1"/>
      <c r="AU130" s="30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2"/>
      <c r="BY130" s="92"/>
      <c r="BZ130" s="92"/>
      <c r="CA130" s="92"/>
      <c r="CB130" s="92"/>
      <c r="CC130" s="92"/>
      <c r="CD130" s="92"/>
      <c r="CE130" s="92"/>
      <c r="CF130" s="92"/>
      <c r="CG130" s="92"/>
      <c r="CH130" s="92"/>
      <c r="CI130" s="92"/>
      <c r="CJ130" s="92"/>
      <c r="CK130" s="92"/>
      <c r="CL130" s="92"/>
      <c r="CM130" s="92"/>
      <c r="CN130" s="92"/>
      <c r="CO130" s="92"/>
      <c r="CP130" s="92"/>
      <c r="CQ130" s="92"/>
      <c r="CR130" s="92"/>
      <c r="CS130" s="92"/>
      <c r="CT130" s="92"/>
      <c r="CU130" s="92"/>
      <c r="CV130" s="92"/>
      <c r="CW130" s="92"/>
      <c r="CX130" s="92"/>
      <c r="CY130" s="92"/>
      <c r="CZ130" s="92"/>
      <c r="DA130" s="92"/>
      <c r="DB130" s="92"/>
      <c r="DC130" s="92"/>
      <c r="DD130" s="92"/>
      <c r="DE130" s="92"/>
      <c r="DF130" s="92"/>
      <c r="DG130" s="92"/>
      <c r="DH130" s="92"/>
      <c r="DI130" s="92"/>
      <c r="DJ130" s="92"/>
      <c r="DK130" s="92"/>
      <c r="DL130" s="92"/>
      <c r="DM130" s="92"/>
      <c r="DN130" s="92"/>
      <c r="DO130" s="92"/>
      <c r="DP130" s="92"/>
      <c r="DQ130" s="92"/>
      <c r="DR130" s="92"/>
      <c r="DS130" s="92"/>
      <c r="DT130" s="92"/>
      <c r="DU130" s="92"/>
      <c r="DV130" s="92"/>
      <c r="DW130" s="92"/>
      <c r="DX130" s="92"/>
      <c r="DY130" s="92"/>
      <c r="DZ130" s="92"/>
      <c r="EA130" s="92"/>
      <c r="EB130" s="92"/>
      <c r="EC130" s="92"/>
      <c r="ED130" s="92"/>
      <c r="EE130" s="92"/>
      <c r="EF130" s="92"/>
      <c r="EG130" s="92"/>
      <c r="EH130" s="92"/>
      <c r="EI130" s="92"/>
      <c r="EJ130" s="92"/>
      <c r="EK130" s="92"/>
      <c r="EL130" s="92"/>
      <c r="EM130" s="92"/>
      <c r="EN130" s="92"/>
      <c r="EO130" s="92"/>
      <c r="EP130" s="92"/>
      <c r="EQ130" s="92"/>
      <c r="ER130" s="92"/>
      <c r="ES130" s="92"/>
      <c r="ET130" s="92"/>
      <c r="EU130" s="92"/>
      <c r="EV130" s="92"/>
      <c r="EW130" s="92"/>
      <c r="EX130" s="92"/>
      <c r="EY130" s="92"/>
      <c r="EZ130" s="92"/>
      <c r="FA130" s="92"/>
      <c r="FB130" s="92"/>
      <c r="FC130" s="92"/>
      <c r="FD130" s="92"/>
      <c r="FE130" s="92"/>
      <c r="FF130" s="92"/>
      <c r="FG130" s="92"/>
      <c r="FH130" s="92"/>
      <c r="FI130" s="92"/>
      <c r="FJ130" s="92"/>
      <c r="FK130" s="92"/>
      <c r="FL130" s="92"/>
      <c r="FM130" s="92"/>
      <c r="FN130" s="92"/>
      <c r="FO130" s="92"/>
      <c r="FP130" s="92"/>
      <c r="FQ130" s="92"/>
      <c r="FR130" s="92"/>
      <c r="FS130" s="92"/>
      <c r="FT130" s="92"/>
      <c r="FU130" s="92"/>
      <c r="FV130" s="92"/>
      <c r="FW130" s="92"/>
      <c r="FX130" s="92"/>
      <c r="FY130" s="92"/>
      <c r="FZ130" s="92"/>
      <c r="GA130" s="92"/>
      <c r="GB130" s="92"/>
      <c r="GC130" s="92"/>
      <c r="GD130" s="92"/>
      <c r="GE130" s="92"/>
      <c r="GF130" s="92"/>
      <c r="GG130" s="92"/>
      <c r="GH130" s="92"/>
      <c r="GI130" s="92"/>
      <c r="GJ130" s="92"/>
      <c r="GK130" s="92"/>
      <c r="GL130" s="92"/>
      <c r="GM130" s="92"/>
      <c r="GN130" s="92"/>
      <c r="GO130" s="92"/>
      <c r="GP130" s="92"/>
      <c r="GQ130" s="92"/>
      <c r="GR130" s="92"/>
      <c r="GS130" s="92"/>
      <c r="GT130" s="92"/>
      <c r="GU130" s="92"/>
      <c r="GV130" s="92"/>
      <c r="GW130" s="92"/>
      <c r="GX130" s="92"/>
      <c r="GY130" s="92"/>
      <c r="GZ130" s="92"/>
      <c r="HA130" s="92"/>
      <c r="HB130" s="92"/>
      <c r="HC130" s="92"/>
      <c r="HD130" s="92"/>
      <c r="HE130" s="92"/>
      <c r="HF130" s="92"/>
      <c r="HG130" s="92"/>
      <c r="HH130" s="92"/>
      <c r="HI130" s="92"/>
      <c r="HJ130" s="92"/>
      <c r="HK130" s="92"/>
      <c r="HL130" s="92"/>
      <c r="HM130" s="92"/>
      <c r="HN130" s="92"/>
      <c r="HO130" s="92"/>
      <c r="HP130" s="92"/>
      <c r="HQ130" s="92"/>
      <c r="HR130" s="92"/>
      <c r="HS130" s="92"/>
      <c r="HT130" s="92"/>
      <c r="HU130" s="92"/>
      <c r="HV130" s="92"/>
      <c r="HW130" s="92"/>
      <c r="HX130" s="92"/>
      <c r="HY130" s="92"/>
      <c r="HZ130" s="92"/>
      <c r="IA130" s="92"/>
      <c r="IB130" s="92"/>
      <c r="IC130" s="92"/>
      <c r="ID130" s="92"/>
      <c r="IE130" s="92"/>
      <c r="IF130" s="92"/>
      <c r="IG130" s="92"/>
      <c r="IH130" s="92"/>
      <c r="II130" s="92"/>
      <c r="IJ130" s="92"/>
      <c r="IK130" s="92"/>
      <c r="IL130" s="92"/>
      <c r="IM130" s="92"/>
      <c r="IN130" s="92"/>
      <c r="IO130" s="92"/>
      <c r="IP130" s="92"/>
      <c r="IQ130" s="92"/>
      <c r="IR130" s="92"/>
      <c r="IS130" s="92"/>
      <c r="IT130" s="92"/>
      <c r="IU130" s="92"/>
      <c r="IV130" s="92"/>
      <c r="IW130" s="92"/>
      <c r="IX130" s="92"/>
      <c r="IY130" s="92"/>
    </row>
    <row r="131" spans="1:259" x14ac:dyDescent="0.3">
      <c r="A131" s="6" t="s">
        <v>436</v>
      </c>
      <c r="B131" s="9"/>
      <c r="C131" s="6"/>
      <c r="D131" s="6"/>
      <c r="E131" s="9" t="s">
        <v>436</v>
      </c>
      <c r="F131" s="2" t="s">
        <v>60</v>
      </c>
      <c r="G131" s="2" t="s">
        <v>419</v>
      </c>
      <c r="H131" s="4"/>
      <c r="I131" s="4" t="s">
        <v>308</v>
      </c>
      <c r="J131" s="94"/>
      <c r="K131" s="88">
        <f t="shared" ref="K131" si="57">L131-M131</f>
        <v>0</v>
      </c>
      <c r="L131" s="89">
        <v>5</v>
      </c>
      <c r="M131" s="88">
        <f t="shared" si="28"/>
        <v>5</v>
      </c>
      <c r="N131" s="88">
        <f t="shared" ref="N131" si="58">K131</f>
        <v>0</v>
      </c>
      <c r="O131" s="88">
        <f>2</f>
        <v>2</v>
      </c>
      <c r="P131" s="90"/>
      <c r="Q131" s="90"/>
      <c r="R131" s="90"/>
      <c r="S131" s="90"/>
      <c r="T131" s="90"/>
      <c r="U131" s="88">
        <f>1</f>
        <v>1</v>
      </c>
      <c r="V131" s="88">
        <f>2</f>
        <v>2</v>
      </c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1"/>
      <c r="AU131" s="30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2"/>
      <c r="BY131" s="92"/>
      <c r="BZ131" s="92"/>
      <c r="CA131" s="92"/>
      <c r="CB131" s="92"/>
      <c r="CC131" s="92"/>
      <c r="CD131" s="92"/>
      <c r="CE131" s="92"/>
      <c r="CF131" s="92"/>
      <c r="CG131" s="92"/>
      <c r="CH131" s="92"/>
      <c r="CI131" s="92"/>
      <c r="CJ131" s="92"/>
      <c r="CK131" s="92"/>
      <c r="CL131" s="92"/>
      <c r="CM131" s="92"/>
      <c r="CN131" s="92"/>
      <c r="CO131" s="92"/>
      <c r="CP131" s="92"/>
      <c r="CQ131" s="92"/>
      <c r="CR131" s="92"/>
      <c r="CS131" s="92"/>
      <c r="CT131" s="92"/>
      <c r="CU131" s="92"/>
      <c r="CV131" s="92"/>
      <c r="CW131" s="92"/>
      <c r="CX131" s="92"/>
      <c r="CY131" s="92"/>
      <c r="CZ131" s="92"/>
      <c r="DA131" s="92"/>
      <c r="DB131" s="92"/>
      <c r="DC131" s="92"/>
      <c r="DD131" s="92"/>
      <c r="DE131" s="92"/>
      <c r="DF131" s="92"/>
      <c r="DG131" s="92"/>
      <c r="DH131" s="92"/>
      <c r="DI131" s="92"/>
      <c r="DJ131" s="92"/>
      <c r="DK131" s="92"/>
      <c r="DL131" s="92"/>
      <c r="DM131" s="92"/>
      <c r="DN131" s="92"/>
      <c r="DO131" s="92"/>
      <c r="DP131" s="92"/>
      <c r="DQ131" s="92"/>
      <c r="DR131" s="92"/>
      <c r="DS131" s="92"/>
      <c r="DT131" s="92"/>
      <c r="DU131" s="92"/>
      <c r="DV131" s="92"/>
      <c r="DW131" s="92"/>
      <c r="DX131" s="92"/>
      <c r="DY131" s="92"/>
      <c r="DZ131" s="92"/>
      <c r="EA131" s="92"/>
      <c r="EB131" s="92"/>
      <c r="EC131" s="92"/>
      <c r="ED131" s="92"/>
      <c r="EE131" s="92"/>
      <c r="EF131" s="92"/>
      <c r="EG131" s="92"/>
      <c r="EH131" s="92"/>
      <c r="EI131" s="92"/>
      <c r="EJ131" s="92"/>
      <c r="EK131" s="92"/>
      <c r="EL131" s="92"/>
      <c r="EM131" s="92"/>
      <c r="EN131" s="92"/>
      <c r="EO131" s="92"/>
      <c r="EP131" s="92"/>
      <c r="EQ131" s="92"/>
      <c r="ER131" s="92"/>
      <c r="ES131" s="92"/>
      <c r="ET131" s="92"/>
      <c r="EU131" s="92"/>
      <c r="EV131" s="92"/>
      <c r="EW131" s="92"/>
      <c r="EX131" s="92"/>
      <c r="EY131" s="92"/>
      <c r="EZ131" s="92"/>
      <c r="FA131" s="92"/>
      <c r="FB131" s="92"/>
      <c r="FC131" s="92"/>
      <c r="FD131" s="92"/>
      <c r="FE131" s="92"/>
      <c r="FF131" s="92"/>
      <c r="FG131" s="92"/>
      <c r="FH131" s="92"/>
      <c r="FI131" s="92"/>
      <c r="FJ131" s="92"/>
      <c r="FK131" s="92"/>
      <c r="FL131" s="92"/>
      <c r="FM131" s="92"/>
      <c r="FN131" s="92"/>
      <c r="FO131" s="92"/>
      <c r="FP131" s="92"/>
      <c r="FQ131" s="92"/>
      <c r="FR131" s="92"/>
      <c r="FS131" s="92"/>
      <c r="FT131" s="92"/>
      <c r="FU131" s="92"/>
      <c r="FV131" s="92"/>
      <c r="FW131" s="92"/>
      <c r="FX131" s="92"/>
      <c r="FY131" s="92"/>
      <c r="FZ131" s="92"/>
      <c r="GA131" s="92"/>
      <c r="GB131" s="92"/>
      <c r="GC131" s="92"/>
      <c r="GD131" s="92"/>
      <c r="GE131" s="92"/>
      <c r="GF131" s="92"/>
      <c r="GG131" s="92"/>
      <c r="GH131" s="92"/>
      <c r="GI131" s="92"/>
      <c r="GJ131" s="92"/>
      <c r="GK131" s="92"/>
      <c r="GL131" s="92"/>
      <c r="GM131" s="92"/>
      <c r="GN131" s="92"/>
      <c r="GO131" s="92"/>
      <c r="GP131" s="92"/>
      <c r="GQ131" s="92"/>
      <c r="GR131" s="92"/>
      <c r="GS131" s="92"/>
      <c r="GT131" s="92"/>
      <c r="GU131" s="92"/>
      <c r="GV131" s="92"/>
      <c r="GW131" s="92"/>
      <c r="GX131" s="92"/>
      <c r="GY131" s="92"/>
      <c r="GZ131" s="92"/>
      <c r="HA131" s="92"/>
      <c r="HB131" s="92"/>
      <c r="HC131" s="92"/>
      <c r="HD131" s="92"/>
      <c r="HE131" s="92"/>
      <c r="HF131" s="92"/>
      <c r="HG131" s="92"/>
      <c r="HH131" s="92"/>
      <c r="HI131" s="92"/>
      <c r="HJ131" s="92"/>
      <c r="HK131" s="92"/>
      <c r="HL131" s="92"/>
      <c r="HM131" s="92"/>
      <c r="HN131" s="92"/>
      <c r="HO131" s="92"/>
      <c r="HP131" s="92"/>
      <c r="HQ131" s="92"/>
      <c r="HR131" s="92"/>
      <c r="HS131" s="92"/>
      <c r="HT131" s="92"/>
      <c r="HU131" s="92"/>
      <c r="HV131" s="92"/>
      <c r="HW131" s="92"/>
      <c r="HX131" s="92"/>
      <c r="HY131" s="92"/>
      <c r="HZ131" s="92"/>
      <c r="IA131" s="92"/>
      <c r="IB131" s="92"/>
      <c r="IC131" s="92"/>
      <c r="ID131" s="92"/>
      <c r="IE131" s="92"/>
      <c r="IF131" s="92"/>
      <c r="IG131" s="92"/>
      <c r="IH131" s="92"/>
      <c r="II131" s="92"/>
      <c r="IJ131" s="92"/>
      <c r="IK131" s="92"/>
      <c r="IL131" s="92"/>
      <c r="IM131" s="92"/>
      <c r="IN131" s="92"/>
      <c r="IO131" s="92"/>
      <c r="IP131" s="92"/>
      <c r="IQ131" s="92"/>
      <c r="IR131" s="92"/>
      <c r="IS131" s="92"/>
      <c r="IT131" s="92"/>
      <c r="IU131" s="92"/>
      <c r="IV131" s="92"/>
      <c r="IW131" s="92"/>
      <c r="IX131" s="92"/>
      <c r="IY131" s="92"/>
    </row>
    <row r="132" spans="1:259" x14ac:dyDescent="0.3">
      <c r="A132" s="6" t="s">
        <v>437</v>
      </c>
      <c r="B132" s="9"/>
      <c r="C132" s="6"/>
      <c r="D132" s="6"/>
      <c r="E132" s="9" t="s">
        <v>437</v>
      </c>
      <c r="F132" s="2" t="s">
        <v>60</v>
      </c>
      <c r="G132" s="2" t="s">
        <v>419</v>
      </c>
      <c r="H132" s="4"/>
      <c r="I132" s="4" t="s">
        <v>308</v>
      </c>
      <c r="J132" s="94"/>
      <c r="K132" s="88">
        <f t="shared" ref="K132" si="59">L132-M132</f>
        <v>1</v>
      </c>
      <c r="L132" s="89">
        <v>3</v>
      </c>
      <c r="M132" s="88">
        <f t="shared" si="28"/>
        <v>2</v>
      </c>
      <c r="N132" s="88">
        <f t="shared" ref="N132" si="60">K132</f>
        <v>1</v>
      </c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88">
        <f>2</f>
        <v>2</v>
      </c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1"/>
      <c r="AU132" s="30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2"/>
      <c r="BY132" s="92"/>
      <c r="BZ132" s="92"/>
      <c r="CA132" s="92"/>
      <c r="CB132" s="92"/>
      <c r="CC132" s="92"/>
      <c r="CD132" s="92"/>
      <c r="CE132" s="92"/>
      <c r="CF132" s="92"/>
      <c r="CG132" s="92"/>
      <c r="CH132" s="92"/>
      <c r="CI132" s="92"/>
      <c r="CJ132" s="92"/>
      <c r="CK132" s="92"/>
      <c r="CL132" s="92"/>
      <c r="CM132" s="92"/>
      <c r="CN132" s="92"/>
      <c r="CO132" s="92"/>
      <c r="CP132" s="92"/>
      <c r="CQ132" s="92"/>
      <c r="CR132" s="92"/>
      <c r="CS132" s="92"/>
      <c r="CT132" s="92"/>
      <c r="CU132" s="92"/>
      <c r="CV132" s="92"/>
      <c r="CW132" s="92"/>
      <c r="CX132" s="92"/>
      <c r="CY132" s="92"/>
      <c r="CZ132" s="92"/>
      <c r="DA132" s="92"/>
      <c r="DB132" s="92"/>
      <c r="DC132" s="92"/>
      <c r="DD132" s="92"/>
      <c r="DE132" s="92"/>
      <c r="DF132" s="92"/>
      <c r="DG132" s="92"/>
      <c r="DH132" s="92"/>
      <c r="DI132" s="92"/>
      <c r="DJ132" s="92"/>
      <c r="DK132" s="92"/>
      <c r="DL132" s="92"/>
      <c r="DM132" s="92"/>
      <c r="DN132" s="92"/>
      <c r="DO132" s="92"/>
      <c r="DP132" s="92"/>
      <c r="DQ132" s="92"/>
      <c r="DR132" s="92"/>
      <c r="DS132" s="92"/>
      <c r="DT132" s="92"/>
      <c r="DU132" s="92"/>
      <c r="DV132" s="92"/>
      <c r="DW132" s="92"/>
      <c r="DX132" s="92"/>
      <c r="DY132" s="92"/>
      <c r="DZ132" s="92"/>
      <c r="EA132" s="92"/>
      <c r="EB132" s="92"/>
      <c r="EC132" s="92"/>
      <c r="ED132" s="92"/>
      <c r="EE132" s="92"/>
      <c r="EF132" s="92"/>
      <c r="EG132" s="92"/>
      <c r="EH132" s="92"/>
      <c r="EI132" s="92"/>
      <c r="EJ132" s="92"/>
      <c r="EK132" s="92"/>
      <c r="EL132" s="92"/>
      <c r="EM132" s="92"/>
      <c r="EN132" s="92"/>
      <c r="EO132" s="92"/>
      <c r="EP132" s="92"/>
      <c r="EQ132" s="92"/>
      <c r="ER132" s="92"/>
      <c r="ES132" s="92"/>
      <c r="ET132" s="92"/>
      <c r="EU132" s="92"/>
      <c r="EV132" s="92"/>
      <c r="EW132" s="92"/>
      <c r="EX132" s="92"/>
      <c r="EY132" s="92"/>
      <c r="EZ132" s="92"/>
      <c r="FA132" s="92"/>
      <c r="FB132" s="92"/>
      <c r="FC132" s="92"/>
      <c r="FD132" s="92"/>
      <c r="FE132" s="92"/>
      <c r="FF132" s="92"/>
      <c r="FG132" s="92"/>
      <c r="FH132" s="92"/>
      <c r="FI132" s="92"/>
      <c r="FJ132" s="92"/>
      <c r="FK132" s="92"/>
      <c r="FL132" s="92"/>
      <c r="FM132" s="92"/>
      <c r="FN132" s="92"/>
      <c r="FO132" s="92"/>
      <c r="FP132" s="92"/>
      <c r="FQ132" s="92"/>
      <c r="FR132" s="92"/>
      <c r="FS132" s="92"/>
      <c r="FT132" s="92"/>
      <c r="FU132" s="92"/>
      <c r="FV132" s="92"/>
      <c r="FW132" s="92"/>
      <c r="FX132" s="92"/>
      <c r="FY132" s="92"/>
      <c r="FZ132" s="92"/>
      <c r="GA132" s="92"/>
      <c r="GB132" s="92"/>
      <c r="GC132" s="92"/>
      <c r="GD132" s="92"/>
      <c r="GE132" s="92"/>
      <c r="GF132" s="92"/>
      <c r="GG132" s="92"/>
      <c r="GH132" s="92"/>
      <c r="GI132" s="92"/>
      <c r="GJ132" s="92"/>
      <c r="GK132" s="92"/>
      <c r="GL132" s="92"/>
      <c r="GM132" s="92"/>
      <c r="GN132" s="92"/>
      <c r="GO132" s="92"/>
      <c r="GP132" s="92"/>
      <c r="GQ132" s="92"/>
      <c r="GR132" s="92"/>
      <c r="GS132" s="92"/>
      <c r="GT132" s="92"/>
      <c r="GU132" s="92"/>
      <c r="GV132" s="92"/>
      <c r="GW132" s="92"/>
      <c r="GX132" s="92"/>
      <c r="GY132" s="92"/>
      <c r="GZ132" s="92"/>
      <c r="HA132" s="92"/>
      <c r="HB132" s="92"/>
      <c r="HC132" s="92"/>
      <c r="HD132" s="92"/>
      <c r="HE132" s="92"/>
      <c r="HF132" s="92"/>
      <c r="HG132" s="92"/>
      <c r="HH132" s="92"/>
      <c r="HI132" s="92"/>
      <c r="HJ132" s="92"/>
      <c r="HK132" s="92"/>
      <c r="HL132" s="92"/>
      <c r="HM132" s="92"/>
      <c r="HN132" s="92"/>
      <c r="HO132" s="92"/>
      <c r="HP132" s="92"/>
      <c r="HQ132" s="92"/>
      <c r="HR132" s="92"/>
      <c r="HS132" s="92"/>
      <c r="HT132" s="92"/>
      <c r="HU132" s="92"/>
      <c r="HV132" s="92"/>
      <c r="HW132" s="92"/>
      <c r="HX132" s="92"/>
      <c r="HY132" s="92"/>
      <c r="HZ132" s="92"/>
      <c r="IA132" s="92"/>
      <c r="IB132" s="92"/>
      <c r="IC132" s="92"/>
      <c r="ID132" s="92"/>
      <c r="IE132" s="92"/>
      <c r="IF132" s="92"/>
      <c r="IG132" s="92"/>
      <c r="IH132" s="92"/>
      <c r="II132" s="92"/>
      <c r="IJ132" s="92"/>
      <c r="IK132" s="92"/>
      <c r="IL132" s="92"/>
      <c r="IM132" s="92"/>
      <c r="IN132" s="92"/>
      <c r="IO132" s="92"/>
      <c r="IP132" s="92"/>
      <c r="IQ132" s="92"/>
      <c r="IR132" s="92"/>
      <c r="IS132" s="92"/>
      <c r="IT132" s="92"/>
      <c r="IU132" s="92"/>
      <c r="IV132" s="92"/>
      <c r="IW132" s="92"/>
      <c r="IX132" s="92"/>
      <c r="IY132" s="92"/>
    </row>
    <row r="133" spans="1:259" x14ac:dyDescent="0.3">
      <c r="A133" s="6" t="s">
        <v>437</v>
      </c>
      <c r="B133" s="9"/>
      <c r="C133" s="6"/>
      <c r="D133" s="6"/>
      <c r="E133" s="9" t="s">
        <v>437</v>
      </c>
      <c r="F133" s="2" t="s">
        <v>60</v>
      </c>
      <c r="G133" s="2" t="s">
        <v>464</v>
      </c>
      <c r="H133" s="4"/>
      <c r="I133" s="4" t="s">
        <v>308</v>
      </c>
      <c r="J133" s="94"/>
      <c r="K133" s="88">
        <f t="shared" ref="K133" si="61">L133-M133</f>
        <v>1</v>
      </c>
      <c r="L133" s="89">
        <v>2</v>
      </c>
      <c r="M133" s="88">
        <f t="shared" ref="M133:M142" si="62">SUM(O133:IY133)</f>
        <v>1</v>
      </c>
      <c r="N133" s="88">
        <f t="shared" ref="N133" si="63">K133</f>
        <v>1</v>
      </c>
      <c r="O133" s="90"/>
      <c r="P133" s="90"/>
      <c r="Q133" s="90"/>
      <c r="R133" s="90"/>
      <c r="S133" s="90"/>
      <c r="T133" s="90"/>
      <c r="U133" s="90"/>
      <c r="V133" s="88">
        <f>1</f>
        <v>1</v>
      </c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1"/>
      <c r="AU133" s="30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2"/>
      <c r="BY133" s="92"/>
      <c r="BZ133" s="92"/>
      <c r="CA133" s="92"/>
      <c r="CB133" s="92"/>
      <c r="CC133" s="92"/>
      <c r="CD133" s="92"/>
      <c r="CE133" s="92"/>
      <c r="CF133" s="92"/>
      <c r="CG133" s="92"/>
      <c r="CH133" s="92"/>
      <c r="CI133" s="92"/>
      <c r="CJ133" s="92"/>
      <c r="CK133" s="92"/>
      <c r="CL133" s="92"/>
      <c r="CM133" s="92"/>
      <c r="CN133" s="92"/>
      <c r="CO133" s="92"/>
      <c r="CP133" s="92"/>
      <c r="CQ133" s="92"/>
      <c r="CR133" s="92"/>
      <c r="CS133" s="92"/>
      <c r="CT133" s="92"/>
      <c r="CU133" s="92"/>
      <c r="CV133" s="92"/>
      <c r="CW133" s="92"/>
      <c r="CX133" s="92"/>
      <c r="CY133" s="92"/>
      <c r="CZ133" s="92"/>
      <c r="DA133" s="92"/>
      <c r="DB133" s="92"/>
      <c r="DC133" s="92"/>
      <c r="DD133" s="92"/>
      <c r="DE133" s="92"/>
      <c r="DF133" s="92"/>
      <c r="DG133" s="92"/>
      <c r="DH133" s="92"/>
      <c r="DI133" s="92"/>
      <c r="DJ133" s="92"/>
      <c r="DK133" s="92"/>
      <c r="DL133" s="92"/>
      <c r="DM133" s="92"/>
      <c r="DN133" s="92"/>
      <c r="DO133" s="92"/>
      <c r="DP133" s="92"/>
      <c r="DQ133" s="92"/>
      <c r="DR133" s="92"/>
      <c r="DS133" s="92"/>
      <c r="DT133" s="92"/>
      <c r="DU133" s="92"/>
      <c r="DV133" s="92"/>
      <c r="DW133" s="92"/>
      <c r="DX133" s="92"/>
      <c r="DY133" s="92"/>
      <c r="DZ133" s="92"/>
      <c r="EA133" s="92"/>
      <c r="EB133" s="92"/>
      <c r="EC133" s="92"/>
      <c r="ED133" s="92"/>
      <c r="EE133" s="92"/>
      <c r="EF133" s="92"/>
      <c r="EG133" s="92"/>
      <c r="EH133" s="92"/>
      <c r="EI133" s="92"/>
      <c r="EJ133" s="92"/>
      <c r="EK133" s="92"/>
      <c r="EL133" s="92"/>
      <c r="EM133" s="92"/>
      <c r="EN133" s="92"/>
      <c r="EO133" s="92"/>
      <c r="EP133" s="92"/>
      <c r="EQ133" s="92"/>
      <c r="ER133" s="92"/>
      <c r="ES133" s="92"/>
      <c r="ET133" s="92"/>
      <c r="EU133" s="92"/>
      <c r="EV133" s="92"/>
      <c r="EW133" s="92"/>
      <c r="EX133" s="92"/>
      <c r="EY133" s="92"/>
      <c r="EZ133" s="92"/>
      <c r="FA133" s="92"/>
      <c r="FB133" s="92"/>
      <c r="FC133" s="92"/>
      <c r="FD133" s="92"/>
      <c r="FE133" s="92"/>
      <c r="FF133" s="92"/>
      <c r="FG133" s="92"/>
      <c r="FH133" s="92"/>
      <c r="FI133" s="92"/>
      <c r="FJ133" s="92"/>
      <c r="FK133" s="92"/>
      <c r="FL133" s="92"/>
      <c r="FM133" s="92"/>
      <c r="FN133" s="92"/>
      <c r="FO133" s="92"/>
      <c r="FP133" s="92"/>
      <c r="FQ133" s="92"/>
      <c r="FR133" s="92"/>
      <c r="FS133" s="92"/>
      <c r="FT133" s="92"/>
      <c r="FU133" s="92"/>
      <c r="FV133" s="92"/>
      <c r="FW133" s="92"/>
      <c r="FX133" s="92"/>
      <c r="FY133" s="92"/>
      <c r="FZ133" s="92"/>
      <c r="GA133" s="92"/>
      <c r="GB133" s="92"/>
      <c r="GC133" s="92"/>
      <c r="GD133" s="92"/>
      <c r="GE133" s="92"/>
      <c r="GF133" s="92"/>
      <c r="GG133" s="92"/>
      <c r="GH133" s="92"/>
      <c r="GI133" s="92"/>
      <c r="GJ133" s="92"/>
      <c r="GK133" s="92"/>
      <c r="GL133" s="92"/>
      <c r="GM133" s="92"/>
      <c r="GN133" s="92"/>
      <c r="GO133" s="92"/>
      <c r="GP133" s="92"/>
      <c r="GQ133" s="92"/>
      <c r="GR133" s="92"/>
      <c r="GS133" s="92"/>
      <c r="GT133" s="92"/>
      <c r="GU133" s="92"/>
      <c r="GV133" s="92"/>
      <c r="GW133" s="92"/>
      <c r="GX133" s="92"/>
      <c r="GY133" s="92"/>
      <c r="GZ133" s="92"/>
      <c r="HA133" s="92"/>
      <c r="HB133" s="92"/>
      <c r="HC133" s="92"/>
      <c r="HD133" s="92"/>
      <c r="HE133" s="92"/>
      <c r="HF133" s="92"/>
      <c r="HG133" s="92"/>
      <c r="HH133" s="92"/>
      <c r="HI133" s="92"/>
      <c r="HJ133" s="92"/>
      <c r="HK133" s="92"/>
      <c r="HL133" s="92"/>
      <c r="HM133" s="92"/>
      <c r="HN133" s="92"/>
      <c r="HO133" s="92"/>
      <c r="HP133" s="92"/>
      <c r="HQ133" s="92"/>
      <c r="HR133" s="92"/>
      <c r="HS133" s="92"/>
      <c r="HT133" s="92"/>
      <c r="HU133" s="92"/>
      <c r="HV133" s="92"/>
      <c r="HW133" s="92"/>
      <c r="HX133" s="92"/>
      <c r="HY133" s="92"/>
      <c r="HZ133" s="92"/>
      <c r="IA133" s="92"/>
      <c r="IB133" s="92"/>
      <c r="IC133" s="92"/>
      <c r="ID133" s="92"/>
      <c r="IE133" s="92"/>
      <c r="IF133" s="92"/>
      <c r="IG133" s="92"/>
      <c r="IH133" s="92"/>
      <c r="II133" s="92"/>
      <c r="IJ133" s="92"/>
      <c r="IK133" s="92"/>
      <c r="IL133" s="92"/>
      <c r="IM133" s="92"/>
      <c r="IN133" s="92"/>
      <c r="IO133" s="92"/>
      <c r="IP133" s="92"/>
      <c r="IQ133" s="92"/>
      <c r="IR133" s="92"/>
      <c r="IS133" s="92"/>
      <c r="IT133" s="92"/>
      <c r="IU133" s="92"/>
      <c r="IV133" s="92"/>
      <c r="IW133" s="92"/>
      <c r="IX133" s="92"/>
      <c r="IY133" s="92"/>
    </row>
    <row r="134" spans="1:259" x14ac:dyDescent="0.3">
      <c r="A134" s="2" t="s">
        <v>309</v>
      </c>
      <c r="B134" s="2"/>
      <c r="C134" s="2"/>
      <c r="D134" s="2"/>
      <c r="E134" s="7" t="s">
        <v>309</v>
      </c>
      <c r="F134" s="92" t="s">
        <v>60</v>
      </c>
      <c r="G134" s="2" t="s">
        <v>492</v>
      </c>
      <c r="H134" s="4"/>
      <c r="I134" s="2" t="s">
        <v>491</v>
      </c>
      <c r="J134" s="94"/>
      <c r="K134" s="88">
        <f t="shared" ref="K134" si="64">L134-M134</f>
        <v>1</v>
      </c>
      <c r="L134" s="89">
        <v>2</v>
      </c>
      <c r="M134" s="88">
        <f t="shared" si="62"/>
        <v>1</v>
      </c>
      <c r="N134" s="88">
        <f t="shared" ref="N134" si="65">K134</f>
        <v>1</v>
      </c>
      <c r="O134" s="88">
        <f>1</f>
        <v>1</v>
      </c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1"/>
      <c r="AU134" s="30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2"/>
      <c r="BY134" s="92"/>
      <c r="BZ134" s="92"/>
      <c r="CA134" s="92"/>
      <c r="CB134" s="92"/>
      <c r="CC134" s="92"/>
      <c r="CD134" s="92"/>
      <c r="CE134" s="92"/>
      <c r="CF134" s="92"/>
      <c r="CG134" s="92"/>
      <c r="CH134" s="92"/>
      <c r="CI134" s="92"/>
      <c r="CJ134" s="92"/>
      <c r="CK134" s="92"/>
      <c r="CL134" s="92"/>
      <c r="CM134" s="92"/>
      <c r="CN134" s="92"/>
      <c r="CO134" s="92"/>
      <c r="CP134" s="92"/>
      <c r="CQ134" s="92"/>
      <c r="CR134" s="92"/>
      <c r="CS134" s="92"/>
      <c r="CT134" s="92"/>
      <c r="CU134" s="92"/>
      <c r="CV134" s="92"/>
      <c r="CW134" s="92"/>
      <c r="CX134" s="92"/>
      <c r="CY134" s="92"/>
      <c r="CZ134" s="92"/>
      <c r="DA134" s="92"/>
      <c r="DB134" s="92"/>
      <c r="DC134" s="92"/>
      <c r="DD134" s="92"/>
      <c r="DE134" s="92"/>
      <c r="DF134" s="92"/>
      <c r="DG134" s="92"/>
      <c r="DH134" s="92"/>
      <c r="DI134" s="92"/>
      <c r="DJ134" s="92"/>
      <c r="DK134" s="92"/>
      <c r="DL134" s="92"/>
      <c r="DM134" s="92"/>
      <c r="DN134" s="92"/>
      <c r="DO134" s="92"/>
      <c r="DP134" s="92"/>
      <c r="DQ134" s="92"/>
      <c r="DR134" s="92"/>
      <c r="DS134" s="92"/>
      <c r="DT134" s="92"/>
      <c r="DU134" s="92"/>
      <c r="DV134" s="92"/>
      <c r="DW134" s="92"/>
      <c r="DX134" s="92"/>
      <c r="DY134" s="92"/>
      <c r="DZ134" s="92"/>
      <c r="EA134" s="92"/>
      <c r="EB134" s="92"/>
      <c r="EC134" s="92"/>
      <c r="ED134" s="92"/>
      <c r="EE134" s="92"/>
      <c r="EF134" s="92"/>
      <c r="EG134" s="92"/>
      <c r="EH134" s="92"/>
      <c r="EI134" s="92"/>
      <c r="EJ134" s="92"/>
      <c r="EK134" s="92"/>
      <c r="EL134" s="92"/>
      <c r="EM134" s="92"/>
      <c r="EN134" s="92"/>
      <c r="EO134" s="92"/>
      <c r="EP134" s="92"/>
      <c r="EQ134" s="92"/>
      <c r="ER134" s="92"/>
      <c r="ES134" s="92"/>
      <c r="ET134" s="92"/>
      <c r="EU134" s="92"/>
      <c r="EV134" s="92"/>
      <c r="EW134" s="92"/>
      <c r="EX134" s="92"/>
      <c r="EY134" s="92"/>
      <c r="EZ134" s="92"/>
      <c r="FA134" s="92"/>
      <c r="FB134" s="92"/>
      <c r="FC134" s="92"/>
      <c r="FD134" s="92"/>
      <c r="FE134" s="92"/>
      <c r="FF134" s="92"/>
      <c r="FG134" s="92"/>
      <c r="FH134" s="92"/>
      <c r="FI134" s="92"/>
      <c r="FJ134" s="92"/>
      <c r="FK134" s="92"/>
      <c r="FL134" s="92"/>
      <c r="FM134" s="92"/>
      <c r="FN134" s="92"/>
      <c r="FO134" s="92"/>
      <c r="FP134" s="92"/>
      <c r="FQ134" s="92"/>
      <c r="FR134" s="92"/>
      <c r="FS134" s="92"/>
      <c r="FT134" s="92"/>
      <c r="FU134" s="92"/>
      <c r="FV134" s="92"/>
      <c r="FW134" s="92"/>
      <c r="FX134" s="92"/>
      <c r="FY134" s="92"/>
      <c r="FZ134" s="92"/>
      <c r="GA134" s="92"/>
      <c r="GB134" s="92"/>
      <c r="GC134" s="92"/>
      <c r="GD134" s="92"/>
      <c r="GE134" s="92"/>
      <c r="GF134" s="92"/>
      <c r="GG134" s="92"/>
      <c r="GH134" s="92"/>
      <c r="GI134" s="92"/>
      <c r="GJ134" s="92"/>
      <c r="GK134" s="92"/>
      <c r="GL134" s="92"/>
      <c r="GM134" s="92"/>
      <c r="GN134" s="92"/>
      <c r="GO134" s="92"/>
      <c r="GP134" s="92"/>
      <c r="GQ134" s="92"/>
      <c r="GR134" s="92"/>
      <c r="GS134" s="92"/>
      <c r="GT134" s="92"/>
      <c r="GU134" s="92"/>
      <c r="GV134" s="92"/>
      <c r="GW134" s="92"/>
      <c r="GX134" s="92"/>
      <c r="GY134" s="92"/>
      <c r="GZ134" s="92"/>
      <c r="HA134" s="92"/>
      <c r="HB134" s="92"/>
      <c r="HC134" s="92"/>
      <c r="HD134" s="92"/>
      <c r="HE134" s="92"/>
      <c r="HF134" s="92"/>
      <c r="HG134" s="92"/>
      <c r="HH134" s="92"/>
      <c r="HI134" s="92"/>
      <c r="HJ134" s="92"/>
      <c r="HK134" s="92"/>
      <c r="HL134" s="92"/>
      <c r="HM134" s="92"/>
      <c r="HN134" s="92"/>
      <c r="HO134" s="92"/>
      <c r="HP134" s="92"/>
      <c r="HQ134" s="92"/>
      <c r="HR134" s="92"/>
      <c r="HS134" s="92"/>
      <c r="HT134" s="92"/>
      <c r="HU134" s="92"/>
      <c r="HV134" s="92"/>
      <c r="HW134" s="92"/>
      <c r="HX134" s="92"/>
      <c r="HY134" s="92"/>
      <c r="HZ134" s="92"/>
      <c r="IA134" s="92"/>
      <c r="IB134" s="92"/>
      <c r="IC134" s="92"/>
      <c r="ID134" s="92"/>
      <c r="IE134" s="92"/>
      <c r="IF134" s="92"/>
      <c r="IG134" s="92"/>
      <c r="IH134" s="92"/>
      <c r="II134" s="92"/>
      <c r="IJ134" s="92"/>
      <c r="IK134" s="92"/>
      <c r="IL134" s="92"/>
      <c r="IM134" s="92"/>
      <c r="IN134" s="92"/>
      <c r="IO134" s="92"/>
      <c r="IP134" s="92"/>
      <c r="IQ134" s="92"/>
      <c r="IR134" s="92"/>
      <c r="IS134" s="92"/>
      <c r="IT134" s="92"/>
      <c r="IU134" s="92"/>
      <c r="IV134" s="92"/>
      <c r="IW134" s="92"/>
      <c r="IX134" s="92"/>
      <c r="IY134" s="92"/>
    </row>
    <row r="135" spans="1:259" x14ac:dyDescent="0.3">
      <c r="A135" s="2" t="s">
        <v>309</v>
      </c>
      <c r="B135" s="2"/>
      <c r="C135" s="2"/>
      <c r="D135" s="2"/>
      <c r="E135" s="7" t="s">
        <v>309</v>
      </c>
      <c r="F135" s="2"/>
      <c r="G135" s="2" t="s">
        <v>291</v>
      </c>
      <c r="H135" s="2"/>
      <c r="I135" s="2" t="s">
        <v>308</v>
      </c>
      <c r="J135" s="87"/>
      <c r="K135" s="88">
        <f>(L135-M135)</f>
        <v>0</v>
      </c>
      <c r="L135" s="89">
        <v>3</v>
      </c>
      <c r="M135" s="88">
        <f t="shared" si="62"/>
        <v>3</v>
      </c>
      <c r="N135" s="88">
        <f>K135</f>
        <v>0</v>
      </c>
      <c r="O135" s="90"/>
      <c r="P135" s="90"/>
      <c r="Q135" s="90"/>
      <c r="R135" s="90"/>
      <c r="S135" s="90"/>
      <c r="T135" s="90"/>
      <c r="U135" s="90"/>
      <c r="V135" s="88">
        <f>1</f>
        <v>1</v>
      </c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1"/>
      <c r="AU135" s="35">
        <f>2</f>
        <v>2</v>
      </c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2"/>
      <c r="BY135" s="92"/>
      <c r="BZ135" s="92"/>
      <c r="CA135" s="92"/>
      <c r="CB135" s="92"/>
      <c r="CC135" s="92"/>
      <c r="CD135" s="92"/>
      <c r="CE135" s="92"/>
      <c r="CF135" s="92"/>
      <c r="CG135" s="92"/>
      <c r="CH135" s="92"/>
      <c r="CI135" s="92"/>
      <c r="CJ135" s="92"/>
      <c r="CK135" s="92"/>
      <c r="CL135" s="92"/>
      <c r="CM135" s="92"/>
      <c r="CN135" s="92"/>
      <c r="CO135" s="92"/>
      <c r="CP135" s="92"/>
      <c r="CQ135" s="92"/>
      <c r="CR135" s="92"/>
      <c r="CS135" s="92"/>
      <c r="CT135" s="92"/>
      <c r="CU135" s="92"/>
      <c r="CV135" s="92"/>
      <c r="CW135" s="92"/>
      <c r="CX135" s="92"/>
      <c r="CY135" s="92"/>
      <c r="CZ135" s="92"/>
      <c r="DA135" s="92"/>
      <c r="DB135" s="92"/>
      <c r="DC135" s="92"/>
      <c r="DD135" s="92"/>
      <c r="DE135" s="92"/>
      <c r="DF135" s="92"/>
      <c r="DG135" s="92"/>
      <c r="DH135" s="92"/>
      <c r="DI135" s="92"/>
      <c r="DJ135" s="92"/>
      <c r="DK135" s="92"/>
      <c r="DL135" s="92"/>
      <c r="DM135" s="92"/>
      <c r="DN135" s="92"/>
      <c r="DO135" s="92"/>
      <c r="DP135" s="92"/>
      <c r="DQ135" s="92"/>
      <c r="DR135" s="92"/>
      <c r="DS135" s="92"/>
      <c r="DT135" s="92"/>
      <c r="DU135" s="92"/>
      <c r="DV135" s="92"/>
      <c r="DW135" s="92"/>
      <c r="DX135" s="92"/>
      <c r="DY135" s="92"/>
      <c r="DZ135" s="92"/>
      <c r="EA135" s="92"/>
      <c r="EB135" s="92"/>
      <c r="EC135" s="92"/>
      <c r="ED135" s="92"/>
      <c r="EE135" s="92"/>
      <c r="EF135" s="92"/>
      <c r="EG135" s="92"/>
      <c r="EH135" s="92"/>
      <c r="EI135" s="92"/>
      <c r="EJ135" s="92"/>
      <c r="EK135" s="92"/>
      <c r="EL135" s="92"/>
      <c r="EM135" s="92"/>
      <c r="EN135" s="92"/>
      <c r="EO135" s="92"/>
      <c r="EP135" s="92"/>
      <c r="EQ135" s="92"/>
      <c r="ER135" s="92"/>
      <c r="ES135" s="92"/>
      <c r="ET135" s="92"/>
      <c r="EU135" s="92"/>
      <c r="EV135" s="92"/>
      <c r="EW135" s="92"/>
      <c r="EX135" s="92"/>
      <c r="EY135" s="92"/>
      <c r="EZ135" s="92"/>
      <c r="FA135" s="92"/>
      <c r="FB135" s="92"/>
      <c r="FC135" s="92"/>
      <c r="FD135" s="92"/>
      <c r="FE135" s="92"/>
      <c r="FF135" s="92"/>
      <c r="FG135" s="92"/>
      <c r="FH135" s="92"/>
      <c r="FI135" s="92"/>
      <c r="FJ135" s="92"/>
      <c r="FK135" s="92"/>
      <c r="FL135" s="92"/>
      <c r="FM135" s="92"/>
      <c r="FN135" s="92"/>
      <c r="FO135" s="92"/>
      <c r="FP135" s="92"/>
      <c r="FQ135" s="92"/>
      <c r="FR135" s="92"/>
      <c r="FS135" s="92"/>
      <c r="FT135" s="92"/>
      <c r="FU135" s="92"/>
      <c r="FV135" s="92"/>
      <c r="FW135" s="92"/>
      <c r="FX135" s="92"/>
      <c r="FY135" s="92"/>
      <c r="FZ135" s="92"/>
      <c r="GA135" s="92"/>
      <c r="GB135" s="92"/>
      <c r="GC135" s="92"/>
      <c r="GD135" s="92"/>
      <c r="GE135" s="92"/>
      <c r="GF135" s="92"/>
      <c r="GG135" s="92"/>
      <c r="GH135" s="92"/>
      <c r="GI135" s="92"/>
      <c r="GJ135" s="92"/>
      <c r="GK135" s="92"/>
      <c r="GL135" s="92"/>
      <c r="GM135" s="92"/>
      <c r="GN135" s="92"/>
      <c r="GO135" s="92"/>
      <c r="GP135" s="92"/>
      <c r="GQ135" s="92"/>
      <c r="GR135" s="92"/>
      <c r="GS135" s="92"/>
      <c r="GT135" s="92"/>
      <c r="GU135" s="92"/>
      <c r="GV135" s="92"/>
      <c r="GW135" s="92"/>
      <c r="GX135" s="92"/>
      <c r="GY135" s="92"/>
      <c r="GZ135" s="92"/>
      <c r="HA135" s="92"/>
      <c r="HB135" s="92"/>
      <c r="HC135" s="92"/>
      <c r="HD135" s="92"/>
      <c r="HE135" s="92"/>
      <c r="HF135" s="92"/>
      <c r="HG135" s="92"/>
      <c r="HH135" s="92"/>
      <c r="HI135" s="92"/>
      <c r="HJ135" s="92"/>
      <c r="HK135" s="92"/>
      <c r="HL135" s="92"/>
      <c r="HM135" s="92"/>
      <c r="HN135" s="92"/>
      <c r="HO135" s="92"/>
      <c r="HP135" s="92"/>
      <c r="HQ135" s="92"/>
      <c r="HR135" s="92"/>
      <c r="HS135" s="92"/>
      <c r="HT135" s="92"/>
      <c r="HU135" s="92"/>
      <c r="HV135" s="92"/>
      <c r="HW135" s="92"/>
      <c r="HX135" s="92"/>
      <c r="HY135" s="92"/>
      <c r="HZ135" s="92"/>
      <c r="IA135" s="92"/>
      <c r="IB135" s="92"/>
      <c r="IC135" s="92"/>
      <c r="ID135" s="92"/>
      <c r="IE135" s="92"/>
      <c r="IF135" s="92"/>
      <c r="IG135" s="92"/>
      <c r="IH135" s="92"/>
      <c r="II135" s="92"/>
      <c r="IJ135" s="92"/>
      <c r="IK135" s="92"/>
      <c r="IL135" s="92"/>
      <c r="IM135" s="92"/>
      <c r="IN135" s="92"/>
      <c r="IO135" s="92"/>
      <c r="IP135" s="92"/>
      <c r="IQ135" s="92"/>
      <c r="IR135" s="92"/>
      <c r="IS135" s="92"/>
      <c r="IT135" s="92"/>
      <c r="IU135" s="92"/>
      <c r="IV135" s="92"/>
      <c r="IW135" s="92"/>
      <c r="IX135" s="92"/>
      <c r="IY135" s="92"/>
    </row>
    <row r="136" spans="1:259" ht="14.25" customHeight="1" x14ac:dyDescent="0.3">
      <c r="A136" s="2" t="s">
        <v>190</v>
      </c>
      <c r="B136" s="7" t="s">
        <v>191</v>
      </c>
      <c r="C136" s="2"/>
      <c r="D136" s="2"/>
      <c r="E136" s="7" t="s">
        <v>191</v>
      </c>
      <c r="F136" s="2" t="s">
        <v>250</v>
      </c>
      <c r="G136" s="2" t="s">
        <v>291</v>
      </c>
      <c r="H136" s="4" t="s">
        <v>292</v>
      </c>
      <c r="I136" s="4" t="s">
        <v>308</v>
      </c>
      <c r="J136" s="94"/>
      <c r="K136" s="88">
        <f t="shared" si="0"/>
        <v>1</v>
      </c>
      <c r="L136" s="89">
        <v>1</v>
      </c>
      <c r="M136" s="88">
        <f t="shared" si="62"/>
        <v>0</v>
      </c>
      <c r="N136" s="88">
        <f t="shared" si="2"/>
        <v>1</v>
      </c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1"/>
      <c r="AU136" s="30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2"/>
      <c r="BY136" s="92"/>
      <c r="BZ136" s="92"/>
      <c r="CA136" s="92"/>
      <c r="CB136" s="92"/>
      <c r="CC136" s="92"/>
      <c r="CD136" s="92"/>
      <c r="CE136" s="92"/>
      <c r="CF136" s="92"/>
      <c r="CG136" s="92"/>
      <c r="CH136" s="92"/>
      <c r="CI136" s="92"/>
      <c r="CJ136" s="92"/>
      <c r="CK136" s="92"/>
      <c r="CL136" s="92"/>
      <c r="CM136" s="92"/>
      <c r="CN136" s="92"/>
      <c r="CO136" s="92"/>
      <c r="CP136" s="92"/>
      <c r="CQ136" s="92"/>
      <c r="CR136" s="92"/>
      <c r="CS136" s="92"/>
      <c r="CT136" s="92"/>
      <c r="CU136" s="92"/>
      <c r="CV136" s="92"/>
      <c r="CW136" s="92"/>
      <c r="CX136" s="92"/>
      <c r="CY136" s="92"/>
      <c r="CZ136" s="92"/>
      <c r="DA136" s="92"/>
      <c r="DB136" s="92"/>
      <c r="DC136" s="92"/>
      <c r="DD136" s="92"/>
      <c r="DE136" s="92"/>
      <c r="DF136" s="92"/>
      <c r="DG136" s="92"/>
      <c r="DH136" s="92"/>
      <c r="DI136" s="92"/>
      <c r="DJ136" s="92"/>
      <c r="DK136" s="92"/>
      <c r="DL136" s="92"/>
      <c r="DM136" s="92"/>
      <c r="DN136" s="92"/>
      <c r="DO136" s="92"/>
      <c r="DP136" s="92"/>
      <c r="DQ136" s="92"/>
      <c r="DR136" s="92"/>
      <c r="DS136" s="92"/>
      <c r="DT136" s="92"/>
      <c r="DU136" s="92"/>
      <c r="DV136" s="92"/>
      <c r="DW136" s="92"/>
      <c r="DX136" s="92"/>
      <c r="DY136" s="92"/>
      <c r="DZ136" s="92"/>
      <c r="EA136" s="92"/>
      <c r="EB136" s="92"/>
      <c r="EC136" s="92"/>
      <c r="ED136" s="92"/>
      <c r="EE136" s="92"/>
      <c r="EF136" s="92"/>
      <c r="EG136" s="92"/>
      <c r="EH136" s="92"/>
      <c r="EI136" s="92"/>
      <c r="EJ136" s="92"/>
      <c r="EK136" s="92"/>
      <c r="EL136" s="92"/>
      <c r="EM136" s="92"/>
      <c r="EN136" s="92"/>
      <c r="EO136" s="92"/>
      <c r="EP136" s="92"/>
      <c r="EQ136" s="92"/>
      <c r="ER136" s="92"/>
      <c r="ES136" s="92"/>
      <c r="ET136" s="92"/>
      <c r="EU136" s="92"/>
      <c r="EV136" s="92"/>
      <c r="EW136" s="92"/>
      <c r="EX136" s="92"/>
      <c r="EY136" s="92"/>
      <c r="EZ136" s="92"/>
      <c r="FA136" s="92"/>
      <c r="FB136" s="92"/>
      <c r="FC136" s="92"/>
      <c r="FD136" s="92"/>
      <c r="FE136" s="92"/>
      <c r="FF136" s="92"/>
      <c r="FG136" s="92"/>
      <c r="FH136" s="92"/>
      <c r="FI136" s="92"/>
      <c r="FJ136" s="92"/>
      <c r="FK136" s="92"/>
      <c r="FL136" s="92"/>
      <c r="FM136" s="92"/>
      <c r="FN136" s="92"/>
      <c r="FO136" s="92"/>
      <c r="FP136" s="92"/>
      <c r="FQ136" s="92"/>
      <c r="FR136" s="92"/>
      <c r="FS136" s="92"/>
      <c r="FT136" s="92"/>
      <c r="FU136" s="92"/>
      <c r="FV136" s="92"/>
      <c r="FW136" s="92"/>
      <c r="FX136" s="92"/>
      <c r="FY136" s="92"/>
      <c r="FZ136" s="92"/>
      <c r="GA136" s="92"/>
      <c r="GB136" s="92"/>
      <c r="GC136" s="92"/>
      <c r="GD136" s="92"/>
      <c r="GE136" s="92"/>
      <c r="GF136" s="92"/>
      <c r="GG136" s="92"/>
      <c r="GH136" s="92"/>
      <c r="GI136" s="92"/>
      <c r="GJ136" s="92"/>
      <c r="GK136" s="92"/>
      <c r="GL136" s="92"/>
      <c r="GM136" s="92"/>
      <c r="GN136" s="92"/>
      <c r="GO136" s="92"/>
      <c r="GP136" s="92"/>
      <c r="GQ136" s="92"/>
      <c r="GR136" s="92"/>
      <c r="GS136" s="92"/>
      <c r="GT136" s="92"/>
      <c r="GU136" s="92"/>
      <c r="GV136" s="92"/>
      <c r="GW136" s="92"/>
      <c r="GX136" s="92"/>
      <c r="GY136" s="92"/>
      <c r="GZ136" s="92"/>
      <c r="HA136" s="92"/>
      <c r="HB136" s="92"/>
      <c r="HC136" s="92"/>
      <c r="HD136" s="92"/>
      <c r="HE136" s="92"/>
      <c r="HF136" s="92"/>
      <c r="HG136" s="92"/>
      <c r="HH136" s="92"/>
      <c r="HI136" s="92"/>
      <c r="HJ136" s="92"/>
      <c r="HK136" s="92"/>
      <c r="HL136" s="92"/>
      <c r="HM136" s="92"/>
      <c r="HN136" s="92"/>
      <c r="HO136" s="92"/>
      <c r="HP136" s="92"/>
      <c r="HQ136" s="92"/>
      <c r="HR136" s="92"/>
      <c r="HS136" s="92"/>
      <c r="HT136" s="92"/>
      <c r="HU136" s="92"/>
      <c r="HV136" s="92"/>
      <c r="HW136" s="92"/>
      <c r="HX136" s="92"/>
      <c r="HY136" s="92"/>
      <c r="HZ136" s="92"/>
      <c r="IA136" s="92"/>
      <c r="IB136" s="92"/>
      <c r="IC136" s="92"/>
      <c r="ID136" s="92"/>
      <c r="IE136" s="92"/>
      <c r="IF136" s="92"/>
      <c r="IG136" s="92"/>
      <c r="IH136" s="92"/>
      <c r="II136" s="92"/>
      <c r="IJ136" s="92"/>
      <c r="IK136" s="92"/>
      <c r="IL136" s="92"/>
      <c r="IM136" s="92"/>
      <c r="IN136" s="92"/>
      <c r="IO136" s="92"/>
      <c r="IP136" s="92"/>
      <c r="IQ136" s="92"/>
      <c r="IR136" s="92"/>
      <c r="IS136" s="92"/>
      <c r="IT136" s="92"/>
      <c r="IU136" s="92"/>
      <c r="IV136" s="92"/>
      <c r="IW136" s="92"/>
      <c r="IX136" s="92"/>
      <c r="IY136" s="92"/>
    </row>
    <row r="137" spans="1:259" ht="14.25" customHeight="1" x14ac:dyDescent="0.3">
      <c r="A137" s="2" t="s">
        <v>190</v>
      </c>
      <c r="B137" s="7"/>
      <c r="C137" s="2"/>
      <c r="D137" s="2"/>
      <c r="E137" s="7" t="s">
        <v>191</v>
      </c>
      <c r="F137" s="2" t="s">
        <v>250</v>
      </c>
      <c r="G137" s="2" t="s">
        <v>358</v>
      </c>
      <c r="H137" s="4" t="s">
        <v>359</v>
      </c>
      <c r="I137" s="4" t="s">
        <v>308</v>
      </c>
      <c r="J137" s="94"/>
      <c r="K137" s="88">
        <f t="shared" si="0"/>
        <v>1</v>
      </c>
      <c r="L137" s="89">
        <v>1</v>
      </c>
      <c r="M137" s="88">
        <f t="shared" si="62"/>
        <v>0</v>
      </c>
      <c r="N137" s="88">
        <f t="shared" ref="N137" si="66">K137</f>
        <v>1</v>
      </c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1"/>
      <c r="AU137" s="30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2"/>
      <c r="BY137" s="92"/>
      <c r="BZ137" s="92"/>
      <c r="CA137" s="92"/>
      <c r="CB137" s="92"/>
      <c r="CC137" s="92"/>
      <c r="CD137" s="92"/>
      <c r="CE137" s="92"/>
      <c r="CF137" s="92"/>
      <c r="CG137" s="92"/>
      <c r="CH137" s="92"/>
      <c r="CI137" s="92"/>
      <c r="CJ137" s="92"/>
      <c r="CK137" s="92"/>
      <c r="CL137" s="92"/>
      <c r="CM137" s="92"/>
      <c r="CN137" s="92"/>
      <c r="CO137" s="92"/>
      <c r="CP137" s="92"/>
      <c r="CQ137" s="92"/>
      <c r="CR137" s="92"/>
      <c r="CS137" s="92"/>
      <c r="CT137" s="92"/>
      <c r="CU137" s="92"/>
      <c r="CV137" s="92"/>
      <c r="CW137" s="92"/>
      <c r="CX137" s="92"/>
      <c r="CY137" s="92"/>
      <c r="CZ137" s="92"/>
      <c r="DA137" s="92"/>
      <c r="DB137" s="92"/>
      <c r="DC137" s="92"/>
      <c r="DD137" s="92"/>
      <c r="DE137" s="92"/>
      <c r="DF137" s="92"/>
      <c r="DG137" s="92"/>
      <c r="DH137" s="92"/>
      <c r="DI137" s="92"/>
      <c r="DJ137" s="92"/>
      <c r="DK137" s="92"/>
      <c r="DL137" s="92"/>
      <c r="DM137" s="92"/>
      <c r="DN137" s="92"/>
      <c r="DO137" s="92"/>
      <c r="DP137" s="92"/>
      <c r="DQ137" s="92"/>
      <c r="DR137" s="92"/>
      <c r="DS137" s="92"/>
      <c r="DT137" s="92"/>
      <c r="DU137" s="92"/>
      <c r="DV137" s="92"/>
      <c r="DW137" s="92"/>
      <c r="DX137" s="92"/>
      <c r="DY137" s="92"/>
      <c r="DZ137" s="92"/>
      <c r="EA137" s="92"/>
      <c r="EB137" s="92"/>
      <c r="EC137" s="92"/>
      <c r="ED137" s="92"/>
      <c r="EE137" s="92"/>
      <c r="EF137" s="92"/>
      <c r="EG137" s="92"/>
      <c r="EH137" s="92"/>
      <c r="EI137" s="92"/>
      <c r="EJ137" s="92"/>
      <c r="EK137" s="92"/>
      <c r="EL137" s="92"/>
      <c r="EM137" s="92"/>
      <c r="EN137" s="92"/>
      <c r="EO137" s="92"/>
      <c r="EP137" s="92"/>
      <c r="EQ137" s="92"/>
      <c r="ER137" s="92"/>
      <c r="ES137" s="92"/>
      <c r="ET137" s="92"/>
      <c r="EU137" s="92"/>
      <c r="EV137" s="92"/>
      <c r="EW137" s="92"/>
      <c r="EX137" s="92"/>
      <c r="EY137" s="92"/>
      <c r="EZ137" s="92"/>
      <c r="FA137" s="92"/>
      <c r="FB137" s="92"/>
      <c r="FC137" s="92"/>
      <c r="FD137" s="92"/>
      <c r="FE137" s="92"/>
      <c r="FF137" s="92"/>
      <c r="FG137" s="92"/>
      <c r="FH137" s="92"/>
      <c r="FI137" s="92"/>
      <c r="FJ137" s="92"/>
      <c r="FK137" s="92"/>
      <c r="FL137" s="92"/>
      <c r="FM137" s="92"/>
      <c r="FN137" s="92"/>
      <c r="FO137" s="92"/>
      <c r="FP137" s="92"/>
      <c r="FQ137" s="92"/>
      <c r="FR137" s="92"/>
      <c r="FS137" s="92"/>
      <c r="FT137" s="92"/>
      <c r="FU137" s="92"/>
      <c r="FV137" s="92"/>
      <c r="FW137" s="92"/>
      <c r="FX137" s="92"/>
      <c r="FY137" s="92"/>
      <c r="FZ137" s="92"/>
      <c r="GA137" s="92"/>
      <c r="GB137" s="92"/>
      <c r="GC137" s="92"/>
      <c r="GD137" s="92"/>
      <c r="GE137" s="92"/>
      <c r="GF137" s="92"/>
      <c r="GG137" s="92"/>
      <c r="GH137" s="92"/>
      <c r="GI137" s="92"/>
      <c r="GJ137" s="92"/>
      <c r="GK137" s="92"/>
      <c r="GL137" s="92"/>
      <c r="GM137" s="92"/>
      <c r="GN137" s="92"/>
      <c r="GO137" s="92"/>
      <c r="GP137" s="92"/>
      <c r="GQ137" s="92"/>
      <c r="GR137" s="92"/>
      <c r="GS137" s="92"/>
      <c r="GT137" s="92"/>
      <c r="GU137" s="92"/>
      <c r="GV137" s="92"/>
      <c r="GW137" s="92"/>
      <c r="GX137" s="92"/>
      <c r="GY137" s="92"/>
      <c r="GZ137" s="92"/>
      <c r="HA137" s="92"/>
      <c r="HB137" s="92"/>
      <c r="HC137" s="92"/>
      <c r="HD137" s="92"/>
      <c r="HE137" s="92"/>
      <c r="HF137" s="92"/>
      <c r="HG137" s="92"/>
      <c r="HH137" s="92"/>
      <c r="HI137" s="92"/>
      <c r="HJ137" s="92"/>
      <c r="HK137" s="92"/>
      <c r="HL137" s="92"/>
      <c r="HM137" s="92"/>
      <c r="HN137" s="92"/>
      <c r="HO137" s="92"/>
      <c r="HP137" s="92"/>
      <c r="HQ137" s="92"/>
      <c r="HR137" s="92"/>
      <c r="HS137" s="92"/>
      <c r="HT137" s="92"/>
      <c r="HU137" s="92"/>
      <c r="HV137" s="92"/>
      <c r="HW137" s="92"/>
      <c r="HX137" s="92"/>
      <c r="HY137" s="92"/>
      <c r="HZ137" s="92"/>
      <c r="IA137" s="92"/>
      <c r="IB137" s="92"/>
      <c r="IC137" s="92"/>
      <c r="ID137" s="92"/>
      <c r="IE137" s="92"/>
      <c r="IF137" s="92"/>
      <c r="IG137" s="92"/>
      <c r="IH137" s="92"/>
      <c r="II137" s="92"/>
      <c r="IJ137" s="92"/>
      <c r="IK137" s="92"/>
      <c r="IL137" s="92"/>
      <c r="IM137" s="92"/>
      <c r="IN137" s="92"/>
      <c r="IO137" s="92"/>
      <c r="IP137" s="92"/>
      <c r="IQ137" s="92"/>
      <c r="IR137" s="92"/>
      <c r="IS137" s="92"/>
      <c r="IT137" s="92"/>
      <c r="IU137" s="92"/>
      <c r="IV137" s="92"/>
      <c r="IW137" s="92"/>
      <c r="IX137" s="92"/>
      <c r="IY137" s="92"/>
    </row>
    <row r="138" spans="1:259" ht="12.75" customHeight="1" x14ac:dyDescent="0.3">
      <c r="A138" s="2" t="s">
        <v>190</v>
      </c>
      <c r="B138" s="7" t="s">
        <v>191</v>
      </c>
      <c r="C138" s="2"/>
      <c r="D138" s="2"/>
      <c r="E138" s="7" t="s">
        <v>191</v>
      </c>
      <c r="F138" s="2" t="s">
        <v>250</v>
      </c>
      <c r="G138" s="2" t="s">
        <v>345</v>
      </c>
      <c r="H138" s="4" t="s">
        <v>293</v>
      </c>
      <c r="I138" s="4" t="s">
        <v>308</v>
      </c>
      <c r="J138" s="94"/>
      <c r="K138" s="88">
        <f t="shared" si="0"/>
        <v>1</v>
      </c>
      <c r="L138" s="89">
        <v>1</v>
      </c>
      <c r="M138" s="88">
        <f t="shared" si="62"/>
        <v>0</v>
      </c>
      <c r="N138" s="88">
        <f t="shared" si="2"/>
        <v>1</v>
      </c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1"/>
      <c r="AU138" s="30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2"/>
      <c r="BY138" s="92"/>
      <c r="BZ138" s="92"/>
      <c r="CA138" s="92"/>
      <c r="CB138" s="92"/>
      <c r="CC138" s="92"/>
      <c r="CD138" s="92"/>
      <c r="CE138" s="92"/>
      <c r="CF138" s="92"/>
      <c r="CG138" s="92"/>
      <c r="CH138" s="92"/>
      <c r="CI138" s="92"/>
      <c r="CJ138" s="92"/>
      <c r="CK138" s="92"/>
      <c r="CL138" s="92"/>
      <c r="CM138" s="92"/>
      <c r="CN138" s="92"/>
      <c r="CO138" s="92"/>
      <c r="CP138" s="92"/>
      <c r="CQ138" s="92"/>
      <c r="CR138" s="92"/>
      <c r="CS138" s="92"/>
      <c r="CT138" s="92"/>
      <c r="CU138" s="92"/>
      <c r="CV138" s="92"/>
      <c r="CW138" s="92"/>
      <c r="CX138" s="92"/>
      <c r="CY138" s="92"/>
      <c r="CZ138" s="92"/>
      <c r="DA138" s="92"/>
      <c r="DB138" s="92"/>
      <c r="DC138" s="92"/>
      <c r="DD138" s="92"/>
      <c r="DE138" s="92"/>
      <c r="DF138" s="92"/>
      <c r="DG138" s="92"/>
      <c r="DH138" s="92"/>
      <c r="DI138" s="92"/>
      <c r="DJ138" s="92"/>
      <c r="DK138" s="92"/>
      <c r="DL138" s="92"/>
      <c r="DM138" s="92"/>
      <c r="DN138" s="92"/>
      <c r="DO138" s="92"/>
      <c r="DP138" s="92"/>
      <c r="DQ138" s="92"/>
      <c r="DR138" s="92"/>
      <c r="DS138" s="92"/>
      <c r="DT138" s="92"/>
      <c r="DU138" s="92"/>
      <c r="DV138" s="92"/>
      <c r="DW138" s="92"/>
      <c r="DX138" s="92"/>
      <c r="DY138" s="92"/>
      <c r="DZ138" s="92"/>
      <c r="EA138" s="92"/>
      <c r="EB138" s="92"/>
      <c r="EC138" s="92"/>
      <c r="ED138" s="92"/>
      <c r="EE138" s="92"/>
      <c r="EF138" s="92"/>
      <c r="EG138" s="92"/>
      <c r="EH138" s="92"/>
      <c r="EI138" s="92"/>
      <c r="EJ138" s="92"/>
      <c r="EK138" s="92"/>
      <c r="EL138" s="92"/>
      <c r="EM138" s="92"/>
      <c r="EN138" s="92"/>
      <c r="EO138" s="92"/>
      <c r="EP138" s="92"/>
      <c r="EQ138" s="92"/>
      <c r="ER138" s="92"/>
      <c r="ES138" s="92"/>
      <c r="ET138" s="92"/>
      <c r="EU138" s="92"/>
      <c r="EV138" s="92"/>
      <c r="EW138" s="92"/>
      <c r="EX138" s="92"/>
      <c r="EY138" s="92"/>
      <c r="EZ138" s="92"/>
      <c r="FA138" s="92"/>
      <c r="FB138" s="92"/>
      <c r="FC138" s="92"/>
      <c r="FD138" s="92"/>
      <c r="FE138" s="92"/>
      <c r="FF138" s="92"/>
      <c r="FG138" s="92"/>
      <c r="FH138" s="92"/>
      <c r="FI138" s="92"/>
      <c r="FJ138" s="92"/>
      <c r="FK138" s="92"/>
      <c r="FL138" s="92"/>
      <c r="FM138" s="92"/>
      <c r="FN138" s="92"/>
      <c r="FO138" s="92"/>
      <c r="FP138" s="92"/>
      <c r="FQ138" s="92"/>
      <c r="FR138" s="92"/>
      <c r="FS138" s="92"/>
      <c r="FT138" s="92"/>
      <c r="FU138" s="92"/>
      <c r="FV138" s="92"/>
      <c r="FW138" s="92"/>
      <c r="FX138" s="92"/>
      <c r="FY138" s="92"/>
      <c r="FZ138" s="92"/>
      <c r="GA138" s="92"/>
      <c r="GB138" s="92"/>
      <c r="GC138" s="92"/>
      <c r="GD138" s="92"/>
      <c r="GE138" s="92"/>
      <c r="GF138" s="92"/>
      <c r="GG138" s="92"/>
      <c r="GH138" s="92"/>
      <c r="GI138" s="92"/>
      <c r="GJ138" s="92"/>
      <c r="GK138" s="92"/>
      <c r="GL138" s="92"/>
      <c r="GM138" s="92"/>
      <c r="GN138" s="92"/>
      <c r="GO138" s="92"/>
      <c r="GP138" s="92"/>
      <c r="GQ138" s="92"/>
      <c r="GR138" s="92"/>
      <c r="GS138" s="92"/>
      <c r="GT138" s="92"/>
      <c r="GU138" s="92"/>
      <c r="GV138" s="92"/>
      <c r="GW138" s="92"/>
      <c r="GX138" s="92"/>
      <c r="GY138" s="92"/>
      <c r="GZ138" s="92"/>
      <c r="HA138" s="92"/>
      <c r="HB138" s="92"/>
      <c r="HC138" s="92"/>
      <c r="HD138" s="92"/>
      <c r="HE138" s="92"/>
      <c r="HF138" s="92"/>
      <c r="HG138" s="92"/>
      <c r="HH138" s="92"/>
      <c r="HI138" s="92"/>
      <c r="HJ138" s="92"/>
      <c r="HK138" s="92"/>
      <c r="HL138" s="92"/>
      <c r="HM138" s="92"/>
      <c r="HN138" s="92"/>
      <c r="HO138" s="92"/>
      <c r="HP138" s="92"/>
      <c r="HQ138" s="92"/>
      <c r="HR138" s="92"/>
      <c r="HS138" s="92"/>
      <c r="HT138" s="92"/>
      <c r="HU138" s="92"/>
      <c r="HV138" s="92"/>
      <c r="HW138" s="92"/>
      <c r="HX138" s="92"/>
      <c r="HY138" s="92"/>
      <c r="HZ138" s="92"/>
      <c r="IA138" s="92"/>
      <c r="IB138" s="92"/>
      <c r="IC138" s="92"/>
      <c r="ID138" s="92"/>
      <c r="IE138" s="92"/>
      <c r="IF138" s="92"/>
      <c r="IG138" s="92"/>
      <c r="IH138" s="92"/>
      <c r="II138" s="92"/>
      <c r="IJ138" s="92"/>
      <c r="IK138" s="92"/>
      <c r="IL138" s="92"/>
      <c r="IM138" s="92"/>
      <c r="IN138" s="92"/>
      <c r="IO138" s="92"/>
      <c r="IP138" s="92"/>
      <c r="IQ138" s="92"/>
      <c r="IR138" s="92"/>
      <c r="IS138" s="92"/>
      <c r="IT138" s="92"/>
      <c r="IU138" s="92"/>
      <c r="IV138" s="92"/>
      <c r="IW138" s="92"/>
      <c r="IX138" s="92"/>
      <c r="IY138" s="92"/>
    </row>
    <row r="139" spans="1:259" ht="13.5" customHeight="1" x14ac:dyDescent="0.3">
      <c r="A139" s="2" t="s">
        <v>294</v>
      </c>
      <c r="B139" s="7" t="s">
        <v>295</v>
      </c>
      <c r="C139" s="2"/>
      <c r="D139" s="7"/>
      <c r="E139" s="7" t="s">
        <v>295</v>
      </c>
      <c r="F139" s="2" t="s">
        <v>250</v>
      </c>
      <c r="G139" s="2" t="s">
        <v>336</v>
      </c>
      <c r="H139" s="4" t="s">
        <v>296</v>
      </c>
      <c r="I139" s="4" t="s">
        <v>308</v>
      </c>
      <c r="J139" s="94"/>
      <c r="K139" s="88">
        <f t="shared" si="0"/>
        <v>1</v>
      </c>
      <c r="L139" s="89">
        <v>1</v>
      </c>
      <c r="M139" s="88">
        <f t="shared" si="62"/>
        <v>0</v>
      </c>
      <c r="N139" s="88">
        <f t="shared" si="2"/>
        <v>1</v>
      </c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1"/>
      <c r="AU139" s="30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2"/>
      <c r="BY139" s="92"/>
      <c r="BZ139" s="92"/>
      <c r="CA139" s="92"/>
      <c r="CB139" s="92"/>
      <c r="CC139" s="92"/>
      <c r="CD139" s="92"/>
      <c r="CE139" s="92"/>
      <c r="CF139" s="92"/>
      <c r="CG139" s="92"/>
      <c r="CH139" s="92"/>
      <c r="CI139" s="92"/>
      <c r="CJ139" s="92"/>
      <c r="CK139" s="92"/>
      <c r="CL139" s="92"/>
      <c r="CM139" s="92"/>
      <c r="CN139" s="92"/>
      <c r="CO139" s="92"/>
      <c r="CP139" s="92"/>
      <c r="CQ139" s="92"/>
      <c r="CR139" s="92"/>
      <c r="CS139" s="92"/>
      <c r="CT139" s="92"/>
      <c r="CU139" s="92"/>
      <c r="CV139" s="92"/>
      <c r="CW139" s="92"/>
      <c r="CX139" s="92"/>
      <c r="CY139" s="92"/>
      <c r="CZ139" s="92"/>
      <c r="DA139" s="92"/>
      <c r="DB139" s="92"/>
      <c r="DC139" s="92"/>
      <c r="DD139" s="92"/>
      <c r="DE139" s="92"/>
      <c r="DF139" s="92"/>
      <c r="DG139" s="92"/>
      <c r="DH139" s="92"/>
      <c r="DI139" s="92"/>
      <c r="DJ139" s="92"/>
      <c r="DK139" s="92"/>
      <c r="DL139" s="92"/>
      <c r="DM139" s="92"/>
      <c r="DN139" s="92"/>
      <c r="DO139" s="92"/>
      <c r="DP139" s="92"/>
      <c r="DQ139" s="92"/>
      <c r="DR139" s="92"/>
      <c r="DS139" s="92"/>
      <c r="DT139" s="92"/>
      <c r="DU139" s="92"/>
      <c r="DV139" s="92"/>
      <c r="DW139" s="92"/>
      <c r="DX139" s="92"/>
      <c r="DY139" s="92"/>
      <c r="DZ139" s="92"/>
      <c r="EA139" s="92"/>
      <c r="EB139" s="92"/>
      <c r="EC139" s="92"/>
      <c r="ED139" s="92"/>
      <c r="EE139" s="92"/>
      <c r="EF139" s="92"/>
      <c r="EG139" s="92"/>
      <c r="EH139" s="92"/>
      <c r="EI139" s="92"/>
      <c r="EJ139" s="92"/>
      <c r="EK139" s="92"/>
      <c r="EL139" s="92"/>
      <c r="EM139" s="92"/>
      <c r="EN139" s="92"/>
      <c r="EO139" s="92"/>
      <c r="EP139" s="92"/>
      <c r="EQ139" s="92"/>
      <c r="ER139" s="92"/>
      <c r="ES139" s="92"/>
      <c r="ET139" s="92"/>
      <c r="EU139" s="92"/>
      <c r="EV139" s="92"/>
      <c r="EW139" s="92"/>
      <c r="EX139" s="92"/>
      <c r="EY139" s="92"/>
      <c r="EZ139" s="92"/>
      <c r="FA139" s="92"/>
      <c r="FB139" s="92"/>
      <c r="FC139" s="92"/>
      <c r="FD139" s="92"/>
      <c r="FE139" s="92"/>
      <c r="FF139" s="92"/>
      <c r="FG139" s="92"/>
      <c r="FH139" s="92"/>
      <c r="FI139" s="92"/>
      <c r="FJ139" s="92"/>
      <c r="FK139" s="92"/>
      <c r="FL139" s="92"/>
      <c r="FM139" s="92"/>
      <c r="FN139" s="92"/>
      <c r="FO139" s="92"/>
      <c r="FP139" s="92"/>
      <c r="FQ139" s="92"/>
      <c r="FR139" s="92"/>
      <c r="FS139" s="92"/>
      <c r="FT139" s="92"/>
      <c r="FU139" s="92"/>
      <c r="FV139" s="92"/>
      <c r="FW139" s="92"/>
      <c r="FX139" s="92"/>
      <c r="FY139" s="92"/>
      <c r="FZ139" s="92"/>
      <c r="GA139" s="92"/>
      <c r="GB139" s="92"/>
      <c r="GC139" s="92"/>
      <c r="GD139" s="92"/>
      <c r="GE139" s="92"/>
      <c r="GF139" s="92"/>
      <c r="GG139" s="92"/>
      <c r="GH139" s="92"/>
      <c r="GI139" s="92"/>
      <c r="GJ139" s="92"/>
      <c r="GK139" s="92"/>
      <c r="GL139" s="92"/>
      <c r="GM139" s="92"/>
      <c r="GN139" s="92"/>
      <c r="GO139" s="92"/>
      <c r="GP139" s="92"/>
      <c r="GQ139" s="92"/>
      <c r="GR139" s="92"/>
      <c r="GS139" s="92"/>
      <c r="GT139" s="92"/>
      <c r="GU139" s="92"/>
      <c r="GV139" s="92"/>
      <c r="GW139" s="92"/>
      <c r="GX139" s="92"/>
      <c r="GY139" s="92"/>
      <c r="GZ139" s="92"/>
      <c r="HA139" s="92"/>
      <c r="HB139" s="92"/>
      <c r="HC139" s="92"/>
      <c r="HD139" s="92"/>
      <c r="HE139" s="92"/>
      <c r="HF139" s="92"/>
      <c r="HG139" s="92"/>
      <c r="HH139" s="92"/>
      <c r="HI139" s="92"/>
      <c r="HJ139" s="92"/>
      <c r="HK139" s="92"/>
      <c r="HL139" s="92"/>
      <c r="HM139" s="92"/>
      <c r="HN139" s="92"/>
      <c r="HO139" s="92"/>
      <c r="HP139" s="92"/>
      <c r="HQ139" s="92"/>
      <c r="HR139" s="92"/>
      <c r="HS139" s="92"/>
      <c r="HT139" s="92"/>
      <c r="HU139" s="92"/>
      <c r="HV139" s="92"/>
      <c r="HW139" s="92"/>
      <c r="HX139" s="92"/>
      <c r="HY139" s="92"/>
      <c r="HZ139" s="92"/>
      <c r="IA139" s="92"/>
      <c r="IB139" s="92"/>
      <c r="IC139" s="92"/>
      <c r="ID139" s="92"/>
      <c r="IE139" s="92"/>
      <c r="IF139" s="92"/>
      <c r="IG139" s="92"/>
      <c r="IH139" s="92"/>
      <c r="II139" s="92"/>
      <c r="IJ139" s="92"/>
      <c r="IK139" s="92"/>
      <c r="IL139" s="92"/>
      <c r="IM139" s="92"/>
      <c r="IN139" s="92"/>
      <c r="IO139" s="92"/>
      <c r="IP139" s="92"/>
      <c r="IQ139" s="92"/>
      <c r="IR139" s="92"/>
      <c r="IS139" s="92"/>
      <c r="IT139" s="92"/>
      <c r="IU139" s="92"/>
      <c r="IV139" s="92"/>
      <c r="IW139" s="92"/>
      <c r="IX139" s="92"/>
      <c r="IY139" s="92"/>
    </row>
    <row r="140" spans="1:259" x14ac:dyDescent="0.3">
      <c r="A140" s="2" t="s">
        <v>294</v>
      </c>
      <c r="B140" s="2" t="s">
        <v>295</v>
      </c>
      <c r="C140" s="2"/>
      <c r="D140" s="2"/>
      <c r="E140" s="7" t="s">
        <v>295</v>
      </c>
      <c r="F140" s="2" t="s">
        <v>250</v>
      </c>
      <c r="G140" s="2" t="s">
        <v>291</v>
      </c>
      <c r="H140" s="2" t="s">
        <v>297</v>
      </c>
      <c r="I140" s="2" t="s">
        <v>308</v>
      </c>
      <c r="J140" s="87"/>
      <c r="K140" s="88">
        <f>(L140-M140)</f>
        <v>1</v>
      </c>
      <c r="L140" s="89">
        <v>1</v>
      </c>
      <c r="M140" s="88">
        <f t="shared" si="62"/>
        <v>0</v>
      </c>
      <c r="N140" s="88">
        <f t="shared" si="2"/>
        <v>1</v>
      </c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1"/>
      <c r="AU140" s="30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2"/>
      <c r="BY140" s="92"/>
      <c r="BZ140" s="92"/>
      <c r="CA140" s="92"/>
      <c r="CB140" s="92"/>
      <c r="CC140" s="92"/>
      <c r="CD140" s="92"/>
      <c r="CE140" s="92"/>
      <c r="CF140" s="92"/>
      <c r="CG140" s="92"/>
      <c r="CH140" s="92"/>
      <c r="CI140" s="92"/>
      <c r="CJ140" s="92"/>
      <c r="CK140" s="92"/>
      <c r="CL140" s="92"/>
      <c r="CM140" s="92"/>
      <c r="CN140" s="92"/>
      <c r="CO140" s="92"/>
      <c r="CP140" s="92"/>
      <c r="CQ140" s="92"/>
      <c r="CR140" s="92"/>
      <c r="CS140" s="92"/>
      <c r="CT140" s="92"/>
      <c r="CU140" s="92"/>
      <c r="CV140" s="92"/>
      <c r="CW140" s="92"/>
      <c r="CX140" s="92"/>
      <c r="CY140" s="92"/>
      <c r="CZ140" s="92"/>
      <c r="DA140" s="92"/>
      <c r="DB140" s="92"/>
      <c r="DC140" s="92"/>
      <c r="DD140" s="92"/>
      <c r="DE140" s="92"/>
      <c r="DF140" s="92"/>
      <c r="DG140" s="92"/>
      <c r="DH140" s="92"/>
      <c r="DI140" s="92"/>
      <c r="DJ140" s="92"/>
      <c r="DK140" s="92"/>
      <c r="DL140" s="92"/>
      <c r="DM140" s="92"/>
      <c r="DN140" s="92"/>
      <c r="DO140" s="92"/>
      <c r="DP140" s="92"/>
      <c r="DQ140" s="92"/>
      <c r="DR140" s="92"/>
      <c r="DS140" s="92"/>
      <c r="DT140" s="92"/>
      <c r="DU140" s="92"/>
      <c r="DV140" s="92"/>
      <c r="DW140" s="92"/>
      <c r="DX140" s="92"/>
      <c r="DY140" s="92"/>
      <c r="DZ140" s="92"/>
      <c r="EA140" s="92"/>
      <c r="EB140" s="92"/>
      <c r="EC140" s="92"/>
      <c r="ED140" s="92"/>
      <c r="EE140" s="92"/>
      <c r="EF140" s="92"/>
      <c r="EG140" s="92"/>
      <c r="EH140" s="92"/>
      <c r="EI140" s="92"/>
      <c r="EJ140" s="92"/>
      <c r="EK140" s="92"/>
      <c r="EL140" s="92"/>
      <c r="EM140" s="92"/>
      <c r="EN140" s="92"/>
      <c r="EO140" s="92"/>
      <c r="EP140" s="92"/>
      <c r="EQ140" s="92"/>
      <c r="ER140" s="92"/>
      <c r="ES140" s="92"/>
      <c r="ET140" s="92"/>
      <c r="EU140" s="92"/>
      <c r="EV140" s="92"/>
      <c r="EW140" s="92"/>
      <c r="EX140" s="92"/>
      <c r="EY140" s="92"/>
      <c r="EZ140" s="92"/>
      <c r="FA140" s="92"/>
      <c r="FB140" s="92"/>
      <c r="FC140" s="92"/>
      <c r="FD140" s="92"/>
      <c r="FE140" s="92"/>
      <c r="FF140" s="92"/>
      <c r="FG140" s="92"/>
      <c r="FH140" s="92"/>
      <c r="FI140" s="92"/>
      <c r="FJ140" s="92"/>
      <c r="FK140" s="92"/>
      <c r="FL140" s="92"/>
      <c r="FM140" s="92"/>
      <c r="FN140" s="92"/>
      <c r="FO140" s="92"/>
      <c r="FP140" s="92"/>
      <c r="FQ140" s="92"/>
      <c r="FR140" s="92"/>
      <c r="FS140" s="92"/>
      <c r="FT140" s="92"/>
      <c r="FU140" s="92"/>
      <c r="FV140" s="92"/>
      <c r="FW140" s="92"/>
      <c r="FX140" s="92"/>
      <c r="FY140" s="92"/>
      <c r="FZ140" s="92"/>
      <c r="GA140" s="92"/>
      <c r="GB140" s="92"/>
      <c r="GC140" s="92"/>
      <c r="GD140" s="92"/>
      <c r="GE140" s="92"/>
      <c r="GF140" s="92"/>
      <c r="GG140" s="92"/>
      <c r="GH140" s="92"/>
      <c r="GI140" s="92"/>
      <c r="GJ140" s="92"/>
      <c r="GK140" s="92"/>
      <c r="GL140" s="92"/>
      <c r="GM140" s="92"/>
      <c r="GN140" s="92"/>
      <c r="GO140" s="92"/>
      <c r="GP140" s="92"/>
      <c r="GQ140" s="92"/>
      <c r="GR140" s="92"/>
      <c r="GS140" s="92"/>
      <c r="GT140" s="92"/>
      <c r="GU140" s="92"/>
      <c r="GV140" s="92"/>
      <c r="GW140" s="92"/>
      <c r="GX140" s="92"/>
      <c r="GY140" s="92"/>
      <c r="GZ140" s="92"/>
      <c r="HA140" s="92"/>
      <c r="HB140" s="92"/>
      <c r="HC140" s="92"/>
      <c r="HD140" s="92"/>
      <c r="HE140" s="92"/>
      <c r="HF140" s="92"/>
      <c r="HG140" s="92"/>
      <c r="HH140" s="92"/>
      <c r="HI140" s="92"/>
      <c r="HJ140" s="92"/>
      <c r="HK140" s="92"/>
      <c r="HL140" s="92"/>
      <c r="HM140" s="92"/>
      <c r="HN140" s="92"/>
      <c r="HO140" s="92"/>
      <c r="HP140" s="92"/>
      <c r="HQ140" s="92"/>
      <c r="HR140" s="92"/>
      <c r="HS140" s="92"/>
      <c r="HT140" s="92"/>
      <c r="HU140" s="92"/>
      <c r="HV140" s="92"/>
      <c r="HW140" s="92"/>
      <c r="HX140" s="92"/>
      <c r="HY140" s="92"/>
      <c r="HZ140" s="92"/>
      <c r="IA140" s="92"/>
      <c r="IB140" s="92"/>
      <c r="IC140" s="92"/>
      <c r="ID140" s="92"/>
      <c r="IE140" s="92"/>
      <c r="IF140" s="92"/>
      <c r="IG140" s="92"/>
      <c r="IH140" s="92"/>
      <c r="II140" s="92"/>
      <c r="IJ140" s="92"/>
      <c r="IK140" s="92"/>
      <c r="IL140" s="92"/>
      <c r="IM140" s="92"/>
      <c r="IN140" s="92"/>
      <c r="IO140" s="92"/>
      <c r="IP140" s="92"/>
      <c r="IQ140" s="92"/>
      <c r="IR140" s="92"/>
      <c r="IS140" s="92"/>
      <c r="IT140" s="92"/>
      <c r="IU140" s="92"/>
      <c r="IV140" s="92"/>
      <c r="IW140" s="92"/>
      <c r="IX140" s="92"/>
      <c r="IY140" s="92"/>
    </row>
    <row r="141" spans="1:259" x14ac:dyDescent="0.3">
      <c r="A141" s="2" t="s">
        <v>294</v>
      </c>
      <c r="B141" s="2" t="s">
        <v>295</v>
      </c>
      <c r="C141" s="2"/>
      <c r="D141" s="2"/>
      <c r="E141" s="7" t="s">
        <v>295</v>
      </c>
      <c r="F141" s="2" t="s">
        <v>250</v>
      </c>
      <c r="G141" s="2" t="s">
        <v>358</v>
      </c>
      <c r="H141" s="2" t="s">
        <v>360</v>
      </c>
      <c r="I141" s="2" t="s">
        <v>308</v>
      </c>
      <c r="J141" s="87"/>
      <c r="K141" s="88">
        <f>(L141-M141)</f>
        <v>1</v>
      </c>
      <c r="L141" s="89">
        <v>1</v>
      </c>
      <c r="M141" s="88">
        <f t="shared" si="62"/>
        <v>0</v>
      </c>
      <c r="N141" s="88">
        <f t="shared" ref="N141" si="67">K141</f>
        <v>1</v>
      </c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1"/>
      <c r="AU141" s="30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2"/>
      <c r="BY141" s="92"/>
      <c r="BZ141" s="92"/>
      <c r="CA141" s="92"/>
      <c r="CB141" s="92"/>
      <c r="CC141" s="92"/>
      <c r="CD141" s="92"/>
      <c r="CE141" s="92"/>
      <c r="CF141" s="92"/>
      <c r="CG141" s="92"/>
      <c r="CH141" s="92"/>
      <c r="CI141" s="92"/>
      <c r="CJ141" s="92"/>
      <c r="CK141" s="92"/>
      <c r="CL141" s="92"/>
      <c r="CM141" s="92"/>
      <c r="CN141" s="92"/>
      <c r="CO141" s="92"/>
      <c r="CP141" s="92"/>
      <c r="CQ141" s="92"/>
      <c r="CR141" s="92"/>
      <c r="CS141" s="92"/>
      <c r="CT141" s="92"/>
      <c r="CU141" s="92"/>
      <c r="CV141" s="92"/>
      <c r="CW141" s="92"/>
      <c r="CX141" s="92"/>
      <c r="CY141" s="92"/>
      <c r="CZ141" s="92"/>
      <c r="DA141" s="92"/>
      <c r="DB141" s="92"/>
      <c r="DC141" s="92"/>
      <c r="DD141" s="92"/>
      <c r="DE141" s="92"/>
      <c r="DF141" s="92"/>
      <c r="DG141" s="92"/>
      <c r="DH141" s="92"/>
      <c r="DI141" s="92"/>
      <c r="DJ141" s="92"/>
      <c r="DK141" s="92"/>
      <c r="DL141" s="92"/>
      <c r="DM141" s="92"/>
      <c r="DN141" s="92"/>
      <c r="DO141" s="92"/>
      <c r="DP141" s="92"/>
      <c r="DQ141" s="92"/>
      <c r="DR141" s="92"/>
      <c r="DS141" s="92"/>
      <c r="DT141" s="92"/>
      <c r="DU141" s="92"/>
      <c r="DV141" s="92"/>
      <c r="DW141" s="92"/>
      <c r="DX141" s="92"/>
      <c r="DY141" s="92"/>
      <c r="DZ141" s="92"/>
      <c r="EA141" s="92"/>
      <c r="EB141" s="92"/>
      <c r="EC141" s="92"/>
      <c r="ED141" s="92"/>
      <c r="EE141" s="92"/>
      <c r="EF141" s="92"/>
      <c r="EG141" s="92"/>
      <c r="EH141" s="92"/>
      <c r="EI141" s="92"/>
      <c r="EJ141" s="92"/>
      <c r="EK141" s="92"/>
      <c r="EL141" s="92"/>
      <c r="EM141" s="92"/>
      <c r="EN141" s="92"/>
      <c r="EO141" s="92"/>
      <c r="EP141" s="92"/>
      <c r="EQ141" s="92"/>
      <c r="ER141" s="92"/>
      <c r="ES141" s="92"/>
      <c r="ET141" s="92"/>
      <c r="EU141" s="92"/>
      <c r="EV141" s="92"/>
      <c r="EW141" s="92"/>
      <c r="EX141" s="92"/>
      <c r="EY141" s="92"/>
      <c r="EZ141" s="92"/>
      <c r="FA141" s="92"/>
      <c r="FB141" s="92"/>
      <c r="FC141" s="92"/>
      <c r="FD141" s="92"/>
      <c r="FE141" s="92"/>
      <c r="FF141" s="92"/>
      <c r="FG141" s="92"/>
      <c r="FH141" s="92"/>
      <c r="FI141" s="92"/>
      <c r="FJ141" s="92"/>
      <c r="FK141" s="92"/>
      <c r="FL141" s="92"/>
      <c r="FM141" s="92"/>
      <c r="FN141" s="92"/>
      <c r="FO141" s="92"/>
      <c r="FP141" s="92"/>
      <c r="FQ141" s="92"/>
      <c r="FR141" s="92"/>
      <c r="FS141" s="92"/>
      <c r="FT141" s="92"/>
      <c r="FU141" s="92"/>
      <c r="FV141" s="92"/>
      <c r="FW141" s="92"/>
      <c r="FX141" s="92"/>
      <c r="FY141" s="92"/>
      <c r="FZ141" s="92"/>
      <c r="GA141" s="92"/>
      <c r="GB141" s="92"/>
      <c r="GC141" s="92"/>
      <c r="GD141" s="92"/>
      <c r="GE141" s="92"/>
      <c r="GF141" s="92"/>
      <c r="GG141" s="92"/>
      <c r="GH141" s="92"/>
      <c r="GI141" s="92"/>
      <c r="GJ141" s="92"/>
      <c r="GK141" s="92"/>
      <c r="GL141" s="92"/>
      <c r="GM141" s="92"/>
      <c r="GN141" s="92"/>
      <c r="GO141" s="92"/>
      <c r="GP141" s="92"/>
      <c r="GQ141" s="92"/>
      <c r="GR141" s="92"/>
      <c r="GS141" s="92"/>
      <c r="GT141" s="92"/>
      <c r="GU141" s="92"/>
      <c r="GV141" s="92"/>
      <c r="GW141" s="92"/>
      <c r="GX141" s="92"/>
      <c r="GY141" s="92"/>
      <c r="GZ141" s="92"/>
      <c r="HA141" s="92"/>
      <c r="HB141" s="92"/>
      <c r="HC141" s="92"/>
      <c r="HD141" s="92"/>
      <c r="HE141" s="92"/>
      <c r="HF141" s="92"/>
      <c r="HG141" s="92"/>
      <c r="HH141" s="92"/>
      <c r="HI141" s="92"/>
      <c r="HJ141" s="92"/>
      <c r="HK141" s="92"/>
      <c r="HL141" s="92"/>
      <c r="HM141" s="92"/>
      <c r="HN141" s="92"/>
      <c r="HO141" s="92"/>
      <c r="HP141" s="92"/>
      <c r="HQ141" s="92"/>
      <c r="HR141" s="92"/>
      <c r="HS141" s="92"/>
      <c r="HT141" s="92"/>
      <c r="HU141" s="92"/>
      <c r="HV141" s="92"/>
      <c r="HW141" s="92"/>
      <c r="HX141" s="92"/>
      <c r="HY141" s="92"/>
      <c r="HZ141" s="92"/>
      <c r="IA141" s="92"/>
      <c r="IB141" s="92"/>
      <c r="IC141" s="92"/>
      <c r="ID141" s="92"/>
      <c r="IE141" s="92"/>
      <c r="IF141" s="92"/>
      <c r="IG141" s="92"/>
      <c r="IH141" s="92"/>
      <c r="II141" s="92"/>
      <c r="IJ141" s="92"/>
      <c r="IK141" s="92"/>
      <c r="IL141" s="92"/>
      <c r="IM141" s="92"/>
      <c r="IN141" s="92"/>
      <c r="IO141" s="92"/>
      <c r="IP141" s="92"/>
      <c r="IQ141" s="92"/>
      <c r="IR141" s="92"/>
      <c r="IS141" s="92"/>
      <c r="IT141" s="92"/>
      <c r="IU141" s="92"/>
      <c r="IV141" s="92"/>
      <c r="IW141" s="92"/>
      <c r="IX141" s="92"/>
      <c r="IY141" s="92"/>
    </row>
    <row r="142" spans="1:259" x14ac:dyDescent="0.3">
      <c r="A142" s="8" t="s">
        <v>411</v>
      </c>
      <c r="B142" s="8"/>
      <c r="C142" s="8"/>
      <c r="D142" s="8"/>
      <c r="E142" s="8" t="s">
        <v>411</v>
      </c>
      <c r="F142" s="8" t="s">
        <v>250</v>
      </c>
      <c r="G142" s="8" t="s">
        <v>358</v>
      </c>
      <c r="H142" s="2"/>
      <c r="I142" s="2" t="s">
        <v>308</v>
      </c>
      <c r="J142" s="87"/>
      <c r="K142" s="88">
        <f>(L142-M142)</f>
        <v>2</v>
      </c>
      <c r="L142" s="89">
        <v>2</v>
      </c>
      <c r="M142" s="88">
        <f t="shared" si="62"/>
        <v>0</v>
      </c>
      <c r="N142" s="88">
        <f t="shared" ref="N142" si="68">K142</f>
        <v>2</v>
      </c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1"/>
      <c r="AU142" s="30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2"/>
      <c r="BY142" s="92"/>
      <c r="BZ142" s="92"/>
      <c r="CA142" s="92"/>
      <c r="CB142" s="92"/>
      <c r="CC142" s="92"/>
      <c r="CD142" s="92"/>
      <c r="CE142" s="92"/>
      <c r="CF142" s="92"/>
      <c r="CG142" s="92"/>
      <c r="CH142" s="92"/>
      <c r="CI142" s="92"/>
      <c r="CJ142" s="92"/>
      <c r="CK142" s="92"/>
      <c r="CL142" s="92"/>
      <c r="CM142" s="92"/>
      <c r="CN142" s="92"/>
      <c r="CO142" s="92"/>
      <c r="CP142" s="92"/>
      <c r="CQ142" s="92"/>
      <c r="CR142" s="92"/>
      <c r="CS142" s="92"/>
      <c r="CT142" s="92"/>
      <c r="CU142" s="92"/>
      <c r="CV142" s="92"/>
      <c r="CW142" s="92"/>
      <c r="CX142" s="92"/>
      <c r="CY142" s="92"/>
      <c r="CZ142" s="92"/>
      <c r="DA142" s="92"/>
      <c r="DB142" s="92"/>
      <c r="DC142" s="92"/>
      <c r="DD142" s="92"/>
      <c r="DE142" s="92"/>
      <c r="DF142" s="92"/>
      <c r="DG142" s="92"/>
      <c r="DH142" s="92"/>
      <c r="DI142" s="92"/>
      <c r="DJ142" s="92"/>
      <c r="DK142" s="92"/>
      <c r="DL142" s="92"/>
      <c r="DM142" s="92"/>
      <c r="DN142" s="92"/>
      <c r="DO142" s="92"/>
      <c r="DP142" s="92"/>
      <c r="DQ142" s="92"/>
      <c r="DR142" s="92"/>
      <c r="DS142" s="92"/>
      <c r="DT142" s="92"/>
      <c r="DU142" s="92"/>
      <c r="DV142" s="92"/>
      <c r="DW142" s="92"/>
      <c r="DX142" s="92"/>
      <c r="DY142" s="92"/>
      <c r="DZ142" s="92"/>
      <c r="EA142" s="92"/>
      <c r="EB142" s="92"/>
      <c r="EC142" s="92"/>
      <c r="ED142" s="92"/>
      <c r="EE142" s="92"/>
      <c r="EF142" s="92"/>
      <c r="EG142" s="92"/>
      <c r="EH142" s="92"/>
      <c r="EI142" s="92"/>
      <c r="EJ142" s="92"/>
      <c r="EK142" s="92"/>
      <c r="EL142" s="92"/>
      <c r="EM142" s="92"/>
      <c r="EN142" s="92"/>
      <c r="EO142" s="92"/>
      <c r="EP142" s="92"/>
      <c r="EQ142" s="92"/>
      <c r="ER142" s="92"/>
      <c r="ES142" s="92"/>
      <c r="ET142" s="92"/>
      <c r="EU142" s="92"/>
      <c r="EV142" s="92"/>
      <c r="EW142" s="92"/>
      <c r="EX142" s="92"/>
      <c r="EY142" s="92"/>
      <c r="EZ142" s="92"/>
      <c r="FA142" s="92"/>
      <c r="FB142" s="92"/>
      <c r="FC142" s="92"/>
      <c r="FD142" s="92"/>
      <c r="FE142" s="92"/>
      <c r="FF142" s="92"/>
      <c r="FG142" s="92"/>
      <c r="FH142" s="92"/>
      <c r="FI142" s="92"/>
      <c r="FJ142" s="92"/>
      <c r="FK142" s="92"/>
      <c r="FL142" s="92"/>
      <c r="FM142" s="92"/>
      <c r="FN142" s="92"/>
      <c r="FO142" s="92"/>
      <c r="FP142" s="92"/>
      <c r="FQ142" s="92"/>
      <c r="FR142" s="92"/>
      <c r="FS142" s="92"/>
      <c r="FT142" s="92"/>
      <c r="FU142" s="92"/>
      <c r="FV142" s="92"/>
      <c r="FW142" s="92"/>
      <c r="FX142" s="92"/>
      <c r="FY142" s="92"/>
      <c r="FZ142" s="92"/>
      <c r="GA142" s="92"/>
      <c r="GB142" s="92"/>
      <c r="GC142" s="92"/>
      <c r="GD142" s="92"/>
      <c r="GE142" s="92"/>
      <c r="GF142" s="92"/>
      <c r="GG142" s="92"/>
      <c r="GH142" s="92"/>
      <c r="GI142" s="92"/>
      <c r="GJ142" s="92"/>
      <c r="GK142" s="92"/>
      <c r="GL142" s="92"/>
      <c r="GM142" s="92"/>
      <c r="GN142" s="92"/>
      <c r="GO142" s="92"/>
      <c r="GP142" s="92"/>
      <c r="GQ142" s="92"/>
      <c r="GR142" s="92"/>
      <c r="GS142" s="92"/>
      <c r="GT142" s="92"/>
      <c r="GU142" s="92"/>
      <c r="GV142" s="92"/>
      <c r="GW142" s="92"/>
      <c r="GX142" s="92"/>
      <c r="GY142" s="92"/>
      <c r="GZ142" s="92"/>
      <c r="HA142" s="92"/>
      <c r="HB142" s="92"/>
      <c r="HC142" s="92"/>
      <c r="HD142" s="92"/>
      <c r="HE142" s="92"/>
      <c r="HF142" s="92"/>
      <c r="HG142" s="92"/>
      <c r="HH142" s="92"/>
      <c r="HI142" s="92"/>
      <c r="HJ142" s="92"/>
      <c r="HK142" s="92"/>
      <c r="HL142" s="92"/>
      <c r="HM142" s="92"/>
      <c r="HN142" s="92"/>
      <c r="HO142" s="92"/>
      <c r="HP142" s="92"/>
      <c r="HQ142" s="92"/>
      <c r="HR142" s="92"/>
      <c r="HS142" s="92"/>
      <c r="HT142" s="92"/>
      <c r="HU142" s="92"/>
      <c r="HV142" s="92"/>
      <c r="HW142" s="92"/>
      <c r="HX142" s="92"/>
      <c r="HY142" s="92"/>
      <c r="HZ142" s="92"/>
      <c r="IA142" s="92"/>
      <c r="IB142" s="92"/>
      <c r="IC142" s="92"/>
      <c r="ID142" s="92"/>
      <c r="IE142" s="92"/>
      <c r="IF142" s="92"/>
      <c r="IG142" s="92"/>
      <c r="IH142" s="92"/>
      <c r="II142" s="92"/>
      <c r="IJ142" s="92"/>
      <c r="IK142" s="92"/>
      <c r="IL142" s="92"/>
      <c r="IM142" s="92"/>
      <c r="IN142" s="92"/>
      <c r="IO142" s="92"/>
      <c r="IP142" s="92"/>
      <c r="IQ142" s="92"/>
      <c r="IR142" s="92"/>
      <c r="IS142" s="92"/>
      <c r="IT142" s="92"/>
      <c r="IU142" s="92"/>
      <c r="IV142" s="92"/>
      <c r="IW142" s="92"/>
      <c r="IX142" s="92"/>
      <c r="IY142" s="92"/>
    </row>
    <row r="143" spans="1:259" x14ac:dyDescent="0.3">
      <c r="J143" s="80"/>
      <c r="K143" s="80"/>
      <c r="L143" s="80"/>
      <c r="M143" s="80"/>
    </row>
    <row r="144" spans="1:259" x14ac:dyDescent="0.3">
      <c r="J144" s="80"/>
      <c r="K144" s="80"/>
      <c r="L144" s="80"/>
      <c r="M144" s="80"/>
    </row>
    <row r="145" spans="10:13" x14ac:dyDescent="0.3">
      <c r="J145" s="80"/>
      <c r="K145" s="80"/>
      <c r="L145" s="80"/>
      <c r="M145" s="80"/>
    </row>
    <row r="146" spans="10:13" x14ac:dyDescent="0.3">
      <c r="J146" s="80"/>
      <c r="K146" s="80"/>
      <c r="L146" s="80"/>
      <c r="M146" s="80"/>
    </row>
    <row r="147" spans="10:13" x14ac:dyDescent="0.3">
      <c r="J147" s="80"/>
      <c r="K147" s="80"/>
      <c r="L147" s="80"/>
      <c r="M147" s="80"/>
    </row>
    <row r="148" spans="10:13" x14ac:dyDescent="0.3">
      <c r="J148" s="80"/>
      <c r="K148" s="80"/>
      <c r="L148" s="80"/>
      <c r="M148" s="80"/>
    </row>
    <row r="149" spans="10:13" x14ac:dyDescent="0.3">
      <c r="J149" s="80"/>
      <c r="K149" s="80"/>
      <c r="L149" s="80"/>
      <c r="M149" s="80"/>
    </row>
  </sheetData>
  <conditionalFormatting sqref="H2:I85 I86:I96 H97:I142">
    <cfRule type="expression" dxfId="808" priority="11">
      <formula>G2="EXPIRED"</formula>
    </cfRule>
    <cfRule type="expression" dxfId="807" priority="13">
      <formula>G2="OUT OF STOCK"</formula>
    </cfRule>
    <cfRule type="expression" dxfId="806" priority="15">
      <formula>G2="NEW DELIVERY"</formula>
    </cfRule>
    <cfRule type="expression" dxfId="805" priority="17">
      <formula>G2="MIDDLE EXP"</formula>
    </cfRule>
    <cfRule type="expression" dxfId="804" priority="19">
      <formula>G2="FAR EXP"</formula>
    </cfRule>
  </conditionalFormatting>
  <conditionalFormatting sqref="J2:J142">
    <cfRule type="expression" dxfId="803" priority="10">
      <formula>G2="EXPIRED"</formula>
    </cfRule>
    <cfRule type="expression" dxfId="802" priority="12">
      <formula>G2="OUT OF STOCK"</formula>
    </cfRule>
    <cfRule type="expression" dxfId="801" priority="14">
      <formula>G2="NEW DELIVERY"</formula>
    </cfRule>
    <cfRule type="expression" dxfId="800" priority="16">
      <formula>G2="MIDDLE EXP"</formula>
    </cfRule>
    <cfRule type="expression" dxfId="799" priority="18">
      <formula>G2="FAR EXP"</formula>
    </cfRule>
  </conditionalFormatting>
  <conditionalFormatting sqref="K2:K147">
    <cfRule type="cellIs" dxfId="798" priority="6" operator="between">
      <formula>1</formula>
      <formula>100</formula>
    </cfRule>
    <cfRule type="cellIs" dxfId="797" priority="7" operator="equal">
      <formula>0</formula>
    </cfRule>
  </conditionalFormatting>
  <conditionalFormatting sqref="N2:N142">
    <cfRule type="cellIs" dxfId="796" priority="20" operator="notEqual">
      <formula>"B"</formula>
    </cfRule>
  </conditionalFormatting>
  <pageMargins left="0.7" right="0.7" top="0.75" bottom="0.75" header="0.3" footer="0.3"/>
  <pageSetup paperSize="9" scale="25" fitToHeight="0" orientation="landscape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E5E-9DB7-4F3A-93D1-AAF8D9C52637}">
  <sheetPr codeName="Sheet4"/>
  <dimension ref="A1:G40"/>
  <sheetViews>
    <sheetView tabSelected="1" zoomScale="90" zoomScaleNormal="90" workbookViewId="0">
      <selection activeCell="F27" sqref="F27"/>
    </sheetView>
  </sheetViews>
  <sheetFormatPr defaultColWidth="22.88671875" defaultRowHeight="14.4" x14ac:dyDescent="0.3"/>
  <cols>
    <col min="1" max="1" width="22.6640625" bestFit="1" customWidth="1"/>
    <col min="2" max="2" width="21.5546875" bestFit="1" customWidth="1"/>
    <col min="3" max="3" width="50.6640625" style="10" hidden="1" customWidth="1"/>
    <col min="4" max="4" width="35.33203125" style="11" bestFit="1" customWidth="1"/>
    <col min="5" max="5" width="11.33203125" hidden="1" customWidth="1"/>
    <col min="6" max="6" width="29.88671875" style="11" bestFit="1" customWidth="1"/>
    <col min="7" max="7" width="26.6640625" bestFit="1" customWidth="1"/>
  </cols>
  <sheetData>
    <row r="1" spans="1:7" x14ac:dyDescent="0.3">
      <c r="A1" s="99" t="s">
        <v>232</v>
      </c>
      <c r="B1" s="5" t="s">
        <v>233</v>
      </c>
      <c r="C1" s="100" t="s">
        <v>459</v>
      </c>
      <c r="D1" s="100" t="s">
        <v>460</v>
      </c>
      <c r="E1" s="101" t="s">
        <v>457</v>
      </c>
      <c r="F1" s="100" t="s">
        <v>458</v>
      </c>
      <c r="G1" s="98" t="s">
        <v>462</v>
      </c>
    </row>
    <row r="2" spans="1:7" x14ac:dyDescent="0.3">
      <c r="A2" s="75" t="s">
        <v>28</v>
      </c>
      <c r="B2" s="75">
        <v>7000</v>
      </c>
      <c r="C2" s="95">
        <v>6183</v>
      </c>
      <c r="D2" s="96">
        <f>'DISPOSABLE ITEMS'!M20</f>
        <v>6733</v>
      </c>
      <c r="E2" s="75" t="str">
        <f>IF(C2=D2,"OK","XX")</f>
        <v>XX</v>
      </c>
      <c r="F2" s="97" t="str">
        <f>IF(D2&lt;B2,"BELOW REORDER QTY","QUANTITY ABOVE WARNING")</f>
        <v>BELOW REORDER QTY</v>
      </c>
      <c r="G2" s="75">
        <f>B2-D2</f>
        <v>267</v>
      </c>
    </row>
    <row r="3" spans="1:7" x14ac:dyDescent="0.3">
      <c r="A3" s="75" t="s">
        <v>22</v>
      </c>
      <c r="B3" s="75">
        <v>800</v>
      </c>
      <c r="C3" s="95">
        <v>727</v>
      </c>
      <c r="D3" s="96">
        <f>'DISPOSABLE ITEMS'!M13</f>
        <v>767</v>
      </c>
      <c r="E3" s="75" t="str">
        <f t="shared" ref="E3:E40" si="0">IF(C3=D3,"OK","XX")</f>
        <v>XX</v>
      </c>
      <c r="F3" s="97" t="str">
        <f t="shared" ref="F3:F40" si="1">IF(D3&lt;B3,"BELOW REORDER QTY","QUANTITY ABOVE WARNING")</f>
        <v>BELOW REORDER QTY</v>
      </c>
      <c r="G3" s="75">
        <f t="shared" ref="G3:G40" si="2">B3-D3</f>
        <v>33</v>
      </c>
    </row>
    <row r="4" spans="1:7" x14ac:dyDescent="0.3">
      <c r="A4" s="75" t="s">
        <v>12</v>
      </c>
      <c r="B4" s="75">
        <v>280</v>
      </c>
      <c r="C4" s="95">
        <v>564</v>
      </c>
      <c r="D4" s="96">
        <f>'DISPOSABLE ITEMS'!M6</f>
        <v>24</v>
      </c>
      <c r="E4" s="75" t="str">
        <f t="shared" si="0"/>
        <v>XX</v>
      </c>
      <c r="F4" s="97" t="str">
        <f t="shared" si="1"/>
        <v>BELOW REORDER QTY</v>
      </c>
      <c r="G4" s="75">
        <f t="shared" si="2"/>
        <v>256</v>
      </c>
    </row>
    <row r="5" spans="1:7" x14ac:dyDescent="0.3">
      <c r="A5" s="75" t="s">
        <v>34</v>
      </c>
      <c r="B5" s="75">
        <v>400</v>
      </c>
      <c r="C5" s="95">
        <v>865</v>
      </c>
      <c r="D5" s="96">
        <f>'DISPOSABLE ITEMS'!M27</f>
        <v>224</v>
      </c>
      <c r="E5" s="75" t="str">
        <f t="shared" si="0"/>
        <v>XX</v>
      </c>
      <c r="F5" s="97" t="str">
        <f t="shared" si="1"/>
        <v>BELOW REORDER QTY</v>
      </c>
      <c r="G5" s="75">
        <f t="shared" si="2"/>
        <v>176</v>
      </c>
    </row>
    <row r="6" spans="1:7" x14ac:dyDescent="0.3">
      <c r="A6" s="75" t="s">
        <v>44</v>
      </c>
      <c r="B6" s="75">
        <v>100</v>
      </c>
      <c r="C6" s="95">
        <v>332</v>
      </c>
      <c r="D6" s="96">
        <f>'DISPOSABLE ITEMS'!M33</f>
        <v>322</v>
      </c>
      <c r="E6" s="75" t="str">
        <f t="shared" si="0"/>
        <v>XX</v>
      </c>
      <c r="F6" s="97" t="str">
        <f t="shared" si="1"/>
        <v>QUANTITY ABOVE WARNING</v>
      </c>
      <c r="G6" s="75">
        <f t="shared" si="2"/>
        <v>-222</v>
      </c>
    </row>
    <row r="7" spans="1:7" x14ac:dyDescent="0.3">
      <c r="A7" s="75" t="s">
        <v>31</v>
      </c>
      <c r="B7" s="75">
        <v>100</v>
      </c>
      <c r="C7" s="95">
        <v>490</v>
      </c>
      <c r="D7" s="96">
        <f>'DISPOSABLE ITEMS'!M21</f>
        <v>370</v>
      </c>
      <c r="E7" s="75" t="str">
        <f t="shared" si="0"/>
        <v>XX</v>
      </c>
      <c r="F7" s="97" t="str">
        <f t="shared" si="1"/>
        <v>QUANTITY ABOVE WARNING</v>
      </c>
      <c r="G7" s="75">
        <f t="shared" si="2"/>
        <v>-270</v>
      </c>
    </row>
    <row r="8" spans="1:7" x14ac:dyDescent="0.3">
      <c r="A8" s="75" t="s">
        <v>39</v>
      </c>
      <c r="B8" s="75">
        <v>200</v>
      </c>
      <c r="C8" s="95">
        <v>640</v>
      </c>
      <c r="D8" s="96">
        <f>'DISPOSABLE ITEMS'!M30</f>
        <v>420</v>
      </c>
      <c r="E8" s="75" t="str">
        <f t="shared" si="0"/>
        <v>XX</v>
      </c>
      <c r="F8" s="97" t="str">
        <f t="shared" si="1"/>
        <v>QUANTITY ABOVE WARNING</v>
      </c>
      <c r="G8" s="75">
        <f t="shared" si="2"/>
        <v>-220</v>
      </c>
    </row>
    <row r="9" spans="1:7" x14ac:dyDescent="0.3">
      <c r="A9" s="75" t="s">
        <v>53</v>
      </c>
      <c r="B9" s="75">
        <v>400</v>
      </c>
      <c r="C9" s="95">
        <v>514</v>
      </c>
      <c r="D9" s="96">
        <f>'DISPOSABLE ITEMS'!M48</f>
        <v>499</v>
      </c>
      <c r="E9" s="75" t="str">
        <f t="shared" si="0"/>
        <v>XX</v>
      </c>
      <c r="F9" s="97" t="str">
        <f t="shared" si="1"/>
        <v>QUANTITY ABOVE WARNING</v>
      </c>
      <c r="G9" s="75">
        <f t="shared" si="2"/>
        <v>-99</v>
      </c>
    </row>
    <row r="10" spans="1:7" x14ac:dyDescent="0.3">
      <c r="A10" s="75" t="s">
        <v>42</v>
      </c>
      <c r="B10" s="75">
        <v>120</v>
      </c>
      <c r="C10" s="95">
        <v>390</v>
      </c>
      <c r="D10" s="96">
        <f>'DISPOSABLE ITEMS'!M32</f>
        <v>390</v>
      </c>
      <c r="E10" s="75" t="str">
        <f t="shared" si="0"/>
        <v>OK</v>
      </c>
      <c r="F10" s="97" t="str">
        <f t="shared" si="1"/>
        <v>QUANTITY ABOVE WARNING</v>
      </c>
      <c r="G10" s="75">
        <f t="shared" si="2"/>
        <v>-270</v>
      </c>
    </row>
    <row r="11" spans="1:7" x14ac:dyDescent="0.3">
      <c r="A11" s="75" t="s">
        <v>49</v>
      </c>
      <c r="B11" s="75">
        <v>100</v>
      </c>
      <c r="C11" s="95">
        <v>465</v>
      </c>
      <c r="D11" s="96">
        <f>'DISPOSABLE ITEMS'!M40</f>
        <v>465</v>
      </c>
      <c r="E11" s="75" t="str">
        <f t="shared" si="0"/>
        <v>OK</v>
      </c>
      <c r="F11" s="97" t="str">
        <f t="shared" si="1"/>
        <v>QUANTITY ABOVE WARNING</v>
      </c>
      <c r="G11" s="75">
        <f t="shared" si="2"/>
        <v>-365</v>
      </c>
    </row>
    <row r="12" spans="1:7" x14ac:dyDescent="0.3">
      <c r="A12" s="75" t="s">
        <v>45</v>
      </c>
      <c r="B12" s="75">
        <v>240</v>
      </c>
      <c r="C12" s="95">
        <v>409</v>
      </c>
      <c r="D12" s="96">
        <f>'DISPOSABLE ITEMS'!M38</f>
        <v>79</v>
      </c>
      <c r="E12" s="75" t="str">
        <f t="shared" si="0"/>
        <v>XX</v>
      </c>
      <c r="F12" s="97" t="str">
        <f t="shared" si="1"/>
        <v>BELOW REORDER QTY</v>
      </c>
      <c r="G12" s="75">
        <f t="shared" si="2"/>
        <v>161</v>
      </c>
    </row>
    <row r="13" spans="1:7" x14ac:dyDescent="0.3">
      <c r="A13" s="75" t="s">
        <v>451</v>
      </c>
      <c r="B13" s="75">
        <v>450</v>
      </c>
      <c r="C13" s="95">
        <f>123+750</f>
        <v>873</v>
      </c>
      <c r="D13" s="96">
        <f>'DISPOSABLE ITEMS'!M52+'DISPOSABLE ITEMS'!M75</f>
        <v>113</v>
      </c>
      <c r="E13" s="75" t="str">
        <f t="shared" si="0"/>
        <v>XX</v>
      </c>
      <c r="F13" s="97" t="str">
        <f t="shared" si="1"/>
        <v>BELOW REORDER QTY</v>
      </c>
      <c r="G13" s="75">
        <f t="shared" si="2"/>
        <v>337</v>
      </c>
    </row>
    <row r="14" spans="1:7" x14ac:dyDescent="0.3">
      <c r="A14" s="75" t="s">
        <v>452</v>
      </c>
      <c r="B14" s="75">
        <v>1000</v>
      </c>
      <c r="C14" s="95">
        <f>83+1450</f>
        <v>1533</v>
      </c>
      <c r="D14" s="96">
        <f>'DISPOSABLE ITEMS'!M57+'DISPOSABLE ITEMS'!M77</f>
        <v>42</v>
      </c>
      <c r="E14" s="75" t="str">
        <f t="shared" si="0"/>
        <v>XX</v>
      </c>
      <c r="F14" s="97" t="str">
        <f t="shared" si="1"/>
        <v>BELOW REORDER QTY</v>
      </c>
      <c r="G14" s="75">
        <f t="shared" si="2"/>
        <v>958</v>
      </c>
    </row>
    <row r="15" spans="1:7" x14ac:dyDescent="0.3">
      <c r="A15" s="75" t="s">
        <v>453</v>
      </c>
      <c r="B15" s="75">
        <v>500</v>
      </c>
      <c r="C15" s="95">
        <f>56+730</f>
        <v>786</v>
      </c>
      <c r="D15" s="96">
        <f>'DISPOSABLE ITEMS'!M60+'DISPOSABLE ITEMS'!M79</f>
        <v>103</v>
      </c>
      <c r="E15" s="75" t="str">
        <f t="shared" si="0"/>
        <v>XX</v>
      </c>
      <c r="F15" s="97" t="str">
        <f t="shared" si="1"/>
        <v>BELOW REORDER QTY</v>
      </c>
      <c r="G15" s="75">
        <f t="shared" si="2"/>
        <v>397</v>
      </c>
    </row>
    <row r="16" spans="1:7" x14ac:dyDescent="0.3">
      <c r="A16" s="75" t="s">
        <v>454</v>
      </c>
      <c r="B16" s="75">
        <v>100</v>
      </c>
      <c r="C16" s="95">
        <f>258+100</f>
        <v>358</v>
      </c>
      <c r="D16" s="96">
        <f>'DISPOSABLE ITEMS'!M63+'DISPOSABLE ITEMS'!M80</f>
        <v>352</v>
      </c>
      <c r="E16" s="75" t="str">
        <f t="shared" si="0"/>
        <v>XX</v>
      </c>
      <c r="F16" s="97" t="str">
        <f t="shared" si="1"/>
        <v>QUANTITY ABOVE WARNING</v>
      </c>
      <c r="G16" s="75">
        <f t="shared" si="2"/>
        <v>-252</v>
      </c>
    </row>
    <row r="17" spans="1:7" x14ac:dyDescent="0.3">
      <c r="A17" s="75" t="s">
        <v>455</v>
      </c>
      <c r="B17" s="75">
        <v>350</v>
      </c>
      <c r="C17" s="95">
        <f>186+460</f>
        <v>646</v>
      </c>
      <c r="D17" s="96">
        <f>'DISPOSABLE ITEMS'!M66+'DISPOSABLE ITEMS'!M82</f>
        <v>395</v>
      </c>
      <c r="E17" s="75" t="str">
        <f t="shared" si="0"/>
        <v>XX</v>
      </c>
      <c r="F17" s="97" t="str">
        <f t="shared" si="1"/>
        <v>QUANTITY ABOVE WARNING</v>
      </c>
      <c r="G17" s="75">
        <f t="shared" si="2"/>
        <v>-45</v>
      </c>
    </row>
    <row r="18" spans="1:7" x14ac:dyDescent="0.3">
      <c r="A18" s="75" t="s">
        <v>456</v>
      </c>
      <c r="B18" s="75">
        <v>350</v>
      </c>
      <c r="C18" s="95">
        <f>0+108</f>
        <v>108</v>
      </c>
      <c r="D18" s="96">
        <f>'DISPOSABLE ITEMS'!M70+'DISPOSABLE ITEMS'!M84</f>
        <v>30</v>
      </c>
      <c r="E18" s="75" t="str">
        <f t="shared" si="0"/>
        <v>XX</v>
      </c>
      <c r="F18" s="97" t="str">
        <f t="shared" si="1"/>
        <v>BELOW REORDER QTY</v>
      </c>
      <c r="G18" s="75">
        <f t="shared" si="2"/>
        <v>320</v>
      </c>
    </row>
    <row r="19" spans="1:7" x14ac:dyDescent="0.3">
      <c r="A19" s="75" t="s">
        <v>68</v>
      </c>
      <c r="B19" s="75">
        <v>100</v>
      </c>
      <c r="C19" s="95">
        <f>501</f>
        <v>501</v>
      </c>
      <c r="D19" s="96">
        <f>'DISPOSABLE ITEMS'!M72</f>
        <v>83</v>
      </c>
      <c r="E19" s="75" t="str">
        <f t="shared" si="0"/>
        <v>XX</v>
      </c>
      <c r="F19" s="97" t="str">
        <f t="shared" si="1"/>
        <v>BELOW REORDER QTY</v>
      </c>
      <c r="G19" s="75">
        <f t="shared" si="2"/>
        <v>17</v>
      </c>
    </row>
    <row r="20" spans="1:7" x14ac:dyDescent="0.3">
      <c r="A20" s="75" t="s">
        <v>96</v>
      </c>
      <c r="B20" s="75">
        <v>50</v>
      </c>
      <c r="C20" s="95">
        <v>134</v>
      </c>
      <c r="D20" s="96">
        <f>'DISPOSABLE ITEMS'!M106</f>
        <v>134</v>
      </c>
      <c r="E20" s="75" t="str">
        <f t="shared" si="0"/>
        <v>OK</v>
      </c>
      <c r="F20" s="97" t="str">
        <f t="shared" si="1"/>
        <v>QUANTITY ABOVE WARNING</v>
      </c>
      <c r="G20" s="75">
        <f t="shared" si="2"/>
        <v>-84</v>
      </c>
    </row>
    <row r="21" spans="1:7" x14ac:dyDescent="0.3">
      <c r="A21" s="75" t="s">
        <v>98</v>
      </c>
      <c r="B21" s="75">
        <v>50</v>
      </c>
      <c r="C21" s="95">
        <v>164</v>
      </c>
      <c r="D21" s="96">
        <f>'DISPOSABLE ITEMS'!M108</f>
        <v>158</v>
      </c>
      <c r="E21" s="75" t="str">
        <f t="shared" si="0"/>
        <v>XX</v>
      </c>
      <c r="F21" s="97" t="str">
        <f t="shared" si="1"/>
        <v>QUANTITY ABOVE WARNING</v>
      </c>
      <c r="G21" s="75">
        <f t="shared" si="2"/>
        <v>-108</v>
      </c>
    </row>
    <row r="22" spans="1:7" x14ac:dyDescent="0.3">
      <c r="A22" s="75" t="s">
        <v>101</v>
      </c>
      <c r="B22" s="75">
        <v>50</v>
      </c>
      <c r="C22" s="95">
        <v>8</v>
      </c>
      <c r="D22" s="96">
        <f>'DISPOSABLE ITEMS'!M109</f>
        <v>2</v>
      </c>
      <c r="E22" s="75" t="str">
        <f t="shared" si="0"/>
        <v>XX</v>
      </c>
      <c r="F22" s="97" t="str">
        <f t="shared" si="1"/>
        <v>BELOW REORDER QTY</v>
      </c>
      <c r="G22" s="75">
        <f t="shared" si="2"/>
        <v>48</v>
      </c>
    </row>
    <row r="23" spans="1:7" x14ac:dyDescent="0.3">
      <c r="A23" s="75" t="s">
        <v>103</v>
      </c>
      <c r="B23" s="75">
        <v>70</v>
      </c>
      <c r="C23" s="95">
        <v>3</v>
      </c>
      <c r="D23" s="96">
        <f>'DISPOSABLE ITEMS'!M110</f>
        <v>0</v>
      </c>
      <c r="E23" s="75" t="str">
        <f t="shared" si="0"/>
        <v>XX</v>
      </c>
      <c r="F23" s="97" t="str">
        <f t="shared" si="1"/>
        <v>BELOW REORDER QTY</v>
      </c>
      <c r="G23" s="75">
        <f t="shared" si="2"/>
        <v>70</v>
      </c>
    </row>
    <row r="24" spans="1:7" x14ac:dyDescent="0.3">
      <c r="A24" s="75" t="s">
        <v>105</v>
      </c>
      <c r="B24" s="75">
        <v>70</v>
      </c>
      <c r="C24" s="95">
        <v>0</v>
      </c>
      <c r="D24" s="96">
        <f>'DISPOSABLE ITEMS'!M112</f>
        <v>0</v>
      </c>
      <c r="E24" s="75" t="str">
        <f t="shared" si="0"/>
        <v>OK</v>
      </c>
      <c r="F24" s="97" t="str">
        <f t="shared" si="1"/>
        <v>BELOW REORDER QTY</v>
      </c>
      <c r="G24" s="75">
        <f t="shared" si="2"/>
        <v>70</v>
      </c>
    </row>
    <row r="25" spans="1:7" x14ac:dyDescent="0.3">
      <c r="A25" s="75" t="s">
        <v>75</v>
      </c>
      <c r="B25" s="75">
        <v>150</v>
      </c>
      <c r="C25" s="95">
        <v>237</v>
      </c>
      <c r="D25" s="96">
        <f>'DISPOSABLE ITEMS'!M89</f>
        <v>327</v>
      </c>
      <c r="E25" s="75" t="str">
        <f t="shared" si="0"/>
        <v>XX</v>
      </c>
      <c r="F25" s="97" t="str">
        <f t="shared" si="1"/>
        <v>QUANTITY ABOVE WARNING</v>
      </c>
      <c r="G25" s="75">
        <f t="shared" si="2"/>
        <v>-177</v>
      </c>
    </row>
    <row r="26" spans="1:7" x14ac:dyDescent="0.3">
      <c r="A26" s="75" t="s">
        <v>79</v>
      </c>
      <c r="B26" s="75">
        <v>250</v>
      </c>
      <c r="C26" s="95">
        <v>80</v>
      </c>
      <c r="D26" s="96">
        <f>'DISPOSABLE ITEMS'!M94</f>
        <v>294</v>
      </c>
      <c r="E26" s="75" t="str">
        <f t="shared" si="0"/>
        <v>XX</v>
      </c>
      <c r="F26" s="97" t="str">
        <f t="shared" si="1"/>
        <v>QUANTITY ABOVE WARNING</v>
      </c>
      <c r="G26" s="75">
        <f t="shared" si="2"/>
        <v>-44</v>
      </c>
    </row>
    <row r="27" spans="1:7" x14ac:dyDescent="0.3">
      <c r="A27" s="75" t="s">
        <v>84</v>
      </c>
      <c r="B27" s="75">
        <v>450</v>
      </c>
      <c r="C27" s="95">
        <v>793</v>
      </c>
      <c r="D27" s="96">
        <f>'DISPOSABLE ITEMS'!M98</f>
        <v>482</v>
      </c>
      <c r="E27" s="75" t="str">
        <f t="shared" si="0"/>
        <v>XX</v>
      </c>
      <c r="F27" s="97" t="str">
        <f t="shared" si="1"/>
        <v>QUANTITY ABOVE WARNING</v>
      </c>
      <c r="G27" s="75">
        <f t="shared" si="2"/>
        <v>-32</v>
      </c>
    </row>
    <row r="28" spans="1:7" x14ac:dyDescent="0.3">
      <c r="A28" s="75" t="s">
        <v>88</v>
      </c>
      <c r="B28" s="75">
        <v>750</v>
      </c>
      <c r="C28" s="95">
        <v>403</v>
      </c>
      <c r="D28" s="96">
        <f>'DISPOSABLE ITEMS'!M101</f>
        <v>871</v>
      </c>
      <c r="E28" s="75" t="str">
        <f t="shared" si="0"/>
        <v>XX</v>
      </c>
      <c r="F28" s="97" t="str">
        <f t="shared" si="1"/>
        <v>QUANTITY ABOVE WARNING</v>
      </c>
      <c r="G28" s="75">
        <f t="shared" si="2"/>
        <v>-121</v>
      </c>
    </row>
    <row r="29" spans="1:7" x14ac:dyDescent="0.3">
      <c r="A29" s="75" t="s">
        <v>91</v>
      </c>
      <c r="B29" s="75">
        <v>700</v>
      </c>
      <c r="C29" s="95">
        <v>33</v>
      </c>
      <c r="D29" s="96">
        <f>'DISPOSABLE ITEMS'!M104</f>
        <v>901</v>
      </c>
      <c r="E29" s="75" t="str">
        <f t="shared" si="0"/>
        <v>XX</v>
      </c>
      <c r="F29" s="97" t="str">
        <f t="shared" si="1"/>
        <v>QUANTITY ABOVE WARNING</v>
      </c>
      <c r="G29" s="75">
        <f t="shared" si="2"/>
        <v>-201</v>
      </c>
    </row>
    <row r="30" spans="1:7" x14ac:dyDescent="0.3">
      <c r="A30" s="75" t="s">
        <v>112</v>
      </c>
      <c r="B30" s="75">
        <v>17000</v>
      </c>
      <c r="C30" s="95">
        <v>45325</v>
      </c>
      <c r="D30" s="96">
        <f>'DISPOSABLE ITEMS'!M120</f>
        <v>50075</v>
      </c>
      <c r="E30" s="75" t="str">
        <f t="shared" si="0"/>
        <v>XX</v>
      </c>
      <c r="F30" s="97" t="str">
        <f t="shared" si="1"/>
        <v>QUANTITY ABOVE WARNING</v>
      </c>
      <c r="G30" s="75">
        <f t="shared" si="2"/>
        <v>-33075</v>
      </c>
    </row>
    <row r="31" spans="1:7" x14ac:dyDescent="0.3">
      <c r="A31" s="75" t="s">
        <v>108</v>
      </c>
      <c r="B31" s="75">
        <v>2500</v>
      </c>
      <c r="C31" s="95">
        <v>650</v>
      </c>
      <c r="D31" s="96">
        <f>'DISPOSABLE ITEMS'!M116</f>
        <v>9997</v>
      </c>
      <c r="E31" s="75" t="str">
        <f t="shared" si="0"/>
        <v>XX</v>
      </c>
      <c r="F31" s="97" t="str">
        <f t="shared" si="1"/>
        <v>QUANTITY ABOVE WARNING</v>
      </c>
      <c r="G31" s="75">
        <f t="shared" si="2"/>
        <v>-7497</v>
      </c>
    </row>
    <row r="32" spans="1:7" x14ac:dyDescent="0.3">
      <c r="A32" s="75" t="s">
        <v>119</v>
      </c>
      <c r="B32" s="75">
        <v>1200</v>
      </c>
      <c r="C32" s="95">
        <v>1340</v>
      </c>
      <c r="D32" s="96">
        <f>'DISPOSABLE ITEMS'!M126</f>
        <v>232</v>
      </c>
      <c r="E32" s="75" t="str">
        <f t="shared" si="0"/>
        <v>XX</v>
      </c>
      <c r="F32" s="97" t="str">
        <f t="shared" si="1"/>
        <v>BELOW REORDER QTY</v>
      </c>
      <c r="G32" s="75">
        <f t="shared" si="2"/>
        <v>968</v>
      </c>
    </row>
    <row r="33" spans="1:7" x14ac:dyDescent="0.3">
      <c r="A33" s="75" t="s">
        <v>124</v>
      </c>
      <c r="B33" s="75">
        <v>3000</v>
      </c>
      <c r="C33" s="95">
        <v>1970</v>
      </c>
      <c r="D33" s="96">
        <f>'DISPOSABLE ITEMS'!M130</f>
        <v>34</v>
      </c>
      <c r="E33" s="75" t="str">
        <f t="shared" si="0"/>
        <v>XX</v>
      </c>
      <c r="F33" s="97" t="str">
        <f t="shared" si="1"/>
        <v>BELOW REORDER QTY</v>
      </c>
      <c r="G33" s="75">
        <f t="shared" si="2"/>
        <v>2966</v>
      </c>
    </row>
    <row r="34" spans="1:7" x14ac:dyDescent="0.3">
      <c r="A34" s="75" t="s">
        <v>149</v>
      </c>
      <c r="B34" s="75">
        <v>700</v>
      </c>
      <c r="C34" s="95">
        <v>248</v>
      </c>
      <c r="D34" s="96">
        <f>'DISPOSABLE ITEMS'!J146</f>
        <v>0</v>
      </c>
      <c r="E34" s="75" t="str">
        <f t="shared" si="0"/>
        <v>XX</v>
      </c>
      <c r="F34" s="97" t="str">
        <f t="shared" si="1"/>
        <v>BELOW REORDER QTY</v>
      </c>
      <c r="G34" s="75">
        <f t="shared" si="2"/>
        <v>700</v>
      </c>
    </row>
    <row r="35" spans="1:7" x14ac:dyDescent="0.3">
      <c r="A35" s="75" t="s">
        <v>146</v>
      </c>
      <c r="B35" s="75">
        <v>100</v>
      </c>
      <c r="C35" s="95">
        <v>599</v>
      </c>
      <c r="D35" s="96">
        <f>'DISPOSABLE ITEMS'!M144</f>
        <v>479</v>
      </c>
      <c r="E35" s="75" t="str">
        <f t="shared" si="0"/>
        <v>XX</v>
      </c>
      <c r="F35" s="97" t="str">
        <f t="shared" si="1"/>
        <v>QUANTITY ABOVE WARNING</v>
      </c>
      <c r="G35" s="75">
        <f t="shared" si="2"/>
        <v>-379</v>
      </c>
    </row>
    <row r="36" spans="1:7" x14ac:dyDescent="0.3">
      <c r="A36" s="75" t="s">
        <v>131</v>
      </c>
      <c r="B36" s="75">
        <v>0</v>
      </c>
      <c r="C36" s="95">
        <v>3584</v>
      </c>
      <c r="D36" s="96">
        <f>'DISPOSABLE ITEMS'!M134</f>
        <v>2682</v>
      </c>
      <c r="E36" s="75" t="str">
        <f t="shared" si="0"/>
        <v>XX</v>
      </c>
      <c r="F36" s="97" t="str">
        <f t="shared" si="1"/>
        <v>QUANTITY ABOVE WARNING</v>
      </c>
      <c r="G36" s="75">
        <f t="shared" si="2"/>
        <v>-2682</v>
      </c>
    </row>
    <row r="37" spans="1:7" x14ac:dyDescent="0.3">
      <c r="A37" s="75" t="s">
        <v>139</v>
      </c>
      <c r="B37" s="75">
        <v>500</v>
      </c>
      <c r="C37" s="95">
        <v>8300</v>
      </c>
      <c r="D37" s="96">
        <f>'DISPOSABLE ITEMS'!M136</f>
        <v>7198</v>
      </c>
      <c r="E37" s="75" t="str">
        <f t="shared" si="0"/>
        <v>XX</v>
      </c>
      <c r="F37" s="97" t="str">
        <f t="shared" si="1"/>
        <v>QUANTITY ABOVE WARNING</v>
      </c>
      <c r="G37" s="75">
        <f t="shared" si="2"/>
        <v>-6698</v>
      </c>
    </row>
    <row r="38" spans="1:7" x14ac:dyDescent="0.3">
      <c r="A38" s="75" t="s">
        <v>141</v>
      </c>
      <c r="B38" s="75">
        <v>300</v>
      </c>
      <c r="C38" s="95">
        <v>1524</v>
      </c>
      <c r="D38" s="96">
        <f>'DISPOSABLE ITEMS'!M137</f>
        <v>-1</v>
      </c>
      <c r="E38" s="75" t="str">
        <f t="shared" si="0"/>
        <v>XX</v>
      </c>
      <c r="F38" s="97" t="str">
        <f t="shared" si="1"/>
        <v>BELOW REORDER QTY</v>
      </c>
      <c r="G38" s="75">
        <f t="shared" si="2"/>
        <v>301</v>
      </c>
    </row>
    <row r="39" spans="1:7" x14ac:dyDescent="0.3">
      <c r="A39" s="75" t="s">
        <v>144</v>
      </c>
      <c r="B39" s="75">
        <v>1500</v>
      </c>
      <c r="C39" s="95">
        <v>3233</v>
      </c>
      <c r="D39" s="96">
        <f>'DISPOSABLE ITEMS'!M140</f>
        <v>0</v>
      </c>
      <c r="E39" s="75" t="str">
        <f t="shared" si="0"/>
        <v>XX</v>
      </c>
      <c r="F39" s="97" t="str">
        <f t="shared" si="1"/>
        <v>BELOW REORDER QTY</v>
      </c>
      <c r="G39" s="75">
        <f t="shared" si="2"/>
        <v>1500</v>
      </c>
    </row>
    <row r="40" spans="1:7" x14ac:dyDescent="0.3">
      <c r="A40" s="75" t="s">
        <v>145</v>
      </c>
      <c r="B40" s="75">
        <v>2000</v>
      </c>
      <c r="C40" s="95">
        <v>6817</v>
      </c>
      <c r="D40" s="96">
        <f>'DISPOSABLE ITEMS'!M142</f>
        <v>1852</v>
      </c>
      <c r="E40" s="75" t="str">
        <f t="shared" si="0"/>
        <v>XX</v>
      </c>
      <c r="F40" s="97" t="str">
        <f t="shared" si="1"/>
        <v>BELOW REORDER QTY</v>
      </c>
      <c r="G40" s="75">
        <f t="shared" si="2"/>
        <v>148</v>
      </c>
    </row>
  </sheetData>
  <conditionalFormatting sqref="G1 F1:F1048576">
    <cfRule type="containsText" dxfId="795" priority="1" operator="containsText" text="BELOW REORDER QTY">
      <formula>NOT(ISERROR(SEARCH("BELOW REORDER QTY",F1)))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AC3A-569C-4D83-A655-EFF7D69B0D25}">
  <sheetPr codeName="Sheet5"/>
  <dimension ref="A1:A13"/>
  <sheetViews>
    <sheetView workbookViewId="0">
      <selection activeCell="H9" sqref="H9"/>
    </sheetView>
  </sheetViews>
  <sheetFormatPr defaultRowHeight="14.4" x14ac:dyDescent="0.3"/>
  <cols>
    <col min="1" max="1" width="13.88671875" bestFit="1" customWidth="1"/>
  </cols>
  <sheetData>
    <row r="1" spans="1:1" x14ac:dyDescent="0.3">
      <c r="A1" s="1" t="s">
        <v>6</v>
      </c>
    </row>
    <row r="2" spans="1:1" x14ac:dyDescent="0.3">
      <c r="A2" t="s">
        <v>33</v>
      </c>
    </row>
    <row r="3" spans="1:1" x14ac:dyDescent="0.3">
      <c r="A3" t="s">
        <v>20</v>
      </c>
    </row>
    <row r="4" spans="1:1" x14ac:dyDescent="0.3">
      <c r="A4" t="s">
        <v>25</v>
      </c>
    </row>
    <row r="5" spans="1:1" x14ac:dyDescent="0.3">
      <c r="A5" t="s">
        <v>18</v>
      </c>
    </row>
    <row r="6" spans="1:1" x14ac:dyDescent="0.3">
      <c r="A6" t="s">
        <v>27</v>
      </c>
    </row>
    <row r="7" spans="1:1" x14ac:dyDescent="0.3">
      <c r="A7" t="s">
        <v>30</v>
      </c>
    </row>
    <row r="8" spans="1:1" x14ac:dyDescent="0.3">
      <c r="A8" t="s">
        <v>38</v>
      </c>
    </row>
    <row r="9" spans="1:1" x14ac:dyDescent="0.3">
      <c r="A9" t="s">
        <v>192</v>
      </c>
    </row>
    <row r="10" spans="1:1" x14ac:dyDescent="0.3">
      <c r="A10" t="s">
        <v>206</v>
      </c>
    </row>
    <row r="11" spans="1:1" x14ac:dyDescent="0.3">
      <c r="A11" t="s">
        <v>207</v>
      </c>
    </row>
    <row r="12" spans="1:1" x14ac:dyDescent="0.3">
      <c r="A12" t="s">
        <v>236</v>
      </c>
    </row>
    <row r="13" spans="1:1" x14ac:dyDescent="0.3">
      <c r="A13" t="s">
        <v>241</v>
      </c>
    </row>
  </sheetData>
  <sortState xmlns:xlrd2="http://schemas.microsoft.com/office/spreadsheetml/2017/richdata2" ref="A2:A8">
    <sortCondition ref="A2:A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DISPOSABLE ITEMS</vt:lpstr>
      <vt:lpstr>SAMPLES 2026</vt:lpstr>
      <vt:lpstr>MACHINE AND SPARE PARTS 2026</vt:lpstr>
      <vt:lpstr>STOCK WARNING</vt:lpstr>
      <vt:lpstr>DDL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Leolou Jeffrey Sanchez</cp:lastModifiedBy>
  <cp:revision/>
  <cp:lastPrinted>2026-02-26T07:47:15Z</cp:lastPrinted>
  <dcterms:created xsi:type="dcterms:W3CDTF">2025-04-27T13:22:02Z</dcterms:created>
  <dcterms:modified xsi:type="dcterms:W3CDTF">2026-06-16T00:42:09Z</dcterms:modified>
  <cp:category/>
  <cp:contentStatus/>
</cp:coreProperties>
</file>