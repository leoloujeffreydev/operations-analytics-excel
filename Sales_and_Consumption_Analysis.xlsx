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omments2.xml" ContentType="application/vnd.openxmlformats-officedocument.spreadsheetml.comment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eff\Downloads\eoc monitoring for portfolio\"/>
    </mc:Choice>
  </mc:AlternateContent>
  <xr:revisionPtr revIDLastSave="0" documentId="13_ncr:1_{D7453954-DF3D-4983-B7AD-B1941A846ECA}" xr6:coauthVersionLast="47" xr6:coauthVersionMax="47" xr10:uidLastSave="{00000000-0000-0000-0000-000000000000}"/>
  <bookViews>
    <workbookView xWindow="-108" yWindow="-108" windowWidth="23256" windowHeight="12456" tabRatio="789" firstSheet="4" activeTab="11" xr2:uid="{5DCFCD13-F7CD-4656-9BB8-3EB21620F56B}"/>
  </bookViews>
  <sheets>
    <sheet name="BLANKETS" sheetId="1" r:id="rId1"/>
    <sheet name="SLEEVES" sheetId="2" r:id="rId2"/>
    <sheet name="STOCKINGS" sheetId="3" r:id="rId3"/>
    <sheet name="ULTRA SOUND GEL" sheetId="4" r:id="rId4"/>
    <sheet name="APPLICATOR" sheetId="5" r:id="rId5"/>
    <sheet name="SKIN MARKER" sheetId="6" r:id="rId6"/>
    <sheet name="GAUZE" sheetId="7" r:id="rId7"/>
    <sheet name="WRAPPING SHEETS" sheetId="8" r:id="rId8"/>
    <sheet name="GOWNS" sheetId="9" r:id="rId9"/>
    <sheet name="SKIN STAPLER" sheetId="10" r:id="rId10"/>
    <sheet name="IOB &amp; LABTEK MACHINE &amp; PARTS" sheetId="11" r:id="rId11"/>
    <sheet name="DDL" sheetId="12" r:id="rId12"/>
  </sheets>
  <definedNames>
    <definedName name="_xlnm._FilterDatabase" localSheetId="4" hidden="1">APPLICATOR!$A$1:$Q$10</definedName>
    <definedName name="_xlnm._FilterDatabase" localSheetId="0" hidden="1">BLANKETS!$A$1:$Q$254</definedName>
    <definedName name="_xlnm._FilterDatabase" localSheetId="6" hidden="1">GAUZE!$A$1:$Q$41</definedName>
    <definedName name="_xlnm._FilterDatabase" localSheetId="5" hidden="1">'SKIN MARKER'!$A$1:$Q$92</definedName>
    <definedName name="_xlnm._FilterDatabase" localSheetId="1" hidden="1">SLEEVES!$A$1:$Q$100</definedName>
    <definedName name="_xlnm._FilterDatabase" localSheetId="2" hidden="1">STOCKINGS!$A$1:$Q$111</definedName>
    <definedName name="_xlnm._FilterDatabase" localSheetId="3" hidden="1">'ULTRA SOUND GEL'!$A$1:$Q$51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1" i="7" l="1"/>
  <c r="O81" i="7"/>
  <c r="N80" i="7"/>
  <c r="O80" i="7" s="1"/>
  <c r="J81" i="7"/>
  <c r="J80" i="7"/>
  <c r="M81" i="7"/>
  <c r="Q81" i="7" s="1"/>
  <c r="M80" i="7"/>
  <c r="Q80" i="7" s="1"/>
  <c r="N213" i="2"/>
  <c r="O213" i="2" s="1"/>
  <c r="N211" i="2"/>
  <c r="O211" i="2" s="1"/>
  <c r="J213" i="2"/>
  <c r="J212" i="2"/>
  <c r="J211" i="2"/>
  <c r="J210" i="2"/>
  <c r="M213" i="2"/>
  <c r="Q213" i="2" s="1"/>
  <c r="M212" i="2"/>
  <c r="Q212" i="2" s="1"/>
  <c r="M211" i="2"/>
  <c r="Q211" i="2"/>
  <c r="M210" i="2"/>
  <c r="Q210" i="2" s="1"/>
  <c r="J214" i="1"/>
  <c r="M214" i="1"/>
  <c r="Q214" i="1" s="1"/>
  <c r="J104" i="1"/>
  <c r="M104" i="1"/>
  <c r="Q104" i="1" s="1"/>
  <c r="J233" i="2"/>
  <c r="M233" i="2"/>
  <c r="N233" i="2" s="1"/>
  <c r="O233" i="2" s="1"/>
  <c r="Q233" i="2"/>
  <c r="J232" i="2"/>
  <c r="M232" i="2"/>
  <c r="Q232" i="2" s="1"/>
  <c r="J231" i="2"/>
  <c r="M231" i="2"/>
  <c r="Q231" i="2" s="1"/>
  <c r="J219" i="2"/>
  <c r="J218" i="2"/>
  <c r="J217" i="2"/>
  <c r="M219" i="2"/>
  <c r="Q219" i="2" s="1"/>
  <c r="M218" i="2"/>
  <c r="Q218" i="2" s="1"/>
  <c r="M217" i="2"/>
  <c r="Q217" i="2" s="1"/>
  <c r="J168" i="2"/>
  <c r="M168" i="2"/>
  <c r="Q168" i="2" s="1"/>
  <c r="J222" i="2"/>
  <c r="M222" i="2"/>
  <c r="Q222" i="2" s="1"/>
  <c r="J194" i="2"/>
  <c r="M194" i="2"/>
  <c r="Q194" i="2" s="1"/>
  <c r="J151" i="2"/>
  <c r="M151" i="2"/>
  <c r="Q151" i="2" s="1"/>
  <c r="J103" i="3"/>
  <c r="M103" i="3"/>
  <c r="Q103" i="3" s="1"/>
  <c r="M45" i="4"/>
  <c r="N45" i="4" s="1"/>
  <c r="O45" i="4" s="1"/>
  <c r="J45" i="4"/>
  <c r="M181" i="1"/>
  <c r="N181" i="1" s="1"/>
  <c r="O181" i="1" s="1"/>
  <c r="J181" i="1"/>
  <c r="M189" i="1"/>
  <c r="N189" i="1" s="1"/>
  <c r="O189" i="1" s="1"/>
  <c r="J189" i="1"/>
  <c r="M202" i="2"/>
  <c r="N202" i="2" s="1"/>
  <c r="O202" i="2" s="1"/>
  <c r="J202" i="2"/>
  <c r="M230" i="2"/>
  <c r="N230" i="2" s="1"/>
  <c r="O230" i="2" s="1"/>
  <c r="J230" i="2"/>
  <c r="M229" i="2"/>
  <c r="Q229" i="2" s="1"/>
  <c r="J229" i="2"/>
  <c r="M228" i="2"/>
  <c r="Q228" i="2" s="1"/>
  <c r="J228" i="2"/>
  <c r="M102" i="1"/>
  <c r="N102" i="1" s="1"/>
  <c r="O102" i="1" s="1"/>
  <c r="J102" i="1"/>
  <c r="M103" i="1"/>
  <c r="N103" i="1" s="1"/>
  <c r="O103" i="1" s="1"/>
  <c r="J103" i="1"/>
  <c r="M254" i="1"/>
  <c r="Q254" i="1" s="1"/>
  <c r="J254" i="1"/>
  <c r="M253" i="1"/>
  <c r="N253" i="1" s="1"/>
  <c r="O253" i="1" s="1"/>
  <c r="J253" i="1"/>
  <c r="M252" i="1"/>
  <c r="N252" i="1" s="1"/>
  <c r="O252" i="1" s="1"/>
  <c r="J252" i="1"/>
  <c r="J27" i="4"/>
  <c r="M27" i="4"/>
  <c r="Q27" i="4" s="1"/>
  <c r="J44" i="4"/>
  <c r="M44" i="4"/>
  <c r="Q44" i="4" s="1"/>
  <c r="J30" i="2"/>
  <c r="M30" i="2"/>
  <c r="N30" i="2" s="1"/>
  <c r="O30" i="2" s="1"/>
  <c r="J126" i="2"/>
  <c r="J125" i="2"/>
  <c r="M126" i="2"/>
  <c r="N126" i="2" s="1"/>
  <c r="O126" i="2" s="1"/>
  <c r="M125" i="2"/>
  <c r="Q125" i="2" s="1"/>
  <c r="J213" i="1"/>
  <c r="M213" i="1"/>
  <c r="Q213" i="1" s="1"/>
  <c r="J101" i="1"/>
  <c r="M101" i="1"/>
  <c r="Q101" i="1" s="1"/>
  <c r="J11" i="1"/>
  <c r="M11" i="1"/>
  <c r="N11" i="1" s="1"/>
  <c r="O11" i="1" s="1"/>
  <c r="M234" i="2"/>
  <c r="Q234" i="2" s="1"/>
  <c r="J234" i="2"/>
  <c r="M227" i="2"/>
  <c r="N227" i="2" s="1"/>
  <c r="O227" i="2" s="1"/>
  <c r="J227" i="2"/>
  <c r="M226" i="2"/>
  <c r="Q226" i="2" s="1"/>
  <c r="J226" i="2"/>
  <c r="M225" i="2"/>
  <c r="N225" i="2" s="1"/>
  <c r="O225" i="2" s="1"/>
  <c r="J225" i="2"/>
  <c r="M224" i="2"/>
  <c r="Q224" i="2" s="1"/>
  <c r="J224" i="2"/>
  <c r="M223" i="2"/>
  <c r="Q223" i="2" s="1"/>
  <c r="J223" i="2"/>
  <c r="M221" i="2"/>
  <c r="N221" i="2" s="1"/>
  <c r="O221" i="2" s="1"/>
  <c r="J221" i="2"/>
  <c r="M220" i="2"/>
  <c r="N220" i="2" s="1"/>
  <c r="O220" i="2" s="1"/>
  <c r="J220" i="2"/>
  <c r="M216" i="2"/>
  <c r="Q216" i="2" s="1"/>
  <c r="J216" i="2"/>
  <c r="M215" i="2"/>
  <c r="N215" i="2" s="1"/>
  <c r="O215" i="2" s="1"/>
  <c r="J215" i="2"/>
  <c r="M214" i="2"/>
  <c r="Q214" i="2" s="1"/>
  <c r="J214" i="2"/>
  <c r="M209" i="2"/>
  <c r="N209" i="2" s="1"/>
  <c r="O209" i="2" s="1"/>
  <c r="J209" i="2"/>
  <c r="M208" i="2"/>
  <c r="Q208" i="2" s="1"/>
  <c r="J208" i="2"/>
  <c r="M207" i="2"/>
  <c r="Q207" i="2" s="1"/>
  <c r="J207" i="2"/>
  <c r="M206" i="2"/>
  <c r="N206" i="2" s="1"/>
  <c r="O206" i="2" s="1"/>
  <c r="J206" i="2"/>
  <c r="M205" i="2"/>
  <c r="N205" i="2" s="1"/>
  <c r="O205" i="2" s="1"/>
  <c r="J205" i="2"/>
  <c r="M204" i="2"/>
  <c r="Q204" i="2" s="1"/>
  <c r="J204" i="2"/>
  <c r="J29" i="2"/>
  <c r="J28" i="2"/>
  <c r="M29" i="2"/>
  <c r="Q29" i="2" s="1"/>
  <c r="M28" i="2"/>
  <c r="Q28" i="2" s="1"/>
  <c r="J124" i="2"/>
  <c r="J123" i="2"/>
  <c r="J122" i="2"/>
  <c r="M124" i="2"/>
  <c r="N124" i="2" s="1"/>
  <c r="O124" i="2" s="1"/>
  <c r="M123" i="2"/>
  <c r="Q123" i="2" s="1"/>
  <c r="M122" i="2"/>
  <c r="Q122" i="2" s="1"/>
  <c r="Q45" i="4" l="1"/>
  <c r="N210" i="2"/>
  <c r="O210" i="2" s="1"/>
  <c r="N212" i="2"/>
  <c r="O212" i="2" s="1"/>
  <c r="N214" i="1"/>
  <c r="O214" i="1" s="1"/>
  <c r="N104" i="1"/>
  <c r="O104" i="1" s="1"/>
  <c r="N103" i="3"/>
  <c r="O103" i="3" s="1"/>
  <c r="N232" i="2"/>
  <c r="O232" i="2" s="1"/>
  <c r="N231" i="2"/>
  <c r="O231" i="2" s="1"/>
  <c r="Q181" i="1"/>
  <c r="N217" i="2"/>
  <c r="O217" i="2" s="1"/>
  <c r="N218" i="2"/>
  <c r="O218" i="2" s="1"/>
  <c r="N219" i="2"/>
  <c r="O219" i="2" s="1"/>
  <c r="N168" i="2"/>
  <c r="O168" i="2" s="1"/>
  <c r="N222" i="2"/>
  <c r="O222" i="2" s="1"/>
  <c r="N151" i="2"/>
  <c r="O151" i="2" s="1"/>
  <c r="N194" i="2"/>
  <c r="O194" i="2" s="1"/>
  <c r="Q126" i="2"/>
  <c r="N27" i="4"/>
  <c r="O27" i="4" s="1"/>
  <c r="Q189" i="1"/>
  <c r="Q202" i="2"/>
  <c r="Q30" i="2"/>
  <c r="N228" i="2"/>
  <c r="O228" i="2" s="1"/>
  <c r="Q230" i="2"/>
  <c r="N229" i="2"/>
  <c r="O229" i="2" s="1"/>
  <c r="Q102" i="1"/>
  <c r="Q103" i="1"/>
  <c r="Q11" i="1"/>
  <c r="N213" i="1"/>
  <c r="O213" i="1" s="1"/>
  <c r="N101" i="1"/>
  <c r="O101" i="1" s="1"/>
  <c r="Q253" i="1"/>
  <c r="Q252" i="1"/>
  <c r="N254" i="1"/>
  <c r="O254" i="1" s="1"/>
  <c r="Q227" i="2"/>
  <c r="N44" i="4"/>
  <c r="O44" i="4" s="1"/>
  <c r="N125" i="2"/>
  <c r="O125" i="2" s="1"/>
  <c r="N224" i="2"/>
  <c r="O224" i="2" s="1"/>
  <c r="Q215" i="2"/>
  <c r="N28" i="2"/>
  <c r="O28" i="2" s="1"/>
  <c r="Q206" i="2"/>
  <c r="Q209" i="2"/>
  <c r="N208" i="2"/>
  <c r="O208" i="2" s="1"/>
  <c r="Q225" i="2"/>
  <c r="N29" i="2"/>
  <c r="O29" i="2" s="1"/>
  <c r="Q221" i="2"/>
  <c r="N214" i="2"/>
  <c r="O214" i="2" s="1"/>
  <c r="N226" i="2"/>
  <c r="O226" i="2" s="1"/>
  <c r="Q205" i="2"/>
  <c r="N207" i="2"/>
  <c r="O207" i="2" s="1"/>
  <c r="Q220" i="2"/>
  <c r="N223" i="2"/>
  <c r="O223" i="2" s="1"/>
  <c r="N234" i="2"/>
  <c r="O234" i="2" s="1"/>
  <c r="N204" i="2"/>
  <c r="O204" i="2" s="1"/>
  <c r="N216" i="2"/>
  <c r="O216" i="2" s="1"/>
  <c r="Q124" i="2"/>
  <c r="N122" i="2"/>
  <c r="O122" i="2" s="1"/>
  <c r="N123" i="2"/>
  <c r="O123" i="2" s="1"/>
  <c r="J50" i="3"/>
  <c r="M50" i="3"/>
  <c r="Q50" i="3" s="1"/>
  <c r="N56" i="6"/>
  <c r="O56" i="6" s="1"/>
  <c r="J56" i="6"/>
  <c r="M56" i="6"/>
  <c r="Q56" i="6" s="1"/>
  <c r="J69" i="3"/>
  <c r="M69" i="3"/>
  <c r="Q69" i="3" s="1"/>
  <c r="J85" i="6"/>
  <c r="M85" i="6"/>
  <c r="Q85" i="6" s="1"/>
  <c r="J89" i="3"/>
  <c r="J88" i="3"/>
  <c r="J87" i="3"/>
  <c r="J86" i="3"/>
  <c r="M89" i="3"/>
  <c r="Q89" i="3" s="1"/>
  <c r="M88" i="3"/>
  <c r="Q88" i="3" s="1"/>
  <c r="M87" i="3"/>
  <c r="Q87" i="3" s="1"/>
  <c r="M86" i="3"/>
  <c r="Q86" i="3" s="1"/>
  <c r="M89" i="6"/>
  <c r="N89" i="6" s="1"/>
  <c r="O89" i="6" s="1"/>
  <c r="J89" i="6"/>
  <c r="J88" i="6"/>
  <c r="M88" i="6"/>
  <c r="Q88" i="6" s="1"/>
  <c r="J121" i="2"/>
  <c r="M121" i="2"/>
  <c r="Q121" i="2" s="1"/>
  <c r="J169" i="1"/>
  <c r="M169" i="1"/>
  <c r="Q169" i="1" s="1"/>
  <c r="J32" i="6"/>
  <c r="M32" i="6"/>
  <c r="Q32" i="6" s="1"/>
  <c r="J206" i="1"/>
  <c r="M206" i="1"/>
  <c r="Q206" i="1" s="1"/>
  <c r="J205" i="1"/>
  <c r="M205" i="1"/>
  <c r="Q205" i="1" s="1"/>
  <c r="J77" i="1"/>
  <c r="M77" i="1"/>
  <c r="Q77" i="1" s="1"/>
  <c r="J194" i="1"/>
  <c r="M194" i="1"/>
  <c r="Q194" i="1" s="1"/>
  <c r="J231" i="1"/>
  <c r="M231" i="1"/>
  <c r="Q231" i="1" s="1"/>
  <c r="J217" i="1"/>
  <c r="M217" i="1"/>
  <c r="Q217" i="1" s="1"/>
  <c r="J69" i="6"/>
  <c r="M69" i="6"/>
  <c r="Q69" i="6" s="1"/>
  <c r="J118" i="1"/>
  <c r="M118" i="1"/>
  <c r="Q118" i="1" s="1"/>
  <c r="J100" i="1"/>
  <c r="M100" i="1"/>
  <c r="Q100" i="1" s="1"/>
  <c r="J99" i="1"/>
  <c r="M99" i="1"/>
  <c r="Q99" i="1" s="1"/>
  <c r="J156" i="1"/>
  <c r="M156" i="1"/>
  <c r="Q156" i="1" s="1"/>
  <c r="J164" i="1"/>
  <c r="M164" i="1"/>
  <c r="Q164" i="1" s="1"/>
  <c r="J178" i="2"/>
  <c r="M178" i="2"/>
  <c r="Q178" i="2" s="1"/>
  <c r="J43" i="6"/>
  <c r="M43" i="6"/>
  <c r="Q43" i="6" s="1"/>
  <c r="N50" i="3" l="1"/>
  <c r="O50" i="3" s="1"/>
  <c r="N231" i="1"/>
  <c r="O231" i="1" s="1"/>
  <c r="N169" i="1"/>
  <c r="O169" i="1" s="1"/>
  <c r="N69" i="3"/>
  <c r="O69" i="3" s="1"/>
  <c r="N85" i="6"/>
  <c r="O85" i="6" s="1"/>
  <c r="N87" i="3"/>
  <c r="O87" i="3" s="1"/>
  <c r="N88" i="3"/>
  <c r="O88" i="3" s="1"/>
  <c r="N86" i="3"/>
  <c r="O86" i="3" s="1"/>
  <c r="N89" i="3"/>
  <c r="O89" i="3" s="1"/>
  <c r="N88" i="6"/>
  <c r="O88" i="6" s="1"/>
  <c r="N121" i="2"/>
  <c r="O121" i="2" s="1"/>
  <c r="N32" i="6"/>
  <c r="O32" i="6" s="1"/>
  <c r="N178" i="2"/>
  <c r="O178" i="2" s="1"/>
  <c r="N206" i="1"/>
  <c r="O206" i="1" s="1"/>
  <c r="N69" i="6"/>
  <c r="O69" i="6" s="1"/>
  <c r="N205" i="1"/>
  <c r="O205" i="1" s="1"/>
  <c r="N77" i="1"/>
  <c r="O77" i="1" s="1"/>
  <c r="N194" i="1"/>
  <c r="O194" i="1" s="1"/>
  <c r="N217" i="1"/>
  <c r="O217" i="1" s="1"/>
  <c r="N118" i="1"/>
  <c r="O118" i="1" s="1"/>
  <c r="N43" i="6"/>
  <c r="O43" i="6" s="1"/>
  <c r="N100" i="1"/>
  <c r="O100" i="1" s="1"/>
  <c r="N99" i="1"/>
  <c r="O99" i="1" s="1"/>
  <c r="N156" i="1"/>
  <c r="O156" i="1" s="1"/>
  <c r="N164" i="1"/>
  <c r="O164" i="1" s="1"/>
  <c r="J120" i="2" l="1"/>
  <c r="J119" i="2"/>
  <c r="M120" i="2"/>
  <c r="Q120" i="2" s="1"/>
  <c r="M119" i="2"/>
  <c r="Q119" i="2" s="1"/>
  <c r="J27" i="2"/>
  <c r="M27" i="2"/>
  <c r="Q27" i="2" s="1"/>
  <c r="J10" i="1"/>
  <c r="M10" i="1"/>
  <c r="Q10" i="1" s="1"/>
  <c r="J68" i="2"/>
  <c r="J67" i="2"/>
  <c r="J66" i="2"/>
  <c r="M68" i="2"/>
  <c r="Q68" i="2" s="1"/>
  <c r="M67" i="2"/>
  <c r="Q67" i="2" s="1"/>
  <c r="M66" i="2"/>
  <c r="Q66" i="2" s="1"/>
  <c r="J43" i="4"/>
  <c r="M43" i="4"/>
  <c r="Q43" i="4" s="1"/>
  <c r="J55" i="7"/>
  <c r="M55" i="7"/>
  <c r="Q55" i="7" s="1"/>
  <c r="N55" i="7" l="1"/>
  <c r="O55" i="7" s="1"/>
  <c r="N43" i="4"/>
  <c r="O43" i="4" s="1"/>
  <c r="N119" i="2"/>
  <c r="O119" i="2" s="1"/>
  <c r="N10" i="1"/>
  <c r="O10" i="1" s="1"/>
  <c r="N120" i="2"/>
  <c r="O120" i="2" s="1"/>
  <c r="N27" i="2"/>
  <c r="O27" i="2" s="1"/>
  <c r="N66" i="2"/>
  <c r="O66" i="2" s="1"/>
  <c r="N67" i="2"/>
  <c r="O67" i="2" s="1"/>
  <c r="N68" i="2"/>
  <c r="O68" i="2" s="1"/>
  <c r="J101" i="3"/>
  <c r="M101" i="3"/>
  <c r="Q101" i="3" s="1"/>
  <c r="J37" i="4"/>
  <c r="M37" i="4"/>
  <c r="Q37" i="4" s="1"/>
  <c r="J118" i="2"/>
  <c r="J117" i="2"/>
  <c r="M118" i="2"/>
  <c r="Q118" i="2" s="1"/>
  <c r="M117" i="2"/>
  <c r="Q117" i="2" s="1"/>
  <c r="N101" i="3" l="1"/>
  <c r="O101" i="3" s="1"/>
  <c r="N118" i="2"/>
  <c r="O118" i="2" s="1"/>
  <c r="N117" i="2"/>
  <c r="O117" i="2" s="1"/>
  <c r="N37" i="4"/>
  <c r="O37" i="4" s="1"/>
  <c r="J150" i="2"/>
  <c r="M150" i="2"/>
  <c r="Q150" i="2" s="1"/>
  <c r="J180" i="1"/>
  <c r="M180" i="1"/>
  <c r="Q180" i="1" s="1"/>
  <c r="J188" i="1"/>
  <c r="M188" i="1"/>
  <c r="Q188" i="1" s="1"/>
  <c r="J199" i="1"/>
  <c r="M199" i="1"/>
  <c r="Q199" i="1" s="1"/>
  <c r="J26" i="2"/>
  <c r="M26" i="2"/>
  <c r="Q26" i="2" s="1"/>
  <c r="N180" i="1" l="1"/>
  <c r="O180" i="1" s="1"/>
  <c r="N150" i="2"/>
  <c r="O150" i="2" s="1"/>
  <c r="N26" i="2"/>
  <c r="O26" i="2" s="1"/>
  <c r="N188" i="1"/>
  <c r="O188" i="1" s="1"/>
  <c r="N199" i="1"/>
  <c r="O199" i="1" s="1"/>
  <c r="J98" i="1"/>
  <c r="M98" i="1"/>
  <c r="Q98" i="1" s="1"/>
  <c r="J116" i="2"/>
  <c r="J115" i="2"/>
  <c r="M116" i="2"/>
  <c r="Q116" i="2" s="1"/>
  <c r="M115" i="2"/>
  <c r="Q115" i="2" s="1"/>
  <c r="J65" i="2"/>
  <c r="J64" i="2"/>
  <c r="M65" i="2"/>
  <c r="Q65" i="2" s="1"/>
  <c r="M64" i="2"/>
  <c r="Q64" i="2" s="1"/>
  <c r="M87" i="7"/>
  <c r="N87" i="7" s="1"/>
  <c r="O87" i="7" s="1"/>
  <c r="M88" i="7"/>
  <c r="N88" i="7" s="1"/>
  <c r="O88" i="7" s="1"/>
  <c r="M89" i="7"/>
  <c r="N89" i="7" s="1"/>
  <c r="O89" i="7" s="1"/>
  <c r="M90" i="7"/>
  <c r="N90" i="7" s="1"/>
  <c r="J114" i="2"/>
  <c r="J113" i="2"/>
  <c r="J112" i="2"/>
  <c r="M114" i="2"/>
  <c r="Q114" i="2" s="1"/>
  <c r="M113" i="2"/>
  <c r="Q113" i="2" s="1"/>
  <c r="M112" i="2"/>
  <c r="Q112" i="2" s="1"/>
  <c r="J97" i="1"/>
  <c r="M97" i="1"/>
  <c r="Q97" i="1" s="1"/>
  <c r="N98" i="1" l="1"/>
  <c r="O98" i="1" s="1"/>
  <c r="N115" i="2"/>
  <c r="O115" i="2" s="1"/>
  <c r="N116" i="2"/>
  <c r="O116" i="2" s="1"/>
  <c r="N64" i="2"/>
  <c r="O64" i="2" s="1"/>
  <c r="N65" i="2"/>
  <c r="O65" i="2" s="1"/>
  <c r="N97" i="1"/>
  <c r="O97" i="1" s="1"/>
  <c r="N112" i="2"/>
  <c r="O112" i="2" s="1"/>
  <c r="N113" i="2"/>
  <c r="O113" i="2" s="1"/>
  <c r="N114" i="2"/>
  <c r="O114" i="2" s="1"/>
  <c r="J196" i="1"/>
  <c r="M196" i="1"/>
  <c r="Q196" i="1" s="1"/>
  <c r="J111" i="2"/>
  <c r="M111" i="2"/>
  <c r="Q111" i="2" s="1"/>
  <c r="J110" i="2"/>
  <c r="J109" i="2"/>
  <c r="M110" i="2"/>
  <c r="Q110" i="2" s="1"/>
  <c r="M109" i="2"/>
  <c r="Q109" i="2" s="1"/>
  <c r="J68" i="3"/>
  <c r="J67" i="3"/>
  <c r="M68" i="3"/>
  <c r="Q68" i="3" s="1"/>
  <c r="M67" i="3"/>
  <c r="Q67" i="3" s="1"/>
  <c r="J77" i="7"/>
  <c r="M77" i="7"/>
  <c r="Q77" i="7" s="1"/>
  <c r="J96" i="1"/>
  <c r="M96" i="1"/>
  <c r="Q96" i="1" s="1"/>
  <c r="J117" i="1"/>
  <c r="M117" i="1"/>
  <c r="Q117" i="1" s="1"/>
  <c r="J155" i="1"/>
  <c r="M155" i="1"/>
  <c r="Q155" i="1" s="1"/>
  <c r="J163" i="1"/>
  <c r="M163" i="1"/>
  <c r="Q163" i="1" s="1"/>
  <c r="J35" i="4"/>
  <c r="M35" i="4"/>
  <c r="Q35" i="4" s="1"/>
  <c r="J95" i="1"/>
  <c r="M95" i="1"/>
  <c r="Q95" i="1" s="1"/>
  <c r="J68" i="7"/>
  <c r="M68" i="7"/>
  <c r="Q68" i="7" s="1"/>
  <c r="J86" i="7"/>
  <c r="M86" i="7"/>
  <c r="Q86" i="7" s="1"/>
  <c r="J49" i="6"/>
  <c r="M49" i="6"/>
  <c r="Q49" i="6" s="1"/>
  <c r="J94" i="3"/>
  <c r="J93" i="3"/>
  <c r="M94" i="3"/>
  <c r="Q94" i="3" s="1"/>
  <c r="M93" i="3"/>
  <c r="Q93" i="3" s="1"/>
  <c r="J76" i="3"/>
  <c r="J75" i="3"/>
  <c r="M76" i="3"/>
  <c r="Q76" i="3" s="1"/>
  <c r="M75" i="3"/>
  <c r="Q75" i="3" s="1"/>
  <c r="J59" i="3"/>
  <c r="M59" i="3"/>
  <c r="Q59" i="3" s="1"/>
  <c r="J62" i="3"/>
  <c r="M62" i="3"/>
  <c r="Q62" i="3" s="1"/>
  <c r="J46" i="3"/>
  <c r="M46" i="3"/>
  <c r="Q46" i="3" s="1"/>
  <c r="J71" i="3"/>
  <c r="M71" i="3"/>
  <c r="Q71" i="3" s="1"/>
  <c r="J100" i="3"/>
  <c r="J99" i="3"/>
  <c r="J98" i="3"/>
  <c r="J97" i="3"/>
  <c r="M100" i="3"/>
  <c r="Q100" i="3" s="1"/>
  <c r="M99" i="3"/>
  <c r="Q99" i="3" s="1"/>
  <c r="M98" i="3"/>
  <c r="Q98" i="3" s="1"/>
  <c r="M97" i="3"/>
  <c r="Q97" i="3" s="1"/>
  <c r="J85" i="3"/>
  <c r="J84" i="3"/>
  <c r="J83" i="3"/>
  <c r="J82" i="3"/>
  <c r="M85" i="3"/>
  <c r="Q85" i="3" s="1"/>
  <c r="M84" i="3"/>
  <c r="Q84" i="3" s="1"/>
  <c r="M83" i="3"/>
  <c r="Q83" i="3" s="1"/>
  <c r="M82" i="3"/>
  <c r="Q82" i="3" s="1"/>
  <c r="J168" i="1"/>
  <c r="M168" i="1"/>
  <c r="Q168" i="1" s="1"/>
  <c r="J76" i="1"/>
  <c r="M76" i="1"/>
  <c r="Q76" i="1" s="1"/>
  <c r="J63" i="2"/>
  <c r="M63" i="2"/>
  <c r="Q63" i="2" s="1"/>
  <c r="J67" i="7"/>
  <c r="M67" i="7"/>
  <c r="Q67" i="7" s="1"/>
  <c r="J85" i="7"/>
  <c r="M85" i="7"/>
  <c r="Q85" i="7" s="1"/>
  <c r="J34" i="4"/>
  <c r="M34" i="4"/>
  <c r="Q34" i="4" s="1"/>
  <c r="J26" i="4"/>
  <c r="M26" i="4"/>
  <c r="Q26" i="4" s="1"/>
  <c r="J94" i="1"/>
  <c r="M94" i="1"/>
  <c r="Q94" i="1" s="1"/>
  <c r="J7" i="5"/>
  <c r="M7" i="5"/>
  <c r="Q7" i="5" s="1"/>
  <c r="J15" i="6"/>
  <c r="M15" i="6"/>
  <c r="Q15" i="6" s="1"/>
  <c r="J93" i="1"/>
  <c r="M93" i="1"/>
  <c r="Q93" i="1" s="1"/>
  <c r="M176" i="2"/>
  <c r="J92" i="1"/>
  <c r="M92" i="1"/>
  <c r="Q92" i="1" s="1"/>
  <c r="J204" i="1"/>
  <c r="J203" i="1"/>
  <c r="M204" i="1"/>
  <c r="Q204" i="1" s="1"/>
  <c r="M203" i="1"/>
  <c r="Q203" i="1" s="1"/>
  <c r="N7" i="5" l="1"/>
  <c r="O7" i="5" s="1"/>
  <c r="N86" i="7"/>
  <c r="O86" i="7" s="1"/>
  <c r="N49" i="6"/>
  <c r="O49" i="6" s="1"/>
  <c r="N68" i="7"/>
  <c r="O68" i="7" s="1"/>
  <c r="N77" i="7"/>
  <c r="O77" i="7" s="1"/>
  <c r="N67" i="3"/>
  <c r="O67" i="3" s="1"/>
  <c r="N68" i="3"/>
  <c r="O68" i="3" s="1"/>
  <c r="N35" i="4"/>
  <c r="O35" i="4" s="1"/>
  <c r="N111" i="2"/>
  <c r="O111" i="2" s="1"/>
  <c r="N110" i="2"/>
  <c r="O110" i="2" s="1"/>
  <c r="N196" i="1"/>
  <c r="O196" i="1" s="1"/>
  <c r="N117" i="1"/>
  <c r="O117" i="1" s="1"/>
  <c r="N96" i="1"/>
  <c r="O96" i="1" s="1"/>
  <c r="N109" i="2"/>
  <c r="O109" i="2" s="1"/>
  <c r="N63" i="2"/>
  <c r="O63" i="2" s="1"/>
  <c r="N93" i="3"/>
  <c r="O93" i="3" s="1"/>
  <c r="N94" i="3"/>
  <c r="O94" i="3" s="1"/>
  <c r="N155" i="1"/>
  <c r="O155" i="1" s="1"/>
  <c r="N163" i="1"/>
  <c r="O163" i="1" s="1"/>
  <c r="N95" i="1"/>
  <c r="O95" i="1" s="1"/>
  <c r="N34" i="4"/>
  <c r="O34" i="4" s="1"/>
  <c r="N76" i="1"/>
  <c r="O76" i="1" s="1"/>
  <c r="N168" i="1"/>
  <c r="O168" i="1" s="1"/>
  <c r="N67" i="7"/>
  <c r="O67" i="7" s="1"/>
  <c r="N85" i="7"/>
  <c r="O85" i="7" s="1"/>
  <c r="N15" i="6"/>
  <c r="O15" i="6" s="1"/>
  <c r="N75" i="3"/>
  <c r="O75" i="3" s="1"/>
  <c r="N76" i="3"/>
  <c r="O76" i="3" s="1"/>
  <c r="N59" i="3"/>
  <c r="O59" i="3" s="1"/>
  <c r="N46" i="3"/>
  <c r="O46" i="3" s="1"/>
  <c r="N62" i="3"/>
  <c r="O62" i="3" s="1"/>
  <c r="N71" i="3"/>
  <c r="O71" i="3" s="1"/>
  <c r="N100" i="3"/>
  <c r="O100" i="3" s="1"/>
  <c r="N98" i="3"/>
  <c r="O98" i="3" s="1"/>
  <c r="N97" i="3"/>
  <c r="O97" i="3" s="1"/>
  <c r="N99" i="3"/>
  <c r="O99" i="3" s="1"/>
  <c r="N82" i="3"/>
  <c r="O82" i="3" s="1"/>
  <c r="N83" i="3"/>
  <c r="O83" i="3" s="1"/>
  <c r="N84" i="3"/>
  <c r="O84" i="3" s="1"/>
  <c r="N85" i="3"/>
  <c r="O85" i="3" s="1"/>
  <c r="N94" i="1"/>
  <c r="O94" i="1" s="1"/>
  <c r="N26" i="4"/>
  <c r="O26" i="4" s="1"/>
  <c r="N93" i="1"/>
  <c r="O93" i="1" s="1"/>
  <c r="N92" i="1"/>
  <c r="O92" i="1" s="1"/>
  <c r="N204" i="1"/>
  <c r="O204" i="1" s="1"/>
  <c r="N203" i="1"/>
  <c r="O203" i="1" s="1"/>
  <c r="J74" i="7"/>
  <c r="J73" i="7"/>
  <c r="M74" i="7"/>
  <c r="Q74" i="7" s="1"/>
  <c r="M73" i="7"/>
  <c r="Q73" i="7" s="1"/>
  <c r="J84" i="7"/>
  <c r="M84" i="7"/>
  <c r="Q84" i="7" s="1"/>
  <c r="J162" i="1"/>
  <c r="M162" i="1"/>
  <c r="Q162" i="1" s="1"/>
  <c r="M51" i="4"/>
  <c r="N51" i="4" s="1"/>
  <c r="O51" i="4" s="1"/>
  <c r="J51" i="4"/>
  <c r="M50" i="4"/>
  <c r="Q50" i="4" s="1"/>
  <c r="J50" i="4"/>
  <c r="M49" i="4"/>
  <c r="Q49" i="4" s="1"/>
  <c r="J49" i="4"/>
  <c r="M48" i="4"/>
  <c r="Q48" i="4" s="1"/>
  <c r="J48" i="4"/>
  <c r="M47" i="4"/>
  <c r="Q47" i="4" s="1"/>
  <c r="J47" i="4"/>
  <c r="M46" i="4"/>
  <c r="Q46" i="4" s="1"/>
  <c r="J46" i="4"/>
  <c r="M42" i="4"/>
  <c r="Q42" i="4" s="1"/>
  <c r="J42" i="4"/>
  <c r="M41" i="4"/>
  <c r="Q41" i="4" s="1"/>
  <c r="J41" i="4"/>
  <c r="M40" i="4"/>
  <c r="N40" i="4" s="1"/>
  <c r="O40" i="4" s="1"/>
  <c r="J40" i="4"/>
  <c r="J154" i="1"/>
  <c r="M154" i="1"/>
  <c r="Q154" i="1" s="1"/>
  <c r="J83" i="7"/>
  <c r="M83" i="7"/>
  <c r="Q83" i="7" s="1"/>
  <c r="J31" i="7"/>
  <c r="M31" i="7"/>
  <c r="Q31" i="7" s="1"/>
  <c r="J66" i="7"/>
  <c r="M66" i="7"/>
  <c r="Q66" i="7" s="1"/>
  <c r="J185" i="1"/>
  <c r="M185" i="1"/>
  <c r="Q185" i="1" s="1"/>
  <c r="Q51" i="4" l="1"/>
  <c r="N74" i="7"/>
  <c r="O74" i="7" s="1"/>
  <c r="Q40" i="4"/>
  <c r="N73" i="7"/>
  <c r="O73" i="7" s="1"/>
  <c r="N42" i="4"/>
  <c r="O42" i="4" s="1"/>
  <c r="N48" i="4"/>
  <c r="O48" i="4" s="1"/>
  <c r="N154" i="1"/>
  <c r="O154" i="1" s="1"/>
  <c r="N162" i="1"/>
  <c r="O162" i="1" s="1"/>
  <c r="N31" i="7"/>
  <c r="O31" i="7" s="1"/>
  <c r="N84" i="7"/>
  <c r="O84" i="7" s="1"/>
  <c r="N83" i="7"/>
  <c r="O83" i="7" s="1"/>
  <c r="N50" i="4"/>
  <c r="O50" i="4" s="1"/>
  <c r="N47" i="4"/>
  <c r="O47" i="4" s="1"/>
  <c r="N41" i="4"/>
  <c r="O41" i="4" s="1"/>
  <c r="N49" i="4"/>
  <c r="O49" i="4" s="1"/>
  <c r="N46" i="4"/>
  <c r="O46" i="4" s="1"/>
  <c r="N185" i="1"/>
  <c r="O185" i="1" s="1"/>
  <c r="N66" i="7"/>
  <c r="O66" i="7" s="1"/>
  <c r="J65" i="7"/>
  <c r="M65" i="7"/>
  <c r="Q65" i="7" s="1"/>
  <c r="J149" i="2"/>
  <c r="J148" i="2"/>
  <c r="M149" i="2"/>
  <c r="Q149" i="2" s="1"/>
  <c r="M148" i="2"/>
  <c r="Q148" i="2" s="1"/>
  <c r="J153" i="1"/>
  <c r="M153" i="1"/>
  <c r="Q153" i="1" s="1"/>
  <c r="J62" i="2"/>
  <c r="J61" i="2"/>
  <c r="J60" i="2"/>
  <c r="J59" i="2"/>
  <c r="M62" i="2"/>
  <c r="Q62" i="2" s="1"/>
  <c r="M61" i="2"/>
  <c r="Q61" i="2" s="1"/>
  <c r="M60" i="2"/>
  <c r="Q60" i="2" s="1"/>
  <c r="M59" i="2"/>
  <c r="Q59" i="2" s="1"/>
  <c r="M251" i="1"/>
  <c r="N251" i="1" s="1"/>
  <c r="O251" i="1" s="1"/>
  <c r="J251" i="1"/>
  <c r="M250" i="1"/>
  <c r="N250" i="1" s="1"/>
  <c r="O250" i="1" s="1"/>
  <c r="J250" i="1"/>
  <c r="M249" i="1"/>
  <c r="Q249" i="1" s="1"/>
  <c r="J249" i="1"/>
  <c r="M248" i="1"/>
  <c r="N248" i="1" s="1"/>
  <c r="O248" i="1" s="1"/>
  <c r="J248" i="1"/>
  <c r="M247" i="1"/>
  <c r="N247" i="1" s="1"/>
  <c r="O247" i="1" s="1"/>
  <c r="J247" i="1"/>
  <c r="M246" i="1"/>
  <c r="Q246" i="1" s="1"/>
  <c r="J246" i="1"/>
  <c r="M245" i="1"/>
  <c r="N245" i="1" s="1"/>
  <c r="O245" i="1" s="1"/>
  <c r="J245" i="1"/>
  <c r="M244" i="1"/>
  <c r="Q244" i="1" s="1"/>
  <c r="J244" i="1"/>
  <c r="M243" i="1"/>
  <c r="Q243" i="1" s="1"/>
  <c r="J243" i="1"/>
  <c r="M242" i="1"/>
  <c r="Q242" i="1" s="1"/>
  <c r="J242" i="1"/>
  <c r="M241" i="1"/>
  <c r="Q241" i="1" s="1"/>
  <c r="J241" i="1"/>
  <c r="M240" i="1"/>
  <c r="N240" i="1" s="1"/>
  <c r="O240" i="1" s="1"/>
  <c r="J240" i="1"/>
  <c r="M239" i="1"/>
  <c r="N239" i="1" s="1"/>
  <c r="O239" i="1" s="1"/>
  <c r="J239" i="1"/>
  <c r="M238" i="1"/>
  <c r="Q238" i="1" s="1"/>
  <c r="J238" i="1"/>
  <c r="M237" i="1"/>
  <c r="N237" i="1" s="1"/>
  <c r="O237" i="1" s="1"/>
  <c r="J237" i="1"/>
  <c r="M236" i="1"/>
  <c r="Q236" i="1" s="1"/>
  <c r="J236" i="1"/>
  <c r="M235" i="1"/>
  <c r="Q235" i="1" s="1"/>
  <c r="J235" i="1"/>
  <c r="M234" i="1"/>
  <c r="Q234" i="1" s="1"/>
  <c r="J234" i="1"/>
  <c r="M233" i="1"/>
  <c r="N233" i="1" s="1"/>
  <c r="O233" i="1" s="1"/>
  <c r="J233" i="1"/>
  <c r="M232" i="1"/>
  <c r="N232" i="1" s="1"/>
  <c r="O232" i="1" s="1"/>
  <c r="J232" i="1"/>
  <c r="M230" i="1"/>
  <c r="Q230" i="1" s="1"/>
  <c r="J230" i="1"/>
  <c r="M229" i="1"/>
  <c r="Q229" i="1" s="1"/>
  <c r="J229" i="1"/>
  <c r="M228" i="1"/>
  <c r="N228" i="1" s="1"/>
  <c r="O228" i="1" s="1"/>
  <c r="J228" i="1"/>
  <c r="M227" i="1"/>
  <c r="Q227" i="1" s="1"/>
  <c r="J227" i="1"/>
  <c r="M226" i="1"/>
  <c r="Q226" i="1" s="1"/>
  <c r="J226" i="1"/>
  <c r="M225" i="1"/>
  <c r="Q225" i="1" s="1"/>
  <c r="J225" i="1"/>
  <c r="M224" i="1"/>
  <c r="Q224" i="1" s="1"/>
  <c r="J224" i="1"/>
  <c r="M223" i="1"/>
  <c r="N223" i="1" s="1"/>
  <c r="O223" i="1" s="1"/>
  <c r="J223" i="1"/>
  <c r="M222" i="1"/>
  <c r="Q222" i="1" s="1"/>
  <c r="J222" i="1"/>
  <c r="M221" i="1"/>
  <c r="N221" i="1" s="1"/>
  <c r="O221" i="1" s="1"/>
  <c r="J221" i="1"/>
  <c r="M220" i="1"/>
  <c r="Q220" i="1" s="1"/>
  <c r="J220" i="1"/>
  <c r="M219" i="1"/>
  <c r="Q219" i="1" s="1"/>
  <c r="J219" i="1"/>
  <c r="M218" i="1"/>
  <c r="N218" i="1" s="1"/>
  <c r="O218" i="1" s="1"/>
  <c r="J218" i="1"/>
  <c r="M216" i="1"/>
  <c r="Q216" i="1" s="1"/>
  <c r="J216" i="1"/>
  <c r="M215" i="1"/>
  <c r="N215" i="1" s="1"/>
  <c r="O215" i="1" s="1"/>
  <c r="J215" i="1"/>
  <c r="M212" i="1"/>
  <c r="Q212" i="1" s="1"/>
  <c r="J212" i="1"/>
  <c r="M211" i="1"/>
  <c r="Q211" i="1" s="1"/>
  <c r="J211" i="1"/>
  <c r="M210" i="1"/>
  <c r="N210" i="1" s="1"/>
  <c r="O210" i="1" s="1"/>
  <c r="J210" i="1"/>
  <c r="M209" i="1"/>
  <c r="Q209" i="1" s="1"/>
  <c r="J209" i="1"/>
  <c r="M208" i="1"/>
  <c r="Q208" i="1" s="1"/>
  <c r="J208" i="1"/>
  <c r="M207" i="1"/>
  <c r="Q207" i="1" s="1"/>
  <c r="J207" i="1"/>
  <c r="M202" i="1"/>
  <c r="Q202" i="1" s="1"/>
  <c r="J202" i="1"/>
  <c r="M201" i="1"/>
  <c r="N201" i="1" s="1"/>
  <c r="O201" i="1" s="1"/>
  <c r="J201" i="1"/>
  <c r="M200" i="1"/>
  <c r="Q200" i="1" s="1"/>
  <c r="J200" i="1"/>
  <c r="M198" i="1"/>
  <c r="Q198" i="1" s="1"/>
  <c r="J198" i="1"/>
  <c r="M197" i="1"/>
  <c r="N197" i="1" s="1"/>
  <c r="O197" i="1" s="1"/>
  <c r="J197" i="1"/>
  <c r="J18" i="4"/>
  <c r="M18" i="4"/>
  <c r="Q18" i="4" s="1"/>
  <c r="J75" i="1"/>
  <c r="J74" i="1"/>
  <c r="J73" i="1"/>
  <c r="M75" i="1"/>
  <c r="Q75" i="1" s="1"/>
  <c r="M74" i="1"/>
  <c r="Q74" i="1" s="1"/>
  <c r="M73" i="1"/>
  <c r="Q73" i="1" s="1"/>
  <c r="N18" i="4" l="1"/>
  <c r="O18" i="4" s="1"/>
  <c r="N148" i="2"/>
  <c r="O148" i="2" s="1"/>
  <c r="N149" i="2"/>
  <c r="O149" i="2" s="1"/>
  <c r="Q218" i="1"/>
  <c r="N65" i="7"/>
  <c r="O65" i="7" s="1"/>
  <c r="Q215" i="1"/>
  <c r="N202" i="1"/>
  <c r="O202" i="1" s="1"/>
  <c r="N153" i="1"/>
  <c r="O153" i="1" s="1"/>
  <c r="N59" i="2"/>
  <c r="O59" i="2" s="1"/>
  <c r="N60" i="2"/>
  <c r="O60" i="2" s="1"/>
  <c r="N61" i="2"/>
  <c r="O61" i="2" s="1"/>
  <c r="N62" i="2"/>
  <c r="O62" i="2" s="1"/>
  <c r="Q247" i="1"/>
  <c r="Q239" i="1"/>
  <c r="N220" i="1"/>
  <c r="O220" i="1" s="1"/>
  <c r="N75" i="1"/>
  <c r="O75" i="1" s="1"/>
  <c r="Q245" i="1"/>
  <c r="Q223" i="1"/>
  <c r="N234" i="1"/>
  <c r="O234" i="1" s="1"/>
  <c r="N244" i="1"/>
  <c r="O244" i="1" s="1"/>
  <c r="Q250" i="1"/>
  <c r="Q232" i="1"/>
  <c r="N242" i="1"/>
  <c r="O242" i="1" s="1"/>
  <c r="Q197" i="1"/>
  <c r="N225" i="1"/>
  <c r="O225" i="1" s="1"/>
  <c r="N73" i="1"/>
  <c r="O73" i="1" s="1"/>
  <c r="Q201" i="1"/>
  <c r="Q228" i="1"/>
  <c r="Q237" i="1"/>
  <c r="N74" i="1"/>
  <c r="O74" i="1" s="1"/>
  <c r="Q221" i="1"/>
  <c r="Q240" i="1"/>
  <c r="Q251" i="1"/>
  <c r="N207" i="1"/>
  <c r="O207" i="1" s="1"/>
  <c r="Q210" i="1"/>
  <c r="N227" i="1"/>
  <c r="O227" i="1" s="1"/>
  <c r="N230" i="1"/>
  <c r="O230" i="1" s="1"/>
  <c r="N236" i="1"/>
  <c r="O236" i="1" s="1"/>
  <c r="Q248" i="1"/>
  <c r="N212" i="1"/>
  <c r="O212" i="1" s="1"/>
  <c r="N200" i="1"/>
  <c r="O200" i="1" s="1"/>
  <c r="N209" i="1"/>
  <c r="O209" i="1" s="1"/>
  <c r="N224" i="1"/>
  <c r="O224" i="1" s="1"/>
  <c r="N241" i="1"/>
  <c r="O241" i="1" s="1"/>
  <c r="N249" i="1"/>
  <c r="O249" i="1" s="1"/>
  <c r="N198" i="1"/>
  <c r="O198" i="1" s="1"/>
  <c r="N222" i="1"/>
  <c r="O222" i="1" s="1"/>
  <c r="N226" i="1"/>
  <c r="O226" i="1" s="1"/>
  <c r="Q233" i="1"/>
  <c r="N235" i="1"/>
  <c r="O235" i="1" s="1"/>
  <c r="N243" i="1"/>
  <c r="O243" i="1" s="1"/>
  <c r="N211" i="1"/>
  <c r="O211" i="1" s="1"/>
  <c r="N229" i="1"/>
  <c r="O229" i="1" s="1"/>
  <c r="N238" i="1"/>
  <c r="O238" i="1" s="1"/>
  <c r="N246" i="1"/>
  <c r="O246" i="1" s="1"/>
  <c r="N208" i="1"/>
  <c r="O208" i="1" s="1"/>
  <c r="N219" i="1"/>
  <c r="O219" i="1" s="1"/>
  <c r="N216" i="1"/>
  <c r="O216" i="1" s="1"/>
  <c r="M94" i="7"/>
  <c r="N94" i="7" s="1"/>
  <c r="O94" i="7" s="1"/>
  <c r="J94" i="7"/>
  <c r="M93" i="7"/>
  <c r="Q93" i="7" s="1"/>
  <c r="J93" i="7"/>
  <c r="M92" i="7"/>
  <c r="Q92" i="7" s="1"/>
  <c r="J92" i="7"/>
  <c r="M91" i="7"/>
  <c r="N91" i="7" s="1"/>
  <c r="O91" i="7" s="1"/>
  <c r="J91" i="7"/>
  <c r="Q90" i="7"/>
  <c r="J90" i="7"/>
  <c r="Q89" i="7"/>
  <c r="J89" i="7"/>
  <c r="Q88" i="7"/>
  <c r="J88" i="7"/>
  <c r="J87" i="7"/>
  <c r="M82" i="7"/>
  <c r="N82" i="7" s="1"/>
  <c r="O82" i="7" s="1"/>
  <c r="J82" i="7"/>
  <c r="M79" i="7"/>
  <c r="Q79" i="7" s="1"/>
  <c r="J79" i="7"/>
  <c r="M78" i="7"/>
  <c r="N78" i="7" s="1"/>
  <c r="O78" i="7" s="1"/>
  <c r="J78" i="7"/>
  <c r="M203" i="2"/>
  <c r="Q203" i="2" s="1"/>
  <c r="J203" i="2"/>
  <c r="M201" i="2"/>
  <c r="Q201" i="2" s="1"/>
  <c r="J201" i="2"/>
  <c r="M200" i="2"/>
  <c r="N200" i="2" s="1"/>
  <c r="O200" i="2" s="1"/>
  <c r="J200" i="2"/>
  <c r="M199" i="2"/>
  <c r="N199" i="2" s="1"/>
  <c r="O199" i="2" s="1"/>
  <c r="J199" i="2"/>
  <c r="M198" i="2"/>
  <c r="Q198" i="2" s="1"/>
  <c r="J198" i="2"/>
  <c r="M197" i="2"/>
  <c r="Q197" i="2" s="1"/>
  <c r="J197" i="2"/>
  <c r="M196" i="2"/>
  <c r="Q196" i="2" s="1"/>
  <c r="J196" i="2"/>
  <c r="M195" i="2"/>
  <c r="N195" i="2" s="1"/>
  <c r="O195" i="2" s="1"/>
  <c r="J195" i="2"/>
  <c r="M193" i="2"/>
  <c r="Q193" i="2" s="1"/>
  <c r="J193" i="2"/>
  <c r="M192" i="2"/>
  <c r="N192" i="2" s="1"/>
  <c r="O192" i="2" s="1"/>
  <c r="J192" i="2"/>
  <c r="M191" i="2"/>
  <c r="Q191" i="2" s="1"/>
  <c r="J191" i="2"/>
  <c r="M190" i="2"/>
  <c r="Q190" i="2" s="1"/>
  <c r="J190" i="2"/>
  <c r="M189" i="2"/>
  <c r="Q189" i="2" s="1"/>
  <c r="J189" i="2"/>
  <c r="M188" i="2"/>
  <c r="Q188" i="2" s="1"/>
  <c r="J188" i="2"/>
  <c r="M187" i="2"/>
  <c r="N187" i="2" s="1"/>
  <c r="O187" i="2" s="1"/>
  <c r="J187" i="2"/>
  <c r="M186" i="2"/>
  <c r="Q186" i="2" s="1"/>
  <c r="J186" i="2"/>
  <c r="M185" i="2"/>
  <c r="Q185" i="2" s="1"/>
  <c r="J185" i="2"/>
  <c r="M184" i="2"/>
  <c r="Q184" i="2" s="1"/>
  <c r="J184" i="2"/>
  <c r="M183" i="2"/>
  <c r="N183" i="2" s="1"/>
  <c r="O183" i="2" s="1"/>
  <c r="J183" i="2"/>
  <c r="M182" i="2"/>
  <c r="N182" i="2" s="1"/>
  <c r="O182" i="2" s="1"/>
  <c r="J182" i="2"/>
  <c r="M181" i="2"/>
  <c r="Q181" i="2" s="1"/>
  <c r="J181" i="2"/>
  <c r="M180" i="2"/>
  <c r="Q180" i="2" s="1"/>
  <c r="J180" i="2"/>
  <c r="M179" i="2"/>
  <c r="N179" i="2" s="1"/>
  <c r="O179" i="2" s="1"/>
  <c r="J179" i="2"/>
  <c r="M177" i="2"/>
  <c r="Q177" i="2" s="1"/>
  <c r="J177" i="2"/>
  <c r="N176" i="2"/>
  <c r="O176" i="2" s="1"/>
  <c r="J176" i="2"/>
  <c r="M175" i="2"/>
  <c r="Q175" i="2" s="1"/>
  <c r="J175" i="2"/>
  <c r="M174" i="2"/>
  <c r="N174" i="2" s="1"/>
  <c r="O174" i="2" s="1"/>
  <c r="J174" i="2"/>
  <c r="J30" i="7"/>
  <c r="M30" i="7"/>
  <c r="Q30" i="7" s="1"/>
  <c r="J64" i="7"/>
  <c r="J63" i="7"/>
  <c r="M64" i="7"/>
  <c r="Q64" i="7" s="1"/>
  <c r="M63" i="7"/>
  <c r="Q63" i="7" s="1"/>
  <c r="J116" i="1"/>
  <c r="J115" i="1"/>
  <c r="M116" i="1"/>
  <c r="Q116" i="1" s="1"/>
  <c r="M115" i="1"/>
  <c r="Q115" i="1" s="1"/>
  <c r="J29" i="7"/>
  <c r="M29" i="7"/>
  <c r="Q29" i="7" s="1"/>
  <c r="M76" i="7"/>
  <c r="Q76" i="7" s="1"/>
  <c r="J76" i="7"/>
  <c r="M75" i="7"/>
  <c r="Q75" i="7" s="1"/>
  <c r="J75" i="7"/>
  <c r="M72" i="7"/>
  <c r="N72" i="7" s="1"/>
  <c r="O72" i="7" s="1"/>
  <c r="J72" i="7"/>
  <c r="M71" i="7"/>
  <c r="Q71" i="7" s="1"/>
  <c r="J71" i="7"/>
  <c r="J58" i="6"/>
  <c r="M58" i="6"/>
  <c r="Q58" i="6" s="1"/>
  <c r="J48" i="6"/>
  <c r="M48" i="6"/>
  <c r="Q48" i="6" s="1"/>
  <c r="J152" i="1"/>
  <c r="M152" i="1"/>
  <c r="Q152" i="1" s="1"/>
  <c r="J8" i="1"/>
  <c r="M8" i="1"/>
  <c r="Q8" i="1" s="1"/>
  <c r="J161" i="1"/>
  <c r="M161" i="1"/>
  <c r="Q161" i="1" s="1"/>
  <c r="J79" i="3"/>
  <c r="M79" i="3"/>
  <c r="Q79" i="3" s="1"/>
  <c r="N79" i="3" l="1"/>
  <c r="O79" i="3" s="1"/>
  <c r="N64" i="7"/>
  <c r="O64" i="7" s="1"/>
  <c r="N58" i="6"/>
  <c r="O58" i="6" s="1"/>
  <c r="N93" i="7"/>
  <c r="O93" i="7" s="1"/>
  <c r="Q87" i="7"/>
  <c r="N92" i="7"/>
  <c r="O92" i="7" s="1"/>
  <c r="N30" i="7"/>
  <c r="O30" i="7" s="1"/>
  <c r="N63" i="7"/>
  <c r="O63" i="7" s="1"/>
  <c r="Q91" i="7"/>
  <c r="Q78" i="7"/>
  <c r="N175" i="2"/>
  <c r="O175" i="2" s="1"/>
  <c r="N115" i="1"/>
  <c r="O115" i="1" s="1"/>
  <c r="Q187" i="2"/>
  <c r="N185" i="2"/>
  <c r="O185" i="2" s="1"/>
  <c r="N190" i="2"/>
  <c r="O190" i="2" s="1"/>
  <c r="Q179" i="2"/>
  <c r="N196" i="2"/>
  <c r="O196" i="2" s="1"/>
  <c r="Q192" i="2"/>
  <c r="Q195" i="2"/>
  <c r="Q176" i="2"/>
  <c r="N180" i="2"/>
  <c r="O180" i="2" s="1"/>
  <c r="Q183" i="2"/>
  <c r="N188" i="2"/>
  <c r="O188" i="2" s="1"/>
  <c r="N186" i="2"/>
  <c r="O186" i="2" s="1"/>
  <c r="N203" i="2"/>
  <c r="O203" i="2" s="1"/>
  <c r="Q200" i="2"/>
  <c r="N116" i="1"/>
  <c r="O116" i="1" s="1"/>
  <c r="Q94" i="7"/>
  <c r="Q82" i="7"/>
  <c r="N79" i="7"/>
  <c r="O79" i="7" s="1"/>
  <c r="O90" i="7"/>
  <c r="Q174" i="2"/>
  <c r="Q199" i="2"/>
  <c r="N201" i="2"/>
  <c r="O201" i="2" s="1"/>
  <c r="N198" i="2"/>
  <c r="O198" i="2" s="1"/>
  <c r="N197" i="2"/>
  <c r="O197" i="2" s="1"/>
  <c r="N189" i="2"/>
  <c r="O189" i="2" s="1"/>
  <c r="N191" i="2"/>
  <c r="O191" i="2" s="1"/>
  <c r="N193" i="2"/>
  <c r="O193" i="2" s="1"/>
  <c r="N184" i="2"/>
  <c r="O184" i="2" s="1"/>
  <c r="N181" i="2"/>
  <c r="O181" i="2" s="1"/>
  <c r="N177" i="2"/>
  <c r="O177" i="2" s="1"/>
  <c r="Q182" i="2"/>
  <c r="N29" i="7"/>
  <c r="O29" i="7" s="1"/>
  <c r="N152" i="1"/>
  <c r="O152" i="1" s="1"/>
  <c r="Q72" i="7"/>
  <c r="N71" i="7"/>
  <c r="O71" i="7" s="1"/>
  <c r="N75" i="7"/>
  <c r="O75" i="7" s="1"/>
  <c r="N76" i="7"/>
  <c r="O76" i="7" s="1"/>
  <c r="N48" i="6"/>
  <c r="O48" i="6" s="1"/>
  <c r="N8" i="1"/>
  <c r="O8" i="1" s="1"/>
  <c r="N161" i="1"/>
  <c r="O161" i="1" s="1"/>
  <c r="J40" i="7"/>
  <c r="M40" i="7"/>
  <c r="Q40" i="7" s="1"/>
  <c r="J7" i="1"/>
  <c r="M7" i="1"/>
  <c r="Q7" i="1" s="1"/>
  <c r="J114" i="1"/>
  <c r="J113" i="1"/>
  <c r="J112" i="1"/>
  <c r="J111" i="1"/>
  <c r="J110" i="1"/>
  <c r="M114" i="1"/>
  <c r="Q114" i="1" s="1"/>
  <c r="M113" i="1"/>
  <c r="Q113" i="1" s="1"/>
  <c r="M112" i="1"/>
  <c r="Q112" i="1" s="1"/>
  <c r="M111" i="1"/>
  <c r="Q111" i="1" s="1"/>
  <c r="M110" i="1"/>
  <c r="Q110" i="1" s="1"/>
  <c r="J47" i="7"/>
  <c r="M47" i="7"/>
  <c r="Q47" i="7" s="1"/>
  <c r="J55" i="6"/>
  <c r="M55" i="6"/>
  <c r="Q55" i="6" s="1"/>
  <c r="J131" i="1"/>
  <c r="M131" i="1"/>
  <c r="Q131" i="1" s="1"/>
  <c r="J46" i="7"/>
  <c r="M46" i="7"/>
  <c r="Q46" i="7" s="1"/>
  <c r="M143" i="1"/>
  <c r="N143" i="1" s="1"/>
  <c r="O143" i="1" s="1"/>
  <c r="J143" i="1"/>
  <c r="J45" i="7"/>
  <c r="J44" i="7"/>
  <c r="M45" i="7"/>
  <c r="Q45" i="7" s="1"/>
  <c r="M44" i="7"/>
  <c r="Q44" i="7" s="1"/>
  <c r="J28" i="7"/>
  <c r="M28" i="7"/>
  <c r="Q28" i="7" s="1"/>
  <c r="J17" i="4"/>
  <c r="M17" i="4"/>
  <c r="Q17" i="4" s="1"/>
  <c r="J54" i="6"/>
  <c r="M54" i="6"/>
  <c r="Q54" i="6" s="1"/>
  <c r="N17" i="4" l="1"/>
  <c r="O17" i="4" s="1"/>
  <c r="N47" i="7"/>
  <c r="O47" i="7" s="1"/>
  <c r="N40" i="7"/>
  <c r="O40" i="7" s="1"/>
  <c r="N46" i="7"/>
  <c r="O46" i="7" s="1"/>
  <c r="N55" i="6"/>
  <c r="O55" i="6" s="1"/>
  <c r="N110" i="1"/>
  <c r="O110" i="1" s="1"/>
  <c r="N7" i="1"/>
  <c r="O7" i="1" s="1"/>
  <c r="N112" i="1"/>
  <c r="O112" i="1" s="1"/>
  <c r="N113" i="1"/>
  <c r="O113" i="1" s="1"/>
  <c r="N114" i="1"/>
  <c r="O114" i="1" s="1"/>
  <c r="N111" i="1"/>
  <c r="O111" i="1" s="1"/>
  <c r="N131" i="1"/>
  <c r="O131" i="1" s="1"/>
  <c r="N44" i="7"/>
  <c r="O44" i="7" s="1"/>
  <c r="N45" i="7"/>
  <c r="O45" i="7" s="1"/>
  <c r="Q143" i="1"/>
  <c r="N28" i="7"/>
  <c r="O28" i="7" s="1"/>
  <c r="N54" i="6"/>
  <c r="O54" i="6" s="1"/>
  <c r="J66" i="3"/>
  <c r="J65" i="3"/>
  <c r="M66" i="3"/>
  <c r="Q66" i="3" s="1"/>
  <c r="M65" i="3"/>
  <c r="Q65" i="3" s="1"/>
  <c r="J130" i="1"/>
  <c r="M130" i="1"/>
  <c r="Q130" i="1" s="1"/>
  <c r="J160" i="1"/>
  <c r="M160" i="1"/>
  <c r="Q160" i="1" s="1"/>
  <c r="J158" i="1"/>
  <c r="M158" i="1"/>
  <c r="Q158" i="1" s="1"/>
  <c r="J60" i="6"/>
  <c r="M60" i="6"/>
  <c r="Q60" i="6" s="1"/>
  <c r="N66" i="3" l="1"/>
  <c r="O66" i="3" s="1"/>
  <c r="N65" i="3"/>
  <c r="O65" i="3" s="1"/>
  <c r="N130" i="1"/>
  <c r="O130" i="1" s="1"/>
  <c r="N60" i="6"/>
  <c r="O60" i="6" s="1"/>
  <c r="N160" i="1"/>
  <c r="O160" i="1" s="1"/>
  <c r="N158" i="1"/>
  <c r="O158" i="1" s="1"/>
  <c r="M173" i="2"/>
  <c r="Q173" i="2" s="1"/>
  <c r="J173" i="2"/>
  <c r="M172" i="2"/>
  <c r="Q172" i="2" s="1"/>
  <c r="J172" i="2"/>
  <c r="M171" i="2"/>
  <c r="Q171" i="2" s="1"/>
  <c r="J171" i="2"/>
  <c r="M170" i="2"/>
  <c r="Q170" i="2" s="1"/>
  <c r="J170" i="2"/>
  <c r="M169" i="2"/>
  <c r="Q169" i="2" s="1"/>
  <c r="J169" i="2"/>
  <c r="M167" i="2"/>
  <c r="N167" i="2" s="1"/>
  <c r="O167" i="2" s="1"/>
  <c r="J167" i="2"/>
  <c r="M166" i="2"/>
  <c r="Q166" i="2" s="1"/>
  <c r="J166" i="2"/>
  <c r="M165" i="2"/>
  <c r="N165" i="2" s="1"/>
  <c r="O165" i="2" s="1"/>
  <c r="J165" i="2"/>
  <c r="M164" i="2"/>
  <c r="N164" i="2" s="1"/>
  <c r="O164" i="2" s="1"/>
  <c r="J164" i="2"/>
  <c r="M163" i="2"/>
  <c r="Q163" i="2" s="1"/>
  <c r="J163" i="2"/>
  <c r="M162" i="2"/>
  <c r="Q162" i="2" s="1"/>
  <c r="J162" i="2"/>
  <c r="M161" i="2"/>
  <c r="N161" i="2" s="1"/>
  <c r="O161" i="2" s="1"/>
  <c r="J161" i="2"/>
  <c r="M160" i="2"/>
  <c r="Q160" i="2" s="1"/>
  <c r="J160" i="2"/>
  <c r="M159" i="2"/>
  <c r="Q159" i="2" s="1"/>
  <c r="J159" i="2"/>
  <c r="M158" i="2"/>
  <c r="Q158" i="2" s="1"/>
  <c r="J158" i="2"/>
  <c r="M157" i="2"/>
  <c r="N157" i="2" s="1"/>
  <c r="O157" i="2" s="1"/>
  <c r="J157" i="2"/>
  <c r="M156" i="2"/>
  <c r="N156" i="2" s="1"/>
  <c r="O156" i="2" s="1"/>
  <c r="J156" i="2"/>
  <c r="M155" i="2"/>
  <c r="Q155" i="2" s="1"/>
  <c r="J155" i="2"/>
  <c r="M154" i="2"/>
  <c r="Q154" i="2" s="1"/>
  <c r="J154" i="2"/>
  <c r="M153" i="2"/>
  <c r="N153" i="2" s="1"/>
  <c r="O153" i="2" s="1"/>
  <c r="J153" i="2"/>
  <c r="M152" i="2"/>
  <c r="Q152" i="2" s="1"/>
  <c r="J152" i="2"/>
  <c r="M147" i="2"/>
  <c r="Q147" i="2" s="1"/>
  <c r="J147" i="2"/>
  <c r="M146" i="2"/>
  <c r="Q146" i="2" s="1"/>
  <c r="J146" i="2"/>
  <c r="M145" i="2"/>
  <c r="Q145" i="2" s="1"/>
  <c r="J145" i="2"/>
  <c r="J142" i="1"/>
  <c r="M142" i="1"/>
  <c r="Q142" i="1" s="1"/>
  <c r="J43" i="7"/>
  <c r="M43" i="7"/>
  <c r="Q43" i="7" s="1"/>
  <c r="J27" i="7"/>
  <c r="J26" i="7"/>
  <c r="J25" i="7"/>
  <c r="M27" i="7"/>
  <c r="Q27" i="7" s="1"/>
  <c r="M26" i="7"/>
  <c r="Q26" i="7" s="1"/>
  <c r="M25" i="7"/>
  <c r="Q25" i="7" s="1"/>
  <c r="J108" i="2"/>
  <c r="J107" i="2"/>
  <c r="M108" i="2"/>
  <c r="Q108" i="2" s="1"/>
  <c r="M107" i="2"/>
  <c r="Q107" i="2" s="1"/>
  <c r="J23" i="4"/>
  <c r="M23" i="4"/>
  <c r="Q23" i="4" s="1"/>
  <c r="M195" i="1"/>
  <c r="Q195" i="1" s="1"/>
  <c r="J195" i="1"/>
  <c r="M193" i="1"/>
  <c r="Q193" i="1" s="1"/>
  <c r="J193" i="1"/>
  <c r="M192" i="1"/>
  <c r="Q192" i="1" s="1"/>
  <c r="J192" i="1"/>
  <c r="M191" i="1"/>
  <c r="N191" i="1" s="1"/>
  <c r="O191" i="1" s="1"/>
  <c r="J191" i="1"/>
  <c r="M190" i="1"/>
  <c r="Q190" i="1" s="1"/>
  <c r="J190" i="1"/>
  <c r="M187" i="1"/>
  <c r="N187" i="1" s="1"/>
  <c r="O187" i="1" s="1"/>
  <c r="J187" i="1"/>
  <c r="M186" i="1"/>
  <c r="N186" i="1" s="1"/>
  <c r="O186" i="1" s="1"/>
  <c r="J186" i="1"/>
  <c r="M184" i="1"/>
  <c r="Q184" i="1" s="1"/>
  <c r="J184" i="1"/>
  <c r="M183" i="1"/>
  <c r="Q183" i="1" s="1"/>
  <c r="J183" i="1"/>
  <c r="M182" i="1"/>
  <c r="N182" i="1" s="1"/>
  <c r="O182" i="1" s="1"/>
  <c r="J182" i="1"/>
  <c r="M179" i="1"/>
  <c r="Q179" i="1" s="1"/>
  <c r="J179" i="1"/>
  <c r="M178" i="1"/>
  <c r="Q178" i="1" s="1"/>
  <c r="J178" i="1"/>
  <c r="M177" i="1"/>
  <c r="Q177" i="1" s="1"/>
  <c r="J177" i="1"/>
  <c r="M176" i="1"/>
  <c r="N176" i="1" s="1"/>
  <c r="O176" i="1" s="1"/>
  <c r="J176" i="1"/>
  <c r="M175" i="1"/>
  <c r="N175" i="1" s="1"/>
  <c r="O175" i="1" s="1"/>
  <c r="J175" i="1"/>
  <c r="M174" i="1"/>
  <c r="Q174" i="1" s="1"/>
  <c r="J174" i="1"/>
  <c r="M173" i="1"/>
  <c r="Q173" i="1" s="1"/>
  <c r="J173" i="1"/>
  <c r="M172" i="1"/>
  <c r="Q172" i="1" s="1"/>
  <c r="J172" i="1"/>
  <c r="M171" i="1"/>
  <c r="Q171" i="1" s="1"/>
  <c r="J171" i="1"/>
  <c r="M170" i="1"/>
  <c r="Q170" i="1" s="1"/>
  <c r="J170" i="1"/>
  <c r="M167" i="1"/>
  <c r="Q167" i="1" s="1"/>
  <c r="J167" i="1"/>
  <c r="M166" i="1"/>
  <c r="N166" i="1" s="1"/>
  <c r="O166" i="1" s="1"/>
  <c r="J166" i="1"/>
  <c r="M165" i="1"/>
  <c r="N165" i="1" s="1"/>
  <c r="O165" i="1" s="1"/>
  <c r="J165" i="1"/>
  <c r="M159" i="1"/>
  <c r="Q159" i="1" s="1"/>
  <c r="J159" i="1"/>
  <c r="M157" i="1"/>
  <c r="Q157" i="1" s="1"/>
  <c r="J157" i="1"/>
  <c r="M151" i="1"/>
  <c r="Q151" i="1" s="1"/>
  <c r="J151" i="1"/>
  <c r="M150" i="1"/>
  <c r="Q150" i="1" s="1"/>
  <c r="J150" i="1"/>
  <c r="M149" i="1"/>
  <c r="Q149" i="1" s="1"/>
  <c r="J149" i="1"/>
  <c r="M148" i="1"/>
  <c r="Q148" i="1" s="1"/>
  <c r="J148" i="1"/>
  <c r="M147" i="1"/>
  <c r="N147" i="1" s="1"/>
  <c r="O147" i="1" s="1"/>
  <c r="J147" i="1"/>
  <c r="M146" i="1"/>
  <c r="N146" i="1" s="1"/>
  <c r="O146" i="1" s="1"/>
  <c r="J146" i="1"/>
  <c r="M145" i="1"/>
  <c r="Q145" i="1" s="1"/>
  <c r="J145" i="1"/>
  <c r="J61" i="3"/>
  <c r="M61" i="3"/>
  <c r="Q61" i="3" s="1"/>
  <c r="Q153" i="2" l="1"/>
  <c r="N107" i="2"/>
  <c r="O107" i="2" s="1"/>
  <c r="N166" i="2"/>
  <c r="O166" i="2" s="1"/>
  <c r="Q157" i="2"/>
  <c r="Q167" i="2"/>
  <c r="Q165" i="2"/>
  <c r="Q161" i="2"/>
  <c r="Q156" i="2"/>
  <c r="N43" i="7"/>
  <c r="O43" i="7" s="1"/>
  <c r="N27" i="7"/>
  <c r="O27" i="7" s="1"/>
  <c r="N23" i="4"/>
  <c r="O23" i="4" s="1"/>
  <c r="N61" i="3"/>
  <c r="O61" i="3" s="1"/>
  <c r="Q176" i="1"/>
  <c r="Q187" i="1"/>
  <c r="Q191" i="1"/>
  <c r="N170" i="1"/>
  <c r="O170" i="1" s="1"/>
  <c r="Q182" i="1"/>
  <c r="N184" i="1"/>
  <c r="O184" i="1" s="1"/>
  <c r="N142" i="1"/>
  <c r="O142" i="1" s="1"/>
  <c r="N147" i="2"/>
  <c r="O147" i="2" s="1"/>
  <c r="Q164" i="2"/>
  <c r="N170" i="2"/>
  <c r="O170" i="2" s="1"/>
  <c r="N108" i="2"/>
  <c r="O108" i="2" s="1"/>
  <c r="N145" i="2"/>
  <c r="O145" i="2" s="1"/>
  <c r="N159" i="2"/>
  <c r="O159" i="2" s="1"/>
  <c r="N146" i="2"/>
  <c r="O146" i="2" s="1"/>
  <c r="N158" i="2"/>
  <c r="O158" i="2" s="1"/>
  <c r="N163" i="2"/>
  <c r="O163" i="2" s="1"/>
  <c r="N172" i="2"/>
  <c r="O172" i="2" s="1"/>
  <c r="N152" i="2"/>
  <c r="O152" i="2" s="1"/>
  <c r="N160" i="2"/>
  <c r="O160" i="2" s="1"/>
  <c r="N169" i="2"/>
  <c r="O169" i="2" s="1"/>
  <c r="N155" i="2"/>
  <c r="O155" i="2" s="1"/>
  <c r="N154" i="2"/>
  <c r="O154" i="2" s="1"/>
  <c r="N162" i="2"/>
  <c r="O162" i="2" s="1"/>
  <c r="N171" i="2"/>
  <c r="O171" i="2" s="1"/>
  <c r="N173" i="2"/>
  <c r="O173" i="2" s="1"/>
  <c r="Q166" i="1"/>
  <c r="N172" i="1"/>
  <c r="O172" i="1" s="1"/>
  <c r="N174" i="1"/>
  <c r="O174" i="1" s="1"/>
  <c r="N193" i="1"/>
  <c r="O193" i="1" s="1"/>
  <c r="N178" i="1"/>
  <c r="O178" i="1" s="1"/>
  <c r="N173" i="1"/>
  <c r="O173" i="1" s="1"/>
  <c r="N159" i="1"/>
  <c r="O159" i="1" s="1"/>
  <c r="N151" i="1"/>
  <c r="O151" i="1" s="1"/>
  <c r="N25" i="7"/>
  <c r="O25" i="7" s="1"/>
  <c r="N26" i="7"/>
  <c r="O26" i="7" s="1"/>
  <c r="N149" i="1"/>
  <c r="O149" i="1" s="1"/>
  <c r="Q147" i="1"/>
  <c r="N145" i="1"/>
  <c r="O145" i="1" s="1"/>
  <c r="Q146" i="1"/>
  <c r="N148" i="1"/>
  <c r="O148" i="1" s="1"/>
  <c r="Q165" i="1"/>
  <c r="N167" i="1"/>
  <c r="O167" i="1" s="1"/>
  <c r="Q175" i="1"/>
  <c r="N177" i="1"/>
  <c r="O177" i="1" s="1"/>
  <c r="Q186" i="1"/>
  <c r="N190" i="1"/>
  <c r="O190" i="1" s="1"/>
  <c r="N150" i="1"/>
  <c r="O150" i="1" s="1"/>
  <c r="N171" i="1"/>
  <c r="O171" i="1" s="1"/>
  <c r="N179" i="1"/>
  <c r="O179" i="1" s="1"/>
  <c r="N192" i="1"/>
  <c r="O192" i="1" s="1"/>
  <c r="N157" i="1"/>
  <c r="O157" i="1" s="1"/>
  <c r="N183" i="1"/>
  <c r="O183" i="1" s="1"/>
  <c r="N195" i="1"/>
  <c r="O195" i="1" s="1"/>
  <c r="J50" i="7"/>
  <c r="J24" i="4"/>
  <c r="J21" i="1"/>
  <c r="M21" i="1"/>
  <c r="Q21" i="1" s="1"/>
  <c r="J106" i="2"/>
  <c r="J105" i="2"/>
  <c r="M106" i="2"/>
  <c r="Q106" i="2" s="1"/>
  <c r="M105" i="2"/>
  <c r="N105" i="2" s="1"/>
  <c r="O105" i="2" s="1"/>
  <c r="J14" i="6"/>
  <c r="M14" i="6"/>
  <c r="Q14" i="6" s="1"/>
  <c r="M144" i="2"/>
  <c r="N144" i="2" s="1"/>
  <c r="O144" i="2" s="1"/>
  <c r="J144" i="2"/>
  <c r="M143" i="2"/>
  <c r="N143" i="2" s="1"/>
  <c r="O143" i="2" s="1"/>
  <c r="J143" i="2"/>
  <c r="M142" i="2"/>
  <c r="Q142" i="2" s="1"/>
  <c r="J142" i="2"/>
  <c r="M141" i="2"/>
  <c r="N141" i="2" s="1"/>
  <c r="O141" i="2" s="1"/>
  <c r="J141" i="2"/>
  <c r="M140" i="2"/>
  <c r="N140" i="2" s="1"/>
  <c r="O140" i="2" s="1"/>
  <c r="J140" i="2"/>
  <c r="M139" i="2"/>
  <c r="Q139" i="2" s="1"/>
  <c r="J139" i="2"/>
  <c r="M138" i="2"/>
  <c r="Q138" i="2" s="1"/>
  <c r="J138" i="2"/>
  <c r="M137" i="2"/>
  <c r="N137" i="2" s="1"/>
  <c r="O137" i="2" s="1"/>
  <c r="J137" i="2"/>
  <c r="M136" i="2"/>
  <c r="N136" i="2" s="1"/>
  <c r="O136" i="2" s="1"/>
  <c r="J136" i="2"/>
  <c r="M135" i="2"/>
  <c r="N135" i="2" s="1"/>
  <c r="O135" i="2" s="1"/>
  <c r="J135" i="2"/>
  <c r="J24" i="7"/>
  <c r="J23" i="7"/>
  <c r="M24" i="7"/>
  <c r="Q24" i="7" s="1"/>
  <c r="M23" i="7"/>
  <c r="Q23" i="7" s="1"/>
  <c r="M144" i="1"/>
  <c r="N144" i="1" s="1"/>
  <c r="O144" i="1" s="1"/>
  <c r="J144" i="1"/>
  <c r="M141" i="1"/>
  <c r="Q141" i="1" s="1"/>
  <c r="J141" i="1"/>
  <c r="M140" i="1"/>
  <c r="Q140" i="1" s="1"/>
  <c r="J140" i="1"/>
  <c r="M139" i="1"/>
  <c r="N139" i="1" s="1"/>
  <c r="O139" i="1" s="1"/>
  <c r="J139" i="1"/>
  <c r="M138" i="1"/>
  <c r="Q138" i="1" s="1"/>
  <c r="J138" i="1"/>
  <c r="M137" i="1"/>
  <c r="Q137" i="1" s="1"/>
  <c r="J137" i="1"/>
  <c r="M136" i="1"/>
  <c r="N136" i="1" s="1"/>
  <c r="O136" i="1" s="1"/>
  <c r="J136" i="1"/>
  <c r="M135" i="1"/>
  <c r="Q135" i="1" s="1"/>
  <c r="J135" i="1"/>
  <c r="M134" i="1"/>
  <c r="M133" i="1"/>
  <c r="M132" i="1"/>
  <c r="N21" i="1" l="1"/>
  <c r="O21" i="1" s="1"/>
  <c r="N14" i="6"/>
  <c r="O14" i="6" s="1"/>
  <c r="Q143" i="2"/>
  <c r="N106" i="2"/>
  <c r="O106" i="2" s="1"/>
  <c r="N23" i="7"/>
  <c r="O23" i="7" s="1"/>
  <c r="N24" i="7"/>
  <c r="O24" i="7" s="1"/>
  <c r="Q105" i="2"/>
  <c r="Q144" i="1"/>
  <c r="N138" i="2"/>
  <c r="O138" i="2" s="1"/>
  <c r="Q140" i="2"/>
  <c r="Q144" i="2"/>
  <c r="Q135" i="2"/>
  <c r="Q137" i="2"/>
  <c r="N142" i="2"/>
  <c r="O142" i="2" s="1"/>
  <c r="Q136" i="2"/>
  <c r="Q141" i="2"/>
  <c r="N139" i="2"/>
  <c r="O139" i="2" s="1"/>
  <c r="Q136" i="1"/>
  <c r="Q139" i="1"/>
  <c r="N141" i="1"/>
  <c r="O141" i="1" s="1"/>
  <c r="N138" i="1"/>
  <c r="O138" i="1" s="1"/>
  <c r="N135" i="1"/>
  <c r="O135" i="1" s="1"/>
  <c r="N140" i="1"/>
  <c r="O140" i="1" s="1"/>
  <c r="N137" i="1"/>
  <c r="O137" i="1" s="1"/>
  <c r="M129" i="1"/>
  <c r="J25" i="2"/>
  <c r="J24" i="2"/>
  <c r="M25" i="2"/>
  <c r="Q25" i="2" s="1"/>
  <c r="M24" i="2"/>
  <c r="Q24" i="2" s="1"/>
  <c r="N25" i="2" l="1"/>
  <c r="O25" i="2" s="1"/>
  <c r="N24" i="2"/>
  <c r="O24" i="2" s="1"/>
  <c r="M134" i="2"/>
  <c r="N134" i="2" s="1"/>
  <c r="O134" i="2" s="1"/>
  <c r="J134" i="2"/>
  <c r="M133" i="2"/>
  <c r="Q133" i="2" s="1"/>
  <c r="J133" i="2"/>
  <c r="M132" i="2"/>
  <c r="Q132" i="2" s="1"/>
  <c r="J132" i="2"/>
  <c r="M131" i="2"/>
  <c r="Q131" i="2" s="1"/>
  <c r="J131" i="2"/>
  <c r="M130" i="2"/>
  <c r="Q130" i="2" s="1"/>
  <c r="J130" i="2"/>
  <c r="M129" i="2"/>
  <c r="N129" i="2" s="1"/>
  <c r="O129" i="2" s="1"/>
  <c r="J129" i="2"/>
  <c r="M128" i="2"/>
  <c r="N128" i="2" s="1"/>
  <c r="O128" i="2" s="1"/>
  <c r="J128" i="2"/>
  <c r="M127" i="2"/>
  <c r="N127" i="2" s="1"/>
  <c r="O127" i="2" s="1"/>
  <c r="J127" i="2"/>
  <c r="M104" i="2"/>
  <c r="N104" i="2" s="1"/>
  <c r="O104" i="2" s="1"/>
  <c r="J104" i="2"/>
  <c r="M103" i="2"/>
  <c r="Q103" i="2" s="1"/>
  <c r="J103" i="2"/>
  <c r="M102" i="2"/>
  <c r="Q102" i="2" s="1"/>
  <c r="J102" i="2"/>
  <c r="M101" i="2"/>
  <c r="Q101" i="2" s="1"/>
  <c r="J101" i="2"/>
  <c r="M128" i="1"/>
  <c r="J58" i="2"/>
  <c r="J57" i="2"/>
  <c r="J56" i="2"/>
  <c r="J55" i="2"/>
  <c r="J54" i="2"/>
  <c r="J53" i="2"/>
  <c r="M58" i="2"/>
  <c r="Q58" i="2" s="1"/>
  <c r="M57" i="2"/>
  <c r="Q57" i="2" s="1"/>
  <c r="M56" i="2"/>
  <c r="Q56" i="2" s="1"/>
  <c r="M55" i="2"/>
  <c r="Q55" i="2" s="1"/>
  <c r="M54" i="2"/>
  <c r="N54" i="2" s="1"/>
  <c r="O54" i="2" s="1"/>
  <c r="M53" i="2"/>
  <c r="Q53" i="2" s="1"/>
  <c r="Q54" i="2" l="1"/>
  <c r="N55" i="2"/>
  <c r="O55" i="2" s="1"/>
  <c r="Q129" i="2"/>
  <c r="Q104" i="2"/>
  <c r="N56" i="2"/>
  <c r="O56" i="2" s="1"/>
  <c r="Q127" i="2"/>
  <c r="N57" i="2"/>
  <c r="O57" i="2" s="1"/>
  <c r="N58" i="2"/>
  <c r="O58" i="2" s="1"/>
  <c r="N131" i="2"/>
  <c r="O131" i="2" s="1"/>
  <c r="Q134" i="2"/>
  <c r="N53" i="2"/>
  <c r="O53" i="2" s="1"/>
  <c r="N101" i="2"/>
  <c r="O101" i="2" s="1"/>
  <c r="N133" i="2"/>
  <c r="O133" i="2" s="1"/>
  <c r="Q128" i="2"/>
  <c r="N130" i="2"/>
  <c r="O130" i="2" s="1"/>
  <c r="N103" i="2"/>
  <c r="O103" i="2" s="1"/>
  <c r="N102" i="2"/>
  <c r="O102" i="2" s="1"/>
  <c r="N132" i="2"/>
  <c r="O132" i="2" s="1"/>
  <c r="J91" i="1"/>
  <c r="J90" i="1"/>
  <c r="M91" i="1"/>
  <c r="Q91" i="1" s="1"/>
  <c r="M90" i="1"/>
  <c r="Q90" i="1" s="1"/>
  <c r="N90" i="1" l="1"/>
  <c r="O90" i="1" s="1"/>
  <c r="N91" i="1"/>
  <c r="O91" i="1" s="1"/>
  <c r="J86" i="2"/>
  <c r="M86" i="2"/>
  <c r="Q86" i="2" s="1"/>
  <c r="J23" i="2"/>
  <c r="J22" i="2"/>
  <c r="M23" i="2"/>
  <c r="Q23" i="2" s="1"/>
  <c r="M22" i="2"/>
  <c r="Q22" i="2" s="1"/>
  <c r="N86" i="2" l="1"/>
  <c r="O86" i="2" s="1"/>
  <c r="N22" i="2"/>
  <c r="O22" i="2" s="1"/>
  <c r="N23" i="2"/>
  <c r="O23" i="2" s="1"/>
  <c r="M127" i="1" l="1"/>
  <c r="J22" i="7"/>
  <c r="J21" i="7"/>
  <c r="M22" i="7"/>
  <c r="Q22" i="7" s="1"/>
  <c r="M21" i="7"/>
  <c r="Q21" i="7" s="1"/>
  <c r="M70" i="7"/>
  <c r="Q70" i="7" s="1"/>
  <c r="J70" i="7"/>
  <c r="M69" i="7"/>
  <c r="Q69" i="7" s="1"/>
  <c r="J69" i="7"/>
  <c r="M62" i="7"/>
  <c r="N62" i="7" s="1"/>
  <c r="O62" i="7" s="1"/>
  <c r="J62" i="7"/>
  <c r="M61" i="7"/>
  <c r="N61" i="7" s="1"/>
  <c r="O61" i="7" s="1"/>
  <c r="J61" i="7"/>
  <c r="M60" i="7"/>
  <c r="Q60" i="7" s="1"/>
  <c r="J60" i="7"/>
  <c r="M59" i="7"/>
  <c r="Q59" i="7" s="1"/>
  <c r="J59" i="7"/>
  <c r="M58" i="7"/>
  <c r="N58" i="7" s="1"/>
  <c r="O58" i="7" s="1"/>
  <c r="J58" i="7"/>
  <c r="M57" i="7"/>
  <c r="N57" i="7" s="1"/>
  <c r="O57" i="7" s="1"/>
  <c r="J57" i="7"/>
  <c r="M56" i="7"/>
  <c r="Q56" i="7" s="1"/>
  <c r="J56" i="7"/>
  <c r="M54" i="7"/>
  <c r="Q54" i="7" s="1"/>
  <c r="J54" i="7"/>
  <c r="M53" i="7"/>
  <c r="N53" i="7" s="1"/>
  <c r="O53" i="7" s="1"/>
  <c r="J53" i="7"/>
  <c r="M52" i="7"/>
  <c r="N52" i="7" s="1"/>
  <c r="O52" i="7" s="1"/>
  <c r="J52" i="7"/>
  <c r="M51" i="7"/>
  <c r="Q51" i="7" s="1"/>
  <c r="J51" i="7"/>
  <c r="M50" i="7"/>
  <c r="Q50" i="7" s="1"/>
  <c r="M49" i="7"/>
  <c r="Q49" i="7" s="1"/>
  <c r="J49" i="7"/>
  <c r="M48" i="7"/>
  <c r="N48" i="7" s="1"/>
  <c r="O48" i="7" s="1"/>
  <c r="J48" i="7"/>
  <c r="M42" i="7"/>
  <c r="N42" i="7" s="1"/>
  <c r="O42" i="7" s="1"/>
  <c r="J42" i="7"/>
  <c r="Q42" i="7" l="1"/>
  <c r="N21" i="7"/>
  <c r="O21" i="7" s="1"/>
  <c r="N22" i="7"/>
  <c r="O22" i="7" s="1"/>
  <c r="Q53" i="7"/>
  <c r="Q58" i="7"/>
  <c r="N50" i="7"/>
  <c r="O50" i="7" s="1"/>
  <c r="N59" i="7"/>
  <c r="O59" i="7" s="1"/>
  <c r="Q62" i="7"/>
  <c r="Q48" i="7"/>
  <c r="Q57" i="7"/>
  <c r="N54" i="7"/>
  <c r="O54" i="7" s="1"/>
  <c r="N69" i="7"/>
  <c r="O69" i="7" s="1"/>
  <c r="Q52" i="7"/>
  <c r="Q61" i="7"/>
  <c r="N60" i="7"/>
  <c r="O60" i="7" s="1"/>
  <c r="N51" i="7"/>
  <c r="O51" i="7" s="1"/>
  <c r="N70" i="7"/>
  <c r="O70" i="7" s="1"/>
  <c r="N49" i="7"/>
  <c r="O49" i="7" s="1"/>
  <c r="N56" i="7"/>
  <c r="O56" i="7" s="1"/>
  <c r="M126" i="1"/>
  <c r="M125" i="1"/>
  <c r="M124" i="1"/>
  <c r="J8" i="4"/>
  <c r="M8" i="4"/>
  <c r="Q8" i="4" s="1"/>
  <c r="N8" i="4" l="1"/>
  <c r="O8" i="4" s="1"/>
  <c r="M123" i="1"/>
  <c r="M122" i="1"/>
  <c r="M121" i="1"/>
  <c r="M120" i="1"/>
  <c r="M119" i="1"/>
  <c r="M109" i="1" l="1"/>
  <c r="M108" i="1"/>
  <c r="M107" i="1"/>
  <c r="M106" i="1"/>
  <c r="M105" i="1"/>
  <c r="J45" i="1"/>
  <c r="M45" i="1"/>
  <c r="Q45" i="1" s="1"/>
  <c r="M89" i="1"/>
  <c r="N45" i="1" l="1"/>
  <c r="O45" i="1" s="1"/>
  <c r="J21" i="2"/>
  <c r="J20" i="2"/>
  <c r="J19" i="2"/>
  <c r="M21" i="2"/>
  <c r="M20" i="2"/>
  <c r="M19" i="2"/>
  <c r="M88" i="1"/>
  <c r="J18" i="2"/>
  <c r="J17" i="2"/>
  <c r="J16" i="2"/>
  <c r="M18" i="2"/>
  <c r="Q18" i="2" s="1"/>
  <c r="M17" i="2"/>
  <c r="Q17" i="2" s="1"/>
  <c r="M16" i="2"/>
  <c r="Q16" i="2" s="1"/>
  <c r="M87" i="1"/>
  <c r="J13" i="6"/>
  <c r="M13" i="6"/>
  <c r="Q13" i="6" s="1"/>
  <c r="J20" i="7"/>
  <c r="M20" i="7"/>
  <c r="Q20" i="7" s="1"/>
  <c r="J72" i="2"/>
  <c r="M72" i="2"/>
  <c r="Q72" i="2" s="1"/>
  <c r="J74" i="2"/>
  <c r="M74" i="2"/>
  <c r="Q74" i="2" s="1"/>
  <c r="J79" i="2"/>
  <c r="J78" i="2"/>
  <c r="M79" i="2"/>
  <c r="Q79" i="2" s="1"/>
  <c r="M78" i="2"/>
  <c r="Q78" i="2" s="1"/>
  <c r="N13" i="6" l="1"/>
  <c r="O13" i="6" s="1"/>
  <c r="Q19" i="2"/>
  <c r="N19" i="2"/>
  <c r="O19" i="2" s="1"/>
  <c r="Q20" i="2"/>
  <c r="N20" i="2"/>
  <c r="O20" i="2" s="1"/>
  <c r="Q21" i="2"/>
  <c r="N21" i="2"/>
  <c r="O21" i="2" s="1"/>
  <c r="N17" i="2"/>
  <c r="O17" i="2" s="1"/>
  <c r="N18" i="2"/>
  <c r="O18" i="2" s="1"/>
  <c r="N16" i="2"/>
  <c r="O16" i="2" s="1"/>
  <c r="N20" i="7"/>
  <c r="O20" i="7" s="1"/>
  <c r="N72" i="2"/>
  <c r="O72" i="2" s="1"/>
  <c r="N74" i="2"/>
  <c r="O74" i="2" s="1"/>
  <c r="N78" i="2"/>
  <c r="O78" i="2" s="1"/>
  <c r="N79" i="2"/>
  <c r="O79" i="2" s="1"/>
  <c r="M86" i="1" l="1"/>
  <c r="M85" i="1"/>
  <c r="J15" i="2"/>
  <c r="M15" i="2"/>
  <c r="Q15" i="2" s="1"/>
  <c r="M84" i="1"/>
  <c r="M83" i="1"/>
  <c r="N15" i="2" l="1"/>
  <c r="O15" i="2" s="1"/>
  <c r="M82" i="1" l="1"/>
  <c r="Q134" i="1"/>
  <c r="N134" i="1"/>
  <c r="O134" i="1" s="1"/>
  <c r="J134" i="1"/>
  <c r="Q133" i="1"/>
  <c r="N133" i="1"/>
  <c r="O133" i="1" s="1"/>
  <c r="J133" i="1"/>
  <c r="Q132" i="1"/>
  <c r="N132" i="1"/>
  <c r="O132" i="1" s="1"/>
  <c r="J132" i="1"/>
  <c r="Q129" i="1"/>
  <c r="N129" i="1"/>
  <c r="O129" i="1" s="1"/>
  <c r="J129" i="1"/>
  <c r="Q128" i="1"/>
  <c r="N128" i="1"/>
  <c r="O128" i="1" s="1"/>
  <c r="J128" i="1"/>
  <c r="Q127" i="1"/>
  <c r="N127" i="1"/>
  <c r="O127" i="1" s="1"/>
  <c r="J127" i="1"/>
  <c r="Q126" i="1"/>
  <c r="N126" i="1"/>
  <c r="O126" i="1" s="1"/>
  <c r="J126" i="1"/>
  <c r="Q125" i="1"/>
  <c r="N125" i="1"/>
  <c r="O125" i="1" s="1"/>
  <c r="J125" i="1"/>
  <c r="Q124" i="1"/>
  <c r="N124" i="1"/>
  <c r="O124" i="1" s="1"/>
  <c r="J124" i="1"/>
  <c r="Q123" i="1"/>
  <c r="N123" i="1"/>
  <c r="O123" i="1" s="1"/>
  <c r="J123" i="1"/>
  <c r="Q122" i="1"/>
  <c r="N122" i="1"/>
  <c r="O122" i="1" s="1"/>
  <c r="J122" i="1"/>
  <c r="Q121" i="1"/>
  <c r="N121" i="1"/>
  <c r="O121" i="1" s="1"/>
  <c r="J121" i="1"/>
  <c r="Q120" i="1"/>
  <c r="N120" i="1"/>
  <c r="O120" i="1" s="1"/>
  <c r="J120" i="1"/>
  <c r="Q119" i="1"/>
  <c r="N119" i="1"/>
  <c r="O119" i="1" s="1"/>
  <c r="J119" i="1"/>
  <c r="Q109" i="1"/>
  <c r="N109" i="1"/>
  <c r="O109" i="1" s="1"/>
  <c r="J109" i="1"/>
  <c r="Q108" i="1"/>
  <c r="N108" i="1"/>
  <c r="O108" i="1" s="1"/>
  <c r="J108" i="1"/>
  <c r="Q107" i="1"/>
  <c r="N107" i="1"/>
  <c r="O107" i="1" s="1"/>
  <c r="J107" i="1"/>
  <c r="Q106" i="1"/>
  <c r="N106" i="1"/>
  <c r="O106" i="1" s="1"/>
  <c r="J106" i="1"/>
  <c r="Q105" i="1"/>
  <c r="N105" i="1"/>
  <c r="O105" i="1" s="1"/>
  <c r="J105" i="1"/>
  <c r="Q89" i="1"/>
  <c r="N89" i="1"/>
  <c r="O89" i="1" s="1"/>
  <c r="J89" i="1"/>
  <c r="Q88" i="1"/>
  <c r="N88" i="1"/>
  <c r="O88" i="1" s="1"/>
  <c r="J88" i="1"/>
  <c r="Q87" i="1"/>
  <c r="N87" i="1"/>
  <c r="O87" i="1" s="1"/>
  <c r="J87" i="1"/>
  <c r="Q86" i="1"/>
  <c r="N86" i="1"/>
  <c r="O86" i="1" s="1"/>
  <c r="J86" i="1"/>
  <c r="Q85" i="1"/>
  <c r="N85" i="1"/>
  <c r="O85" i="1" s="1"/>
  <c r="J85" i="1"/>
  <c r="Q84" i="1"/>
  <c r="N84" i="1"/>
  <c r="O84" i="1" s="1"/>
  <c r="J84" i="1"/>
  <c r="Q83" i="1"/>
  <c r="N83" i="1"/>
  <c r="O83" i="1" s="1"/>
  <c r="J83" i="1"/>
  <c r="J14" i="2"/>
  <c r="M14" i="2"/>
  <c r="Q14" i="2" s="1"/>
  <c r="J85" i="2"/>
  <c r="M85" i="2"/>
  <c r="Q85" i="2" s="1"/>
  <c r="M81" i="1"/>
  <c r="M80" i="1"/>
  <c r="J6" i="1"/>
  <c r="M6" i="1"/>
  <c r="Q6" i="1" s="1"/>
  <c r="N6" i="1" l="1"/>
  <c r="O6" i="1" s="1"/>
  <c r="N14" i="2"/>
  <c r="O14" i="2" s="1"/>
  <c r="N85" i="2"/>
  <c r="O85" i="2" s="1"/>
  <c r="M79" i="1"/>
  <c r="Q79" i="1" s="1"/>
  <c r="M78" i="1"/>
  <c r="Q78" i="1" s="1"/>
  <c r="M72" i="1"/>
  <c r="Q72" i="1" s="1"/>
  <c r="M71" i="1"/>
  <c r="Q71" i="1" s="1"/>
  <c r="M4" i="11"/>
  <c r="Q4" i="11" s="1"/>
  <c r="M5" i="11"/>
  <c r="Q5" i="11" s="1"/>
  <c r="M6" i="11"/>
  <c r="Q6" i="11" s="1"/>
  <c r="M7" i="11"/>
  <c r="Q7" i="11" s="1"/>
  <c r="M8" i="11"/>
  <c r="Q8" i="11" s="1"/>
  <c r="M3" i="11"/>
  <c r="Q3" i="11" s="1"/>
  <c r="M2" i="11"/>
  <c r="Q2" i="11" s="1"/>
  <c r="M3" i="10"/>
  <c r="Q3" i="10" s="1"/>
  <c r="M4" i="10"/>
  <c r="Q4" i="10" s="1"/>
  <c r="M2" i="10"/>
  <c r="Q2" i="10"/>
  <c r="M3" i="9"/>
  <c r="Q3" i="9" s="1"/>
  <c r="M4" i="9"/>
  <c r="Q4" i="9" s="1"/>
  <c r="M5" i="9"/>
  <c r="Q5" i="9" s="1"/>
  <c r="M6" i="9"/>
  <c r="Q6" i="9" s="1"/>
  <c r="M2" i="9"/>
  <c r="Q2" i="9" s="1"/>
  <c r="M3" i="8"/>
  <c r="Q3" i="8" s="1"/>
  <c r="M4" i="8"/>
  <c r="Q4" i="8" s="1"/>
  <c r="M5" i="8"/>
  <c r="Q5" i="8" s="1"/>
  <c r="M6" i="8"/>
  <c r="Q6" i="8" s="1"/>
  <c r="M2" i="8"/>
  <c r="Q2" i="8"/>
  <c r="M19" i="7"/>
  <c r="Q19" i="7" s="1"/>
  <c r="M32" i="7"/>
  <c r="Q32" i="7" s="1"/>
  <c r="M33" i="7"/>
  <c r="Q33" i="7" s="1"/>
  <c r="M34" i="7"/>
  <c r="Q34" i="7" s="1"/>
  <c r="M35" i="7"/>
  <c r="Q35" i="7" s="1"/>
  <c r="M36" i="7"/>
  <c r="Q36" i="7" s="1"/>
  <c r="M37" i="7"/>
  <c r="Q37" i="7" s="1"/>
  <c r="M38" i="7"/>
  <c r="Q38" i="7" s="1"/>
  <c r="M39" i="7"/>
  <c r="Q39" i="7" s="1"/>
  <c r="M41" i="7"/>
  <c r="Q41" i="7" s="1"/>
  <c r="M3" i="7"/>
  <c r="Q3" i="7" s="1"/>
  <c r="M4" i="7"/>
  <c r="Q4" i="7" s="1"/>
  <c r="M5" i="7"/>
  <c r="Q5" i="7" s="1"/>
  <c r="M6" i="7"/>
  <c r="Q6" i="7" s="1"/>
  <c r="M7" i="7"/>
  <c r="Q7" i="7" s="1"/>
  <c r="M8" i="7"/>
  <c r="Q8" i="7" s="1"/>
  <c r="M9" i="7"/>
  <c r="Q9" i="7" s="1"/>
  <c r="M10" i="7"/>
  <c r="Q10" i="7" s="1"/>
  <c r="M11" i="7"/>
  <c r="Q11" i="7" s="1"/>
  <c r="M12" i="7"/>
  <c r="Q12" i="7" s="1"/>
  <c r="M13" i="7"/>
  <c r="Q13" i="7" s="1"/>
  <c r="M14" i="7"/>
  <c r="Q14" i="7" s="1"/>
  <c r="M15" i="7"/>
  <c r="Q15" i="7" s="1"/>
  <c r="M16" i="7"/>
  <c r="Q16" i="7" s="1"/>
  <c r="M17" i="7"/>
  <c r="Q17" i="7" s="1"/>
  <c r="M18" i="7"/>
  <c r="Q18" i="7" s="1"/>
  <c r="M2" i="7"/>
  <c r="Q2" i="7" s="1"/>
  <c r="M36" i="6"/>
  <c r="Q36" i="6" s="1"/>
  <c r="M37" i="6"/>
  <c r="Q37" i="6" s="1"/>
  <c r="M38" i="6"/>
  <c r="Q38" i="6" s="1"/>
  <c r="M39" i="6"/>
  <c r="Q39" i="6" s="1"/>
  <c r="M40" i="6"/>
  <c r="Q40" i="6" s="1"/>
  <c r="M41" i="6"/>
  <c r="Q41" i="6" s="1"/>
  <c r="M42" i="6"/>
  <c r="Q42" i="6" s="1"/>
  <c r="M44" i="6"/>
  <c r="N44" i="6" s="1"/>
  <c r="O44" i="6" s="1"/>
  <c r="M45" i="6"/>
  <c r="N45" i="6" s="1"/>
  <c r="O45" i="6" s="1"/>
  <c r="M46" i="6"/>
  <c r="Q46" i="6" s="1"/>
  <c r="M47" i="6"/>
  <c r="Q47" i="6" s="1"/>
  <c r="M50" i="6"/>
  <c r="Q50" i="6" s="1"/>
  <c r="M51" i="6"/>
  <c r="Q51" i="6" s="1"/>
  <c r="M52" i="6"/>
  <c r="Q52" i="6" s="1"/>
  <c r="M53" i="6"/>
  <c r="N53" i="6" s="1"/>
  <c r="O53" i="6" s="1"/>
  <c r="M57" i="6"/>
  <c r="Q57" i="6" s="1"/>
  <c r="M59" i="6"/>
  <c r="N59" i="6" s="1"/>
  <c r="O59" i="6" s="1"/>
  <c r="M61" i="6"/>
  <c r="Q61" i="6" s="1"/>
  <c r="M62" i="6"/>
  <c r="Q62" i="6" s="1"/>
  <c r="M63" i="6"/>
  <c r="N63" i="6" s="1"/>
  <c r="O63" i="6" s="1"/>
  <c r="M64" i="6"/>
  <c r="Q64" i="6" s="1"/>
  <c r="M65" i="6"/>
  <c r="Q65" i="6" s="1"/>
  <c r="M66" i="6"/>
  <c r="Q66" i="6" s="1"/>
  <c r="M67" i="6"/>
  <c r="N67" i="6" s="1"/>
  <c r="O67" i="6" s="1"/>
  <c r="M68" i="6"/>
  <c r="N68" i="6" s="1"/>
  <c r="O68" i="6" s="1"/>
  <c r="M70" i="6"/>
  <c r="N70" i="6" s="1"/>
  <c r="O70" i="6" s="1"/>
  <c r="M71" i="6"/>
  <c r="Q71" i="6" s="1"/>
  <c r="M72" i="6"/>
  <c r="N72" i="6" s="1"/>
  <c r="O72" i="6" s="1"/>
  <c r="M73" i="6"/>
  <c r="N73" i="6" s="1"/>
  <c r="O73" i="6" s="1"/>
  <c r="M74" i="6"/>
  <c r="N74" i="6" s="1"/>
  <c r="O74" i="6" s="1"/>
  <c r="M75" i="6"/>
  <c r="N75" i="6" s="1"/>
  <c r="O75" i="6" s="1"/>
  <c r="M76" i="6"/>
  <c r="N76" i="6" s="1"/>
  <c r="O76" i="6" s="1"/>
  <c r="M77" i="6"/>
  <c r="N77" i="6" s="1"/>
  <c r="O77" i="6" s="1"/>
  <c r="M78" i="6"/>
  <c r="Q78" i="6" s="1"/>
  <c r="M79" i="6"/>
  <c r="Q79" i="6" s="1"/>
  <c r="M80" i="6"/>
  <c r="Q80" i="6" s="1"/>
  <c r="M81" i="6"/>
  <c r="Q81" i="6" s="1"/>
  <c r="M82" i="6"/>
  <c r="N82" i="6" s="1"/>
  <c r="O82" i="6" s="1"/>
  <c r="M83" i="6"/>
  <c r="Q83" i="6" s="1"/>
  <c r="M84" i="6"/>
  <c r="N84" i="6" s="1"/>
  <c r="O84" i="6" s="1"/>
  <c r="M86" i="6"/>
  <c r="N86" i="6" s="1"/>
  <c r="O86" i="6" s="1"/>
  <c r="M87" i="6"/>
  <c r="N87" i="6" s="1"/>
  <c r="O87" i="6" s="1"/>
  <c r="M90" i="6"/>
  <c r="Q90" i="6" s="1"/>
  <c r="M91" i="6"/>
  <c r="Q91" i="6" s="1"/>
  <c r="M92" i="6"/>
  <c r="Q92" i="6" s="1"/>
  <c r="M3" i="6"/>
  <c r="Q3" i="6" s="1"/>
  <c r="M4" i="6"/>
  <c r="Q4" i="6" s="1"/>
  <c r="M5" i="6"/>
  <c r="Q5" i="6" s="1"/>
  <c r="M6" i="6"/>
  <c r="Q6" i="6" s="1"/>
  <c r="M7" i="6"/>
  <c r="Q7" i="6" s="1"/>
  <c r="M8" i="6"/>
  <c r="Q8" i="6" s="1"/>
  <c r="M9" i="6"/>
  <c r="Q9" i="6" s="1"/>
  <c r="M10" i="6"/>
  <c r="Q10" i="6" s="1"/>
  <c r="M11" i="6"/>
  <c r="Q11" i="6" s="1"/>
  <c r="M12" i="6"/>
  <c r="Q12" i="6" s="1"/>
  <c r="M16" i="6"/>
  <c r="Q16" i="6" s="1"/>
  <c r="M17" i="6"/>
  <c r="Q17" i="6" s="1"/>
  <c r="M18" i="6"/>
  <c r="Q18" i="6" s="1"/>
  <c r="M19" i="6"/>
  <c r="Q19" i="6" s="1"/>
  <c r="M20" i="6"/>
  <c r="Q20" i="6" s="1"/>
  <c r="M21" i="6"/>
  <c r="Q21" i="6" s="1"/>
  <c r="M22" i="6"/>
  <c r="Q22" i="6" s="1"/>
  <c r="M23" i="6"/>
  <c r="Q23" i="6" s="1"/>
  <c r="M24" i="6"/>
  <c r="Q24" i="6" s="1"/>
  <c r="M25" i="6"/>
  <c r="Q25" i="6" s="1"/>
  <c r="M26" i="6"/>
  <c r="Q26" i="6" s="1"/>
  <c r="M27" i="6"/>
  <c r="Q27" i="6" s="1"/>
  <c r="M28" i="6"/>
  <c r="Q28" i="6" s="1"/>
  <c r="M29" i="6"/>
  <c r="Q29" i="6" s="1"/>
  <c r="M30" i="6"/>
  <c r="Q30" i="6" s="1"/>
  <c r="M31" i="6"/>
  <c r="N31" i="6" s="1"/>
  <c r="O31" i="6" s="1"/>
  <c r="M33" i="6"/>
  <c r="Q33" i="6" s="1"/>
  <c r="M34" i="6"/>
  <c r="Q34" i="6" s="1"/>
  <c r="M35" i="6"/>
  <c r="Q35" i="6" s="1"/>
  <c r="M2" i="6"/>
  <c r="Q2" i="6" s="1"/>
  <c r="Q72" i="6"/>
  <c r="Q73" i="6"/>
  <c r="M4" i="5"/>
  <c r="Q4" i="5" s="1"/>
  <c r="M5" i="5"/>
  <c r="Q5" i="5" s="1"/>
  <c r="M6" i="5"/>
  <c r="Q6" i="5" s="1"/>
  <c r="M8" i="5"/>
  <c r="Q8" i="5" s="1"/>
  <c r="M9" i="5"/>
  <c r="Q9" i="5" s="1"/>
  <c r="M10" i="5"/>
  <c r="M3" i="5"/>
  <c r="Q3" i="5" s="1"/>
  <c r="M2" i="5"/>
  <c r="Q2" i="5" s="1"/>
  <c r="M40" i="3"/>
  <c r="Q40" i="3" s="1"/>
  <c r="M41" i="3"/>
  <c r="Q41" i="3" s="1"/>
  <c r="M42" i="3"/>
  <c r="Q42" i="3" s="1"/>
  <c r="M43" i="3"/>
  <c r="Q43" i="3" s="1"/>
  <c r="M44" i="3"/>
  <c r="Q44" i="3" s="1"/>
  <c r="M45" i="3"/>
  <c r="Q45" i="3" s="1"/>
  <c r="M47" i="3"/>
  <c r="Q47" i="3" s="1"/>
  <c r="M48" i="3"/>
  <c r="N48" i="3" s="1"/>
  <c r="O48" i="3" s="1"/>
  <c r="M49" i="3"/>
  <c r="Q49" i="3" s="1"/>
  <c r="M51" i="3"/>
  <c r="Q51" i="3" s="1"/>
  <c r="M52" i="3"/>
  <c r="N52" i="3" s="1"/>
  <c r="O52" i="3" s="1"/>
  <c r="M53" i="3"/>
  <c r="Q53" i="3" s="1"/>
  <c r="M54" i="3"/>
  <c r="Q54" i="3" s="1"/>
  <c r="M55" i="3"/>
  <c r="Q55" i="3" s="1"/>
  <c r="M56" i="3"/>
  <c r="Q56" i="3" s="1"/>
  <c r="M57" i="3"/>
  <c r="N57" i="3" s="1"/>
  <c r="O57" i="3" s="1"/>
  <c r="M58" i="3"/>
  <c r="N58" i="3" s="1"/>
  <c r="O58" i="3" s="1"/>
  <c r="M60" i="3"/>
  <c r="Q60" i="3" s="1"/>
  <c r="M63" i="3"/>
  <c r="Q63" i="3" s="1"/>
  <c r="M64" i="3"/>
  <c r="Q64" i="3" s="1"/>
  <c r="M70" i="3"/>
  <c r="N70" i="3" s="1"/>
  <c r="O70" i="3" s="1"/>
  <c r="M72" i="3"/>
  <c r="N72" i="3" s="1"/>
  <c r="O72" i="3" s="1"/>
  <c r="M73" i="3"/>
  <c r="N73" i="3" s="1"/>
  <c r="O73" i="3" s="1"/>
  <c r="M74" i="3"/>
  <c r="N74" i="3" s="1"/>
  <c r="O74" i="3" s="1"/>
  <c r="M77" i="3"/>
  <c r="N77" i="3" s="1"/>
  <c r="O77" i="3" s="1"/>
  <c r="M78" i="3"/>
  <c r="Q78" i="3" s="1"/>
  <c r="M80" i="3"/>
  <c r="Q80" i="3" s="1"/>
  <c r="M81" i="3"/>
  <c r="Q81" i="3" s="1"/>
  <c r="M90" i="3"/>
  <c r="Q90" i="3" s="1"/>
  <c r="M91" i="3"/>
  <c r="Q91" i="3" s="1"/>
  <c r="M92" i="3"/>
  <c r="N92" i="3" s="1"/>
  <c r="O92" i="3" s="1"/>
  <c r="M95" i="3"/>
  <c r="N95" i="3" s="1"/>
  <c r="O95" i="3" s="1"/>
  <c r="M96" i="3"/>
  <c r="N96" i="3" s="1"/>
  <c r="O96" i="3" s="1"/>
  <c r="M102" i="3"/>
  <c r="N102" i="3" s="1"/>
  <c r="O102" i="3" s="1"/>
  <c r="M104" i="3"/>
  <c r="N104" i="3" s="1"/>
  <c r="O104" i="3" s="1"/>
  <c r="M105" i="3"/>
  <c r="N105" i="3" s="1"/>
  <c r="O105" i="3" s="1"/>
  <c r="M106" i="3"/>
  <c r="Q106" i="3" s="1"/>
  <c r="M107" i="3"/>
  <c r="Q107" i="3" s="1"/>
  <c r="M108" i="3"/>
  <c r="N108" i="3" s="1"/>
  <c r="O108" i="3" s="1"/>
  <c r="M109" i="3"/>
  <c r="Q109" i="3" s="1"/>
  <c r="M110" i="3"/>
  <c r="Q110" i="3" s="1"/>
  <c r="M111" i="3"/>
  <c r="Q111" i="3" s="1"/>
  <c r="M3" i="3"/>
  <c r="Q3" i="3" s="1"/>
  <c r="M4" i="3"/>
  <c r="Q4" i="3" s="1"/>
  <c r="M5" i="3"/>
  <c r="Q5" i="3" s="1"/>
  <c r="M6" i="3"/>
  <c r="Q6" i="3" s="1"/>
  <c r="M7" i="3"/>
  <c r="Q7" i="3" s="1"/>
  <c r="M8" i="3"/>
  <c r="Q8" i="3" s="1"/>
  <c r="M9" i="3"/>
  <c r="Q9" i="3" s="1"/>
  <c r="M10" i="3"/>
  <c r="M11" i="3"/>
  <c r="Q11" i="3" s="1"/>
  <c r="M12" i="3"/>
  <c r="Q12" i="3" s="1"/>
  <c r="M13" i="3"/>
  <c r="Q13" i="3" s="1"/>
  <c r="M14" i="3"/>
  <c r="Q14" i="3" s="1"/>
  <c r="M15" i="3"/>
  <c r="Q15" i="3" s="1"/>
  <c r="M16" i="3"/>
  <c r="Q16" i="3" s="1"/>
  <c r="M17" i="3"/>
  <c r="Q17" i="3" s="1"/>
  <c r="M18" i="3"/>
  <c r="Q18" i="3" s="1"/>
  <c r="M19" i="3"/>
  <c r="Q19" i="3" s="1"/>
  <c r="M20" i="3"/>
  <c r="Q20" i="3" s="1"/>
  <c r="M21" i="3"/>
  <c r="Q21" i="3" s="1"/>
  <c r="M22" i="3"/>
  <c r="Q22" i="3" s="1"/>
  <c r="M23" i="3"/>
  <c r="Q23" i="3" s="1"/>
  <c r="M24" i="3"/>
  <c r="Q24" i="3" s="1"/>
  <c r="M25" i="3"/>
  <c r="Q25" i="3" s="1"/>
  <c r="M26" i="3"/>
  <c r="Q26" i="3" s="1"/>
  <c r="M27" i="3"/>
  <c r="Q27" i="3" s="1"/>
  <c r="M28" i="3"/>
  <c r="Q28" i="3" s="1"/>
  <c r="M29" i="3"/>
  <c r="Q29" i="3" s="1"/>
  <c r="M30" i="3"/>
  <c r="Q30" i="3" s="1"/>
  <c r="M31" i="3"/>
  <c r="Q31" i="3" s="1"/>
  <c r="M32" i="3"/>
  <c r="Q32" i="3" s="1"/>
  <c r="M33" i="3"/>
  <c r="Q33" i="3" s="1"/>
  <c r="M34" i="3"/>
  <c r="Q34" i="3" s="1"/>
  <c r="M35" i="3"/>
  <c r="Q35" i="3" s="1"/>
  <c r="M36" i="3"/>
  <c r="Q36" i="3" s="1"/>
  <c r="M37" i="3"/>
  <c r="Q37" i="3" s="1"/>
  <c r="M38" i="3"/>
  <c r="Q38" i="3" s="1"/>
  <c r="M39" i="3"/>
  <c r="Q39" i="3" s="1"/>
  <c r="M2" i="3"/>
  <c r="Q2" i="3" s="1"/>
  <c r="Q10" i="3"/>
  <c r="M89" i="2"/>
  <c r="Q89" i="2" s="1"/>
  <c r="M90" i="2"/>
  <c r="Q90" i="2" s="1"/>
  <c r="M91" i="2"/>
  <c r="Q91" i="2" s="1"/>
  <c r="M92" i="2"/>
  <c r="Q92" i="2" s="1"/>
  <c r="M93" i="2"/>
  <c r="Q93" i="2" s="1"/>
  <c r="M94" i="2"/>
  <c r="Q94" i="2" s="1"/>
  <c r="M95" i="2"/>
  <c r="Q95" i="2" s="1"/>
  <c r="M96" i="2"/>
  <c r="Q96" i="2" s="1"/>
  <c r="M97" i="2"/>
  <c r="Q97" i="2" s="1"/>
  <c r="M98" i="2"/>
  <c r="Q98" i="2" s="1"/>
  <c r="M99" i="2"/>
  <c r="Q99" i="2" s="1"/>
  <c r="M100" i="2"/>
  <c r="Q100" i="2" s="1"/>
  <c r="M3" i="2"/>
  <c r="Q3" i="2" s="1"/>
  <c r="M4" i="2"/>
  <c r="Q4" i="2" s="1"/>
  <c r="M5" i="2"/>
  <c r="Q5" i="2" s="1"/>
  <c r="M6" i="2"/>
  <c r="Q6" i="2" s="1"/>
  <c r="M7" i="2"/>
  <c r="Q7" i="2" s="1"/>
  <c r="M8" i="2"/>
  <c r="Q8" i="2" s="1"/>
  <c r="M9" i="2"/>
  <c r="Q9" i="2" s="1"/>
  <c r="M10" i="2"/>
  <c r="Q10" i="2" s="1"/>
  <c r="M11" i="2"/>
  <c r="Q11" i="2" s="1"/>
  <c r="M12" i="2"/>
  <c r="Q12" i="2" s="1"/>
  <c r="M13" i="2"/>
  <c r="Q13" i="2" s="1"/>
  <c r="M31" i="2"/>
  <c r="Q31" i="2" s="1"/>
  <c r="M32" i="2"/>
  <c r="Q32" i="2" s="1"/>
  <c r="M33" i="2"/>
  <c r="Q33" i="2" s="1"/>
  <c r="M34" i="2"/>
  <c r="Q34" i="2" s="1"/>
  <c r="M35" i="2"/>
  <c r="Q35" i="2" s="1"/>
  <c r="M36" i="2"/>
  <c r="Q36" i="2" s="1"/>
  <c r="M37" i="2"/>
  <c r="Q37" i="2" s="1"/>
  <c r="M38" i="2"/>
  <c r="Q38" i="2" s="1"/>
  <c r="M39" i="2"/>
  <c r="Q39" i="2" s="1"/>
  <c r="M40" i="2"/>
  <c r="Q40" i="2" s="1"/>
  <c r="M41" i="2"/>
  <c r="Q41" i="2" s="1"/>
  <c r="M42" i="2"/>
  <c r="Q42" i="2" s="1"/>
  <c r="M43" i="2"/>
  <c r="Q43" i="2" s="1"/>
  <c r="M44" i="2"/>
  <c r="Q44" i="2" s="1"/>
  <c r="M45" i="2"/>
  <c r="Q45" i="2" s="1"/>
  <c r="M46" i="2"/>
  <c r="Q46" i="2" s="1"/>
  <c r="M47" i="2"/>
  <c r="Q47" i="2" s="1"/>
  <c r="M48" i="2"/>
  <c r="Q48" i="2" s="1"/>
  <c r="M49" i="2"/>
  <c r="Q49" i="2" s="1"/>
  <c r="M50" i="2"/>
  <c r="Q50" i="2" s="1"/>
  <c r="M51" i="2"/>
  <c r="Q51" i="2" s="1"/>
  <c r="M52" i="2"/>
  <c r="Q52" i="2" s="1"/>
  <c r="M69" i="2"/>
  <c r="Q69" i="2" s="1"/>
  <c r="M70" i="2"/>
  <c r="Q70" i="2" s="1"/>
  <c r="M71" i="2"/>
  <c r="Q71" i="2" s="1"/>
  <c r="M73" i="2"/>
  <c r="Q73" i="2" s="1"/>
  <c r="M75" i="2"/>
  <c r="Q75" i="2" s="1"/>
  <c r="M76" i="2"/>
  <c r="Q76" i="2" s="1"/>
  <c r="M77" i="2"/>
  <c r="Q77" i="2" s="1"/>
  <c r="M80" i="2"/>
  <c r="Q80" i="2" s="1"/>
  <c r="M81" i="2"/>
  <c r="Q81" i="2" s="1"/>
  <c r="M82" i="2"/>
  <c r="Q82" i="2" s="1"/>
  <c r="M83" i="2"/>
  <c r="Q83" i="2" s="1"/>
  <c r="M84" i="2"/>
  <c r="Q84" i="2" s="1"/>
  <c r="M87" i="2"/>
  <c r="Q87" i="2" s="1"/>
  <c r="M88" i="2"/>
  <c r="Q88" i="2" s="1"/>
  <c r="M2" i="2"/>
  <c r="Q2" i="2" s="1"/>
  <c r="Q80" i="1"/>
  <c r="Q81" i="1"/>
  <c r="Q82" i="1"/>
  <c r="M58" i="1"/>
  <c r="Q58" i="1" s="1"/>
  <c r="M59" i="1"/>
  <c r="Q59" i="1" s="1"/>
  <c r="M60" i="1"/>
  <c r="Q60" i="1" s="1"/>
  <c r="M61" i="1"/>
  <c r="Q61" i="1" s="1"/>
  <c r="M62" i="1"/>
  <c r="Q62" i="1" s="1"/>
  <c r="M63" i="1"/>
  <c r="Q63" i="1" s="1"/>
  <c r="M64" i="1"/>
  <c r="Q64" i="1" s="1"/>
  <c r="M65" i="1"/>
  <c r="Q65" i="1" s="1"/>
  <c r="M66" i="1"/>
  <c r="Q66" i="1" s="1"/>
  <c r="M67" i="1"/>
  <c r="Q67" i="1" s="1"/>
  <c r="M68" i="1"/>
  <c r="Q68" i="1" s="1"/>
  <c r="M69" i="1"/>
  <c r="Q69" i="1" s="1"/>
  <c r="M70" i="1"/>
  <c r="Q70" i="1" s="1"/>
  <c r="M57" i="1"/>
  <c r="Q57" i="1" s="1"/>
  <c r="M56" i="1"/>
  <c r="Q56" i="1" s="1"/>
  <c r="M55" i="1"/>
  <c r="Q55" i="1" s="1"/>
  <c r="M54" i="1"/>
  <c r="Q54" i="1" s="1"/>
  <c r="M53" i="1"/>
  <c r="Q53" i="1" s="1"/>
  <c r="M52" i="1"/>
  <c r="Q52" i="1" s="1"/>
  <c r="M51" i="1"/>
  <c r="Q51" i="1" s="1"/>
  <c r="M50" i="1"/>
  <c r="Q50" i="1" s="1"/>
  <c r="M49" i="1"/>
  <c r="Q49" i="1" s="1"/>
  <c r="M48" i="1"/>
  <c r="Q48" i="1" s="1"/>
  <c r="M47" i="1"/>
  <c r="Q47" i="1" s="1"/>
  <c r="M46" i="1"/>
  <c r="Q46" i="1" s="1"/>
  <c r="M44" i="1"/>
  <c r="Q44" i="1" s="1"/>
  <c r="M43" i="1"/>
  <c r="Q43" i="1" s="1"/>
  <c r="M42" i="1"/>
  <c r="Q42" i="1" s="1"/>
  <c r="M41" i="1"/>
  <c r="Q41" i="1" s="1"/>
  <c r="M40" i="1"/>
  <c r="Q40" i="1" s="1"/>
  <c r="M39" i="1"/>
  <c r="Q39" i="1" s="1"/>
  <c r="M38" i="1"/>
  <c r="Q38" i="1" s="1"/>
  <c r="M37" i="1"/>
  <c r="Q37" i="1" s="1"/>
  <c r="M36" i="1"/>
  <c r="Q36" i="1" s="1"/>
  <c r="M35" i="1"/>
  <c r="Q35" i="1" s="1"/>
  <c r="M34" i="1"/>
  <c r="Q34" i="1" s="1"/>
  <c r="M33" i="1"/>
  <c r="Q33" i="1" s="1"/>
  <c r="M32" i="1"/>
  <c r="Q32" i="1" s="1"/>
  <c r="M31" i="1"/>
  <c r="Q31" i="1" s="1"/>
  <c r="M30" i="1"/>
  <c r="Q30" i="1" s="1"/>
  <c r="M29" i="1"/>
  <c r="Q29" i="1" s="1"/>
  <c r="M28" i="1"/>
  <c r="Q28" i="1" s="1"/>
  <c r="M27" i="1"/>
  <c r="Q27" i="1" s="1"/>
  <c r="M26" i="1"/>
  <c r="Q26" i="1" s="1"/>
  <c r="M25" i="1"/>
  <c r="Q25" i="1" s="1"/>
  <c r="M24" i="1"/>
  <c r="Q24" i="1" s="1"/>
  <c r="M23" i="1"/>
  <c r="Q23" i="1" s="1"/>
  <c r="M22" i="1"/>
  <c r="Q22" i="1" s="1"/>
  <c r="M20" i="1"/>
  <c r="Q20" i="1" s="1"/>
  <c r="M19" i="1"/>
  <c r="Q19" i="1" s="1"/>
  <c r="M18" i="1"/>
  <c r="Q18" i="1" s="1"/>
  <c r="M17" i="1"/>
  <c r="Q17" i="1" s="1"/>
  <c r="M16" i="1"/>
  <c r="Q16" i="1" s="1"/>
  <c r="M15" i="1"/>
  <c r="Q15" i="1" s="1"/>
  <c r="M14" i="1"/>
  <c r="Q14" i="1" s="1"/>
  <c r="M13" i="1"/>
  <c r="Q13" i="1" s="1"/>
  <c r="M12" i="1"/>
  <c r="Q12" i="1" s="1"/>
  <c r="M9" i="1"/>
  <c r="Q9" i="1" s="1"/>
  <c r="M5" i="1"/>
  <c r="Q5" i="1" s="1"/>
  <c r="M4" i="1"/>
  <c r="Q4" i="1" s="1"/>
  <c r="M3" i="1"/>
  <c r="Q3" i="1" s="1"/>
  <c r="M2" i="1"/>
  <c r="Q2" i="1" s="1"/>
  <c r="M11" i="4"/>
  <c r="Q11" i="4" s="1"/>
  <c r="M12" i="4"/>
  <c r="Q12" i="4" s="1"/>
  <c r="M13" i="4"/>
  <c r="Q13" i="4" s="1"/>
  <c r="M14" i="4"/>
  <c r="Q14" i="4" s="1"/>
  <c r="M15" i="4"/>
  <c r="Q15" i="4" s="1"/>
  <c r="M16" i="4"/>
  <c r="Q16" i="4" s="1"/>
  <c r="M19" i="4"/>
  <c r="Q19" i="4" s="1"/>
  <c r="M20" i="4"/>
  <c r="Q20" i="4" s="1"/>
  <c r="M21" i="4"/>
  <c r="Q21" i="4" s="1"/>
  <c r="M22" i="4"/>
  <c r="Q22" i="4" s="1"/>
  <c r="M24" i="4"/>
  <c r="Q24" i="4" s="1"/>
  <c r="M25" i="4"/>
  <c r="Q25" i="4" s="1"/>
  <c r="M28" i="4"/>
  <c r="Q28" i="4" s="1"/>
  <c r="M29" i="4"/>
  <c r="Q29" i="4" s="1"/>
  <c r="M30" i="4"/>
  <c r="Q30" i="4" s="1"/>
  <c r="M31" i="4"/>
  <c r="Q31" i="4" s="1"/>
  <c r="M32" i="4"/>
  <c r="Q32" i="4" s="1"/>
  <c r="M33" i="4"/>
  <c r="Q33" i="4" s="1"/>
  <c r="M36" i="4"/>
  <c r="Q36" i="4" s="1"/>
  <c r="M38" i="4"/>
  <c r="Q38" i="4" s="1"/>
  <c r="M39" i="4"/>
  <c r="Q39" i="4" s="1"/>
  <c r="M10" i="4"/>
  <c r="Q10" i="4" s="1"/>
  <c r="M9" i="4"/>
  <c r="Q9" i="4" s="1"/>
  <c r="M7" i="4"/>
  <c r="Q7" i="4" s="1"/>
  <c r="M6" i="4"/>
  <c r="Q6" i="4" s="1"/>
  <c r="M5" i="4"/>
  <c r="Q5" i="4" s="1"/>
  <c r="M4" i="4"/>
  <c r="Q4" i="4" s="1"/>
  <c r="M3" i="4"/>
  <c r="Q3" i="4" s="1"/>
  <c r="M2" i="4"/>
  <c r="Q2" i="4" s="1"/>
  <c r="J26" i="3"/>
  <c r="J31" i="6"/>
  <c r="J92" i="6"/>
  <c r="J91" i="6"/>
  <c r="J90" i="6"/>
  <c r="J87" i="6"/>
  <c r="J86" i="6"/>
  <c r="J84" i="6"/>
  <c r="J83" i="6"/>
  <c r="J82" i="6"/>
  <c r="J81" i="6"/>
  <c r="J80" i="6"/>
  <c r="J79" i="6"/>
  <c r="J78" i="6"/>
  <c r="J77" i="6"/>
  <c r="J76" i="6"/>
  <c r="J75" i="6"/>
  <c r="J74" i="6"/>
  <c r="J73" i="6"/>
  <c r="J72" i="6"/>
  <c r="J71" i="6"/>
  <c r="J70" i="6"/>
  <c r="J68" i="6"/>
  <c r="J67" i="6"/>
  <c r="J66" i="6"/>
  <c r="J65" i="6"/>
  <c r="J64" i="6"/>
  <c r="J63" i="6"/>
  <c r="J62" i="6"/>
  <c r="J61" i="6"/>
  <c r="J59" i="6"/>
  <c r="J57" i="6"/>
  <c r="J53" i="6"/>
  <c r="J52" i="6"/>
  <c r="N51" i="6"/>
  <c r="O51" i="6" s="1"/>
  <c r="J51" i="6"/>
  <c r="J50" i="6"/>
  <c r="N47" i="6"/>
  <c r="O47" i="6" s="1"/>
  <c r="J47" i="6"/>
  <c r="J46" i="6"/>
  <c r="J45" i="6"/>
  <c r="J44" i="6"/>
  <c r="J42" i="6"/>
  <c r="J41" i="6"/>
  <c r="J40" i="6"/>
  <c r="J39" i="6"/>
  <c r="J38" i="6"/>
  <c r="J111" i="3"/>
  <c r="J110" i="3"/>
  <c r="J109" i="3"/>
  <c r="J108" i="3"/>
  <c r="J107" i="3"/>
  <c r="J106" i="3"/>
  <c r="J105" i="3"/>
  <c r="J104" i="3"/>
  <c r="J102" i="3"/>
  <c r="J96" i="3"/>
  <c r="J95" i="3"/>
  <c r="J92" i="3"/>
  <c r="J91" i="3"/>
  <c r="J90" i="3"/>
  <c r="J81" i="3"/>
  <c r="J80" i="3"/>
  <c r="J78" i="3"/>
  <c r="J77" i="3"/>
  <c r="J74" i="3"/>
  <c r="J73" i="3"/>
  <c r="J72" i="3"/>
  <c r="J70" i="3"/>
  <c r="J64" i="3"/>
  <c r="J63" i="3"/>
  <c r="J60" i="3"/>
  <c r="J58" i="3"/>
  <c r="J57" i="3"/>
  <c r="J56" i="3"/>
  <c r="J55" i="3"/>
  <c r="J54" i="3"/>
  <c r="J53" i="3"/>
  <c r="J52" i="3"/>
  <c r="J51" i="3"/>
  <c r="J49" i="3"/>
  <c r="J48" i="3"/>
  <c r="J47" i="3"/>
  <c r="J45" i="3"/>
  <c r="J44" i="3"/>
  <c r="J43" i="3"/>
  <c r="J42" i="3"/>
  <c r="J41" i="3"/>
  <c r="J40" i="3"/>
  <c r="J39" i="3"/>
  <c r="Q10" i="5" l="1"/>
  <c r="N10" i="5"/>
  <c r="N39" i="6"/>
  <c r="O39" i="6" s="1"/>
  <c r="N50" i="6"/>
  <c r="O50" i="6" s="1"/>
  <c r="N79" i="6"/>
  <c r="O79" i="6" s="1"/>
  <c r="N91" i="6"/>
  <c r="O91" i="6" s="1"/>
  <c r="Q63" i="6"/>
  <c r="N38" i="6"/>
  <c r="O38" i="6" s="1"/>
  <c r="N81" i="6"/>
  <c r="O81" i="6" s="1"/>
  <c r="N40" i="6"/>
  <c r="O40" i="6" s="1"/>
  <c r="N43" i="3"/>
  <c r="O43" i="3" s="1"/>
  <c r="Q105" i="3"/>
  <c r="Q104" i="3"/>
  <c r="N81" i="3"/>
  <c r="O81" i="3" s="1"/>
  <c r="N78" i="3"/>
  <c r="O78" i="3" s="1"/>
  <c r="N64" i="3"/>
  <c r="O64" i="3" s="1"/>
  <c r="N90" i="3"/>
  <c r="O90" i="3" s="1"/>
  <c r="N44" i="3"/>
  <c r="O44" i="3" s="1"/>
  <c r="N54" i="3"/>
  <c r="O54" i="3" s="1"/>
  <c r="N106" i="3"/>
  <c r="O106" i="3" s="1"/>
  <c r="N39" i="3"/>
  <c r="O39" i="3" s="1"/>
  <c r="Q96" i="3"/>
  <c r="N62" i="6"/>
  <c r="O62" i="6" s="1"/>
  <c r="N71" i="6"/>
  <c r="O71" i="6" s="1"/>
  <c r="N109" i="3"/>
  <c r="O109" i="3" s="1"/>
  <c r="N90" i="6"/>
  <c r="O90" i="6" s="1"/>
  <c r="N80" i="3"/>
  <c r="O80" i="3" s="1"/>
  <c r="Q31" i="6"/>
  <c r="Q68" i="6"/>
  <c r="Q87" i="6"/>
  <c r="Q86" i="6"/>
  <c r="N64" i="6"/>
  <c r="O64" i="6" s="1"/>
  <c r="N61" i="6"/>
  <c r="O61" i="6" s="1"/>
  <c r="Q75" i="6"/>
  <c r="N78" i="6"/>
  <c r="O78" i="6" s="1"/>
  <c r="N83" i="6"/>
  <c r="O83" i="6" s="1"/>
  <c r="N45" i="3"/>
  <c r="O45" i="3" s="1"/>
  <c r="N26" i="3"/>
  <c r="O26" i="3" s="1"/>
  <c r="Q72" i="3"/>
  <c r="N55" i="3"/>
  <c r="O55" i="3" s="1"/>
  <c r="N91" i="3"/>
  <c r="O91" i="3" s="1"/>
  <c r="Q70" i="3"/>
  <c r="N107" i="3"/>
  <c r="O107" i="3" s="1"/>
  <c r="Q70" i="6"/>
  <c r="N92" i="6"/>
  <c r="O92" i="6" s="1"/>
  <c r="Q77" i="6"/>
  <c r="Q74" i="6"/>
  <c r="Q77" i="3"/>
  <c r="Q82" i="6"/>
  <c r="N65" i="6"/>
  <c r="O65" i="6" s="1"/>
  <c r="Q59" i="6"/>
  <c r="N46" i="6"/>
  <c r="O46" i="6" s="1"/>
  <c r="Q45" i="6"/>
  <c r="N53" i="3"/>
  <c r="O53" i="3" s="1"/>
  <c r="N51" i="3"/>
  <c r="O51" i="3" s="1"/>
  <c r="Q102" i="3"/>
  <c r="N60" i="3"/>
  <c r="O60" i="3" s="1"/>
  <c r="N111" i="3"/>
  <c r="O111" i="3" s="1"/>
  <c r="N80" i="6"/>
  <c r="O80" i="6" s="1"/>
  <c r="Q53" i="6"/>
  <c r="N66" i="6"/>
  <c r="O66" i="6" s="1"/>
  <c r="N42" i="6"/>
  <c r="O42" i="6" s="1"/>
  <c r="N52" i="6"/>
  <c r="O52" i="6" s="1"/>
  <c r="N41" i="6"/>
  <c r="O41" i="6" s="1"/>
  <c r="N49" i="3"/>
  <c r="O49" i="3" s="1"/>
  <c r="N63" i="3"/>
  <c r="O63" i="3" s="1"/>
  <c r="N110" i="3"/>
  <c r="O110" i="3" s="1"/>
  <c r="N40" i="3"/>
  <c r="O40" i="3" s="1"/>
  <c r="Q58" i="3"/>
  <c r="N42" i="3"/>
  <c r="O42" i="3" s="1"/>
  <c r="Q52" i="3"/>
  <c r="N57" i="6"/>
  <c r="O57" i="6" s="1"/>
  <c r="N41" i="3"/>
  <c r="O41" i="3" s="1"/>
  <c r="Q84" i="6"/>
  <c r="Q76" i="6"/>
  <c r="Q67" i="6"/>
  <c r="Q44" i="6"/>
  <c r="N47" i="3"/>
  <c r="O47" i="3" s="1"/>
  <c r="Q95" i="3"/>
  <c r="Q74" i="3"/>
  <c r="Q57" i="3"/>
  <c r="Q48" i="3"/>
  <c r="N56" i="3"/>
  <c r="O56" i="3" s="1"/>
  <c r="Q108" i="3"/>
  <c r="Q92" i="3"/>
  <c r="Q73" i="3"/>
  <c r="N13" i="2"/>
  <c r="O13" i="2" s="1"/>
  <c r="J13" i="2"/>
  <c r="N12" i="2"/>
  <c r="O12" i="2" s="1"/>
  <c r="J12" i="2"/>
  <c r="N5" i="1"/>
  <c r="O5" i="1" s="1"/>
  <c r="N4" i="1"/>
  <c r="O4" i="1" s="1"/>
  <c r="J5" i="1"/>
  <c r="J4" i="1"/>
  <c r="N30" i="6"/>
  <c r="O30" i="6" s="1"/>
  <c r="J30" i="6"/>
  <c r="N37" i="3"/>
  <c r="N25" i="3"/>
  <c r="O25" i="3" s="1"/>
  <c r="N24" i="3"/>
  <c r="O24" i="3" s="1"/>
  <c r="J25" i="3"/>
  <c r="J24" i="3"/>
  <c r="N46" i="2" l="1"/>
  <c r="O46" i="2" s="1"/>
  <c r="J46" i="2"/>
  <c r="N33" i="2"/>
  <c r="O33" i="2" s="1"/>
  <c r="J33" i="2"/>
  <c r="N71" i="2"/>
  <c r="O71" i="2" s="1"/>
  <c r="J71" i="2"/>
  <c r="N10" i="3"/>
  <c r="O10" i="3" s="1"/>
  <c r="N9" i="3"/>
  <c r="O9" i="3" s="1"/>
  <c r="J10" i="3"/>
  <c r="J9" i="3"/>
  <c r="J8" i="3"/>
  <c r="N4" i="3"/>
  <c r="O4" i="3" s="1"/>
  <c r="J4" i="3"/>
  <c r="N9" i="6"/>
  <c r="O9" i="6" s="1"/>
  <c r="J9" i="6"/>
  <c r="N100" i="2"/>
  <c r="O100" i="2" s="1"/>
  <c r="J100" i="2"/>
  <c r="N99" i="2"/>
  <c r="O99" i="2" s="1"/>
  <c r="J99" i="2"/>
  <c r="N98" i="2"/>
  <c r="O98" i="2" s="1"/>
  <c r="J98" i="2"/>
  <c r="N97" i="2"/>
  <c r="O97" i="2" s="1"/>
  <c r="J97" i="2"/>
  <c r="N96" i="2"/>
  <c r="O96" i="2" s="1"/>
  <c r="J96" i="2"/>
  <c r="N95" i="2"/>
  <c r="O95" i="2" s="1"/>
  <c r="J95" i="2"/>
  <c r="N94" i="2"/>
  <c r="O94" i="2" s="1"/>
  <c r="J94" i="2"/>
  <c r="N93" i="2"/>
  <c r="O93" i="2" s="1"/>
  <c r="J93" i="2"/>
  <c r="N92" i="2"/>
  <c r="O92" i="2" s="1"/>
  <c r="J92" i="2"/>
  <c r="N91" i="2"/>
  <c r="O91" i="2" s="1"/>
  <c r="J91" i="2"/>
  <c r="N90" i="2"/>
  <c r="O90" i="2" s="1"/>
  <c r="J90" i="2"/>
  <c r="N89" i="2"/>
  <c r="O89" i="2" s="1"/>
  <c r="J89" i="2"/>
  <c r="N88" i="2"/>
  <c r="O88" i="2" s="1"/>
  <c r="J88" i="2"/>
  <c r="N87" i="2"/>
  <c r="O87" i="2" s="1"/>
  <c r="J87" i="2"/>
  <c r="N84" i="2"/>
  <c r="O84" i="2" s="1"/>
  <c r="J84" i="2"/>
  <c r="N83" i="2"/>
  <c r="O83" i="2" s="1"/>
  <c r="J83" i="2"/>
  <c r="N82" i="2"/>
  <c r="O82" i="2" s="1"/>
  <c r="J82" i="2"/>
  <c r="N81" i="2"/>
  <c r="O81" i="2" s="1"/>
  <c r="J81" i="2"/>
  <c r="N80" i="2"/>
  <c r="O80" i="2" s="1"/>
  <c r="J80" i="2"/>
  <c r="N77" i="2"/>
  <c r="O77" i="2" s="1"/>
  <c r="J77" i="2"/>
  <c r="N76" i="2"/>
  <c r="O76" i="2" s="1"/>
  <c r="J76" i="2"/>
  <c r="N11" i="2"/>
  <c r="O11" i="2" s="1"/>
  <c r="J11" i="2"/>
  <c r="N70" i="2"/>
  <c r="O70" i="2" s="1"/>
  <c r="N69" i="2"/>
  <c r="O69" i="2" s="1"/>
  <c r="N73" i="2"/>
  <c r="O73" i="2" s="1"/>
  <c r="J73" i="2"/>
  <c r="J69" i="2"/>
  <c r="J70" i="2"/>
  <c r="N26" i="1"/>
  <c r="O26" i="1" s="1"/>
  <c r="J26" i="1"/>
  <c r="N19" i="1"/>
  <c r="O19" i="1" s="1"/>
  <c r="J19" i="1"/>
  <c r="N33" i="1" l="1"/>
  <c r="O33" i="1" s="1"/>
  <c r="N32" i="1"/>
  <c r="O32" i="1" s="1"/>
  <c r="J33" i="1"/>
  <c r="J32" i="1"/>
  <c r="N82" i="1"/>
  <c r="O82" i="1" s="1"/>
  <c r="J82" i="1"/>
  <c r="N81" i="1"/>
  <c r="O81" i="1" s="1"/>
  <c r="J81" i="1"/>
  <c r="N80" i="1"/>
  <c r="O80" i="1" s="1"/>
  <c r="J80" i="1"/>
  <c r="N79" i="1"/>
  <c r="O79" i="1" s="1"/>
  <c r="J79" i="1"/>
  <c r="N78" i="1"/>
  <c r="O78" i="1" s="1"/>
  <c r="J78" i="1"/>
  <c r="N72" i="1"/>
  <c r="O72" i="1" s="1"/>
  <c r="J72" i="1"/>
  <c r="N71" i="1"/>
  <c r="O71" i="1" s="1"/>
  <c r="J71" i="1"/>
  <c r="N70" i="1"/>
  <c r="O70" i="1" s="1"/>
  <c r="J70" i="1"/>
  <c r="N69" i="1"/>
  <c r="O69" i="1" s="1"/>
  <c r="J69" i="1"/>
  <c r="N68" i="1"/>
  <c r="O68" i="1" s="1"/>
  <c r="J68" i="1"/>
  <c r="N67" i="1"/>
  <c r="O67" i="1" s="1"/>
  <c r="J67" i="1"/>
  <c r="N66" i="1"/>
  <c r="O66" i="1" s="1"/>
  <c r="J66" i="1"/>
  <c r="N65" i="1"/>
  <c r="O65" i="1" s="1"/>
  <c r="J65" i="1"/>
  <c r="N64" i="1"/>
  <c r="O64" i="1" s="1"/>
  <c r="J64" i="1"/>
  <c r="N63" i="1"/>
  <c r="O63" i="1" s="1"/>
  <c r="J63" i="1"/>
  <c r="N62" i="1"/>
  <c r="O62" i="1" s="1"/>
  <c r="J62" i="1"/>
  <c r="N61" i="1"/>
  <c r="O61" i="1" s="1"/>
  <c r="J61" i="1"/>
  <c r="N60" i="1"/>
  <c r="O60" i="1" s="1"/>
  <c r="J60" i="1"/>
  <c r="N59" i="1"/>
  <c r="O59" i="1" s="1"/>
  <c r="J59" i="1"/>
  <c r="N58" i="1"/>
  <c r="O58" i="1" s="1"/>
  <c r="J58" i="1"/>
  <c r="N57" i="1"/>
  <c r="O57" i="1" s="1"/>
  <c r="J57" i="1"/>
  <c r="N56" i="1"/>
  <c r="O56" i="1" s="1"/>
  <c r="J56" i="1"/>
  <c r="N55" i="1"/>
  <c r="O55" i="1" s="1"/>
  <c r="J55" i="1"/>
  <c r="N54" i="1"/>
  <c r="O54" i="1" s="1"/>
  <c r="J54" i="1"/>
  <c r="N53" i="1"/>
  <c r="O53" i="1" s="1"/>
  <c r="J53" i="1"/>
  <c r="N52" i="1"/>
  <c r="O52" i="1" s="1"/>
  <c r="J52" i="1"/>
  <c r="N51" i="1"/>
  <c r="O51" i="1" s="1"/>
  <c r="J51" i="1"/>
  <c r="N50" i="1"/>
  <c r="O50" i="1" s="1"/>
  <c r="J50" i="1"/>
  <c r="N49" i="1"/>
  <c r="O49" i="1" s="1"/>
  <c r="J49" i="1"/>
  <c r="N39" i="1" l="1"/>
  <c r="O39" i="1" s="1"/>
  <c r="J39" i="1"/>
  <c r="N3" i="1"/>
  <c r="O3" i="1" s="1"/>
  <c r="J3" i="1"/>
  <c r="N30" i="3"/>
  <c r="O30" i="3" s="1"/>
  <c r="N10" i="2" l="1"/>
  <c r="O10" i="2" s="1"/>
  <c r="J10" i="2"/>
  <c r="N24" i="1" l="1"/>
  <c r="O24" i="1" s="1"/>
  <c r="N23" i="1"/>
  <c r="O23" i="1" s="1"/>
  <c r="J24" i="1"/>
  <c r="J23" i="1"/>
  <c r="N13" i="1"/>
  <c r="O13" i="1" s="1"/>
  <c r="J13" i="1"/>
  <c r="N3" i="3"/>
  <c r="O3" i="3" s="1"/>
  <c r="J3" i="3"/>
  <c r="N8" i="3"/>
  <c r="O8" i="3" s="1"/>
  <c r="N7" i="3"/>
  <c r="O7" i="3" s="1"/>
  <c r="J7" i="3"/>
  <c r="N9" i="2"/>
  <c r="O9" i="2" s="1"/>
  <c r="N8" i="2"/>
  <c r="O8" i="2" s="1"/>
  <c r="J9" i="2"/>
  <c r="J8" i="2"/>
  <c r="N32" i="2" l="1"/>
  <c r="O32" i="2" s="1"/>
  <c r="J32" i="2"/>
  <c r="N8" i="11" l="1"/>
  <c r="O8" i="11" s="1"/>
  <c r="J8" i="11"/>
  <c r="N7" i="11"/>
  <c r="O7" i="11" s="1"/>
  <c r="J7" i="11"/>
  <c r="N6" i="11"/>
  <c r="O6" i="11" s="1"/>
  <c r="J6" i="11"/>
  <c r="N5" i="11"/>
  <c r="O5" i="11" s="1"/>
  <c r="J5" i="11"/>
  <c r="N4" i="11"/>
  <c r="O4" i="11" s="1"/>
  <c r="J4" i="11"/>
  <c r="N3" i="11"/>
  <c r="O3" i="11" s="1"/>
  <c r="J3" i="11"/>
  <c r="N2" i="11"/>
  <c r="O2" i="11" s="1"/>
  <c r="J2" i="11"/>
  <c r="N4" i="10"/>
  <c r="O4" i="10" s="1"/>
  <c r="J4" i="10"/>
  <c r="N3" i="10"/>
  <c r="O3" i="10" s="1"/>
  <c r="J3" i="10"/>
  <c r="N2" i="10"/>
  <c r="O2" i="10" s="1"/>
  <c r="J2" i="10"/>
  <c r="N6" i="9"/>
  <c r="O6" i="9" s="1"/>
  <c r="J6" i="9"/>
  <c r="N5" i="9"/>
  <c r="O5" i="9" s="1"/>
  <c r="J5" i="9"/>
  <c r="N4" i="9"/>
  <c r="O4" i="9" s="1"/>
  <c r="J4" i="9"/>
  <c r="N3" i="9"/>
  <c r="O3" i="9" s="1"/>
  <c r="J3" i="9"/>
  <c r="N2" i="9"/>
  <c r="O2" i="9" s="1"/>
  <c r="J2" i="9"/>
  <c r="N6" i="8"/>
  <c r="O6" i="8" s="1"/>
  <c r="J6" i="8"/>
  <c r="N5" i="8"/>
  <c r="O5" i="8" s="1"/>
  <c r="J5" i="8"/>
  <c r="N4" i="8"/>
  <c r="O4" i="8" s="1"/>
  <c r="J4" i="8"/>
  <c r="N3" i="8"/>
  <c r="O3" i="8" s="1"/>
  <c r="J3" i="8"/>
  <c r="N2" i="8"/>
  <c r="O2" i="8" s="1"/>
  <c r="J2" i="8"/>
  <c r="N41" i="7"/>
  <c r="O41" i="7" s="1"/>
  <c r="J41" i="7"/>
  <c r="N39" i="7"/>
  <c r="O39" i="7" s="1"/>
  <c r="J39" i="7"/>
  <c r="N38" i="7"/>
  <c r="O38" i="7" s="1"/>
  <c r="J38" i="7"/>
  <c r="N37" i="7"/>
  <c r="O37" i="7" s="1"/>
  <c r="J37" i="7"/>
  <c r="N36" i="7"/>
  <c r="O36" i="7" s="1"/>
  <c r="J36" i="7"/>
  <c r="N35" i="7"/>
  <c r="O35" i="7" s="1"/>
  <c r="J35" i="7"/>
  <c r="N34" i="7"/>
  <c r="O34" i="7" s="1"/>
  <c r="J34" i="7"/>
  <c r="N33" i="7"/>
  <c r="O33" i="7" s="1"/>
  <c r="J33" i="7"/>
  <c r="N32" i="7"/>
  <c r="O32" i="7" s="1"/>
  <c r="J32" i="7"/>
  <c r="N19" i="7"/>
  <c r="O19" i="7" s="1"/>
  <c r="J19" i="7"/>
  <c r="N18" i="7"/>
  <c r="O18" i="7" s="1"/>
  <c r="J18" i="7"/>
  <c r="N17" i="7"/>
  <c r="O17" i="7" s="1"/>
  <c r="J17" i="7"/>
  <c r="N16" i="7"/>
  <c r="O16" i="7" s="1"/>
  <c r="J16" i="7"/>
  <c r="N15" i="7"/>
  <c r="O15" i="7" s="1"/>
  <c r="J15" i="7"/>
  <c r="N14" i="7"/>
  <c r="O14" i="7" s="1"/>
  <c r="J14" i="7"/>
  <c r="N13" i="7"/>
  <c r="O13" i="7" s="1"/>
  <c r="J13" i="7"/>
  <c r="N12" i="7"/>
  <c r="O12" i="7" s="1"/>
  <c r="J12" i="7"/>
  <c r="N11" i="7"/>
  <c r="O11" i="7" s="1"/>
  <c r="J11" i="7"/>
  <c r="N10" i="7"/>
  <c r="O10" i="7" s="1"/>
  <c r="J10" i="7"/>
  <c r="N9" i="7"/>
  <c r="O9" i="7" s="1"/>
  <c r="J9" i="7"/>
  <c r="N8" i="7"/>
  <c r="O8" i="7" s="1"/>
  <c r="J8" i="7"/>
  <c r="N7" i="7"/>
  <c r="O7" i="7" s="1"/>
  <c r="J7" i="7"/>
  <c r="N6" i="7"/>
  <c r="O6" i="7" s="1"/>
  <c r="J6" i="7"/>
  <c r="N5" i="7"/>
  <c r="O5" i="7" s="1"/>
  <c r="J5" i="7"/>
  <c r="N4" i="7"/>
  <c r="O4" i="7" s="1"/>
  <c r="J4" i="7"/>
  <c r="N3" i="7"/>
  <c r="O3" i="7" s="1"/>
  <c r="J3" i="7"/>
  <c r="N2" i="7"/>
  <c r="O2" i="7" s="1"/>
  <c r="J2" i="7"/>
  <c r="N37" i="6"/>
  <c r="O37" i="6" s="1"/>
  <c r="J37" i="6"/>
  <c r="N36" i="6"/>
  <c r="O36" i="6" s="1"/>
  <c r="J36" i="6"/>
  <c r="N35" i="6"/>
  <c r="O35" i="6" s="1"/>
  <c r="J35" i="6"/>
  <c r="N34" i="6"/>
  <c r="O34" i="6" s="1"/>
  <c r="J34" i="6"/>
  <c r="N33" i="6"/>
  <c r="O33" i="6" s="1"/>
  <c r="J33" i="6"/>
  <c r="N29" i="6"/>
  <c r="O29" i="6" s="1"/>
  <c r="J29" i="6"/>
  <c r="N28" i="6"/>
  <c r="O28" i="6" s="1"/>
  <c r="J28" i="6"/>
  <c r="N27" i="6"/>
  <c r="O27" i="6" s="1"/>
  <c r="J27" i="6"/>
  <c r="N26" i="6"/>
  <c r="O26" i="6" s="1"/>
  <c r="J26" i="6"/>
  <c r="N25" i="6"/>
  <c r="O25" i="6" s="1"/>
  <c r="J25" i="6"/>
  <c r="N24" i="6"/>
  <c r="O24" i="6" s="1"/>
  <c r="J24" i="6"/>
  <c r="N23" i="6"/>
  <c r="O23" i="6" s="1"/>
  <c r="J23" i="6"/>
  <c r="N22" i="6"/>
  <c r="O22" i="6" s="1"/>
  <c r="J22" i="6"/>
  <c r="N21" i="6"/>
  <c r="O21" i="6" s="1"/>
  <c r="J21" i="6"/>
  <c r="N20" i="6"/>
  <c r="O20" i="6" s="1"/>
  <c r="J20" i="6"/>
  <c r="N19" i="6"/>
  <c r="O19" i="6" s="1"/>
  <c r="J19" i="6"/>
  <c r="N18" i="6"/>
  <c r="O18" i="6" s="1"/>
  <c r="J18" i="6"/>
  <c r="N17" i="6"/>
  <c r="O17" i="6" s="1"/>
  <c r="J17" i="6"/>
  <c r="N16" i="6"/>
  <c r="O16" i="6" s="1"/>
  <c r="J16" i="6"/>
  <c r="N12" i="6"/>
  <c r="O12" i="6" s="1"/>
  <c r="J12" i="6"/>
  <c r="N11" i="6"/>
  <c r="O11" i="6" s="1"/>
  <c r="J11" i="6"/>
  <c r="N10" i="6"/>
  <c r="O10" i="6" s="1"/>
  <c r="J10" i="6"/>
  <c r="N8" i="6"/>
  <c r="O8" i="6" s="1"/>
  <c r="J8" i="6"/>
  <c r="N7" i="6"/>
  <c r="O7" i="6" s="1"/>
  <c r="J7" i="6"/>
  <c r="N6" i="6"/>
  <c r="O6" i="6" s="1"/>
  <c r="J6" i="6"/>
  <c r="N5" i="6"/>
  <c r="O5" i="6" s="1"/>
  <c r="J5" i="6"/>
  <c r="N4" i="6"/>
  <c r="O4" i="6" s="1"/>
  <c r="J4" i="6"/>
  <c r="N3" i="6"/>
  <c r="O3" i="6" s="1"/>
  <c r="J3" i="6"/>
  <c r="N2" i="6"/>
  <c r="O2" i="6" s="1"/>
  <c r="J2" i="6"/>
  <c r="O10" i="5"/>
  <c r="J10" i="5"/>
  <c r="N9" i="5"/>
  <c r="O9" i="5" s="1"/>
  <c r="J9" i="5"/>
  <c r="N8" i="5"/>
  <c r="O8" i="5" s="1"/>
  <c r="J8" i="5"/>
  <c r="N6" i="5"/>
  <c r="O6" i="5" s="1"/>
  <c r="J6" i="5"/>
  <c r="N5" i="5"/>
  <c r="O5" i="5" s="1"/>
  <c r="J5" i="5"/>
  <c r="N4" i="5"/>
  <c r="O4" i="5" s="1"/>
  <c r="J4" i="5"/>
  <c r="N3" i="5"/>
  <c r="O3" i="5" s="1"/>
  <c r="J3" i="5"/>
  <c r="N2" i="5"/>
  <c r="O2" i="5" s="1"/>
  <c r="J2" i="5"/>
  <c r="N39" i="4"/>
  <c r="O39" i="4" s="1"/>
  <c r="J39" i="4"/>
  <c r="N38" i="4"/>
  <c r="O38" i="4" s="1"/>
  <c r="J38" i="4"/>
  <c r="N36" i="4"/>
  <c r="O36" i="4" s="1"/>
  <c r="J36" i="4"/>
  <c r="N33" i="4"/>
  <c r="O33" i="4" s="1"/>
  <c r="J33" i="4"/>
  <c r="N32" i="4"/>
  <c r="O32" i="4" s="1"/>
  <c r="J32" i="4"/>
  <c r="N31" i="4"/>
  <c r="O31" i="4" s="1"/>
  <c r="J31" i="4"/>
  <c r="N30" i="4"/>
  <c r="O30" i="4" s="1"/>
  <c r="J30" i="4"/>
  <c r="N29" i="4"/>
  <c r="O29" i="4" s="1"/>
  <c r="J29" i="4"/>
  <c r="N28" i="4"/>
  <c r="O28" i="4" s="1"/>
  <c r="J28" i="4"/>
  <c r="N25" i="4"/>
  <c r="O25" i="4" s="1"/>
  <c r="J25" i="4"/>
  <c r="N24" i="4"/>
  <c r="O24" i="4" s="1"/>
  <c r="N22" i="4"/>
  <c r="O22" i="4" s="1"/>
  <c r="J22" i="4"/>
  <c r="N21" i="4"/>
  <c r="O21" i="4" s="1"/>
  <c r="J21" i="4"/>
  <c r="N20" i="4"/>
  <c r="O20" i="4" s="1"/>
  <c r="J20" i="4"/>
  <c r="N19" i="4"/>
  <c r="O19" i="4" s="1"/>
  <c r="J19" i="4"/>
  <c r="N16" i="4"/>
  <c r="O16" i="4" s="1"/>
  <c r="J16" i="4"/>
  <c r="N15" i="4"/>
  <c r="O15" i="4" s="1"/>
  <c r="J15" i="4"/>
  <c r="N14" i="4"/>
  <c r="O14" i="4" s="1"/>
  <c r="J14" i="4"/>
  <c r="N13" i="4"/>
  <c r="O13" i="4" s="1"/>
  <c r="J13" i="4"/>
  <c r="N12" i="4"/>
  <c r="O12" i="4" s="1"/>
  <c r="J12" i="4"/>
  <c r="N11" i="4"/>
  <c r="O11" i="4" s="1"/>
  <c r="J11" i="4"/>
  <c r="N10" i="4"/>
  <c r="O10" i="4" s="1"/>
  <c r="J10" i="4"/>
  <c r="N9" i="4"/>
  <c r="O9" i="4" s="1"/>
  <c r="J9" i="4"/>
  <c r="N7" i="4"/>
  <c r="O7" i="4" s="1"/>
  <c r="J7" i="4"/>
  <c r="N6" i="4"/>
  <c r="O6" i="4" s="1"/>
  <c r="J6" i="4"/>
  <c r="N5" i="4"/>
  <c r="O5" i="4" s="1"/>
  <c r="J5" i="4"/>
  <c r="N4" i="4"/>
  <c r="O4" i="4" s="1"/>
  <c r="J4" i="4"/>
  <c r="N3" i="4"/>
  <c r="O3" i="4" s="1"/>
  <c r="J3" i="4"/>
  <c r="N2" i="4"/>
  <c r="O2" i="4" s="1"/>
  <c r="J2" i="4"/>
  <c r="N38" i="3"/>
  <c r="O38" i="3" s="1"/>
  <c r="J38" i="3"/>
  <c r="O37" i="3"/>
  <c r="J37" i="3"/>
  <c r="N36" i="3"/>
  <c r="O36" i="3" s="1"/>
  <c r="J36" i="3"/>
  <c r="N35" i="3"/>
  <c r="O35" i="3" s="1"/>
  <c r="J35" i="3"/>
  <c r="N34" i="3"/>
  <c r="O34" i="3" s="1"/>
  <c r="J34" i="3"/>
  <c r="N33" i="3"/>
  <c r="O33" i="3" s="1"/>
  <c r="J33" i="3"/>
  <c r="N32" i="3"/>
  <c r="O32" i="3" s="1"/>
  <c r="J32" i="3"/>
  <c r="N31" i="3"/>
  <c r="O31" i="3" s="1"/>
  <c r="J31" i="3"/>
  <c r="J30" i="3"/>
  <c r="N29" i="3"/>
  <c r="O29" i="3" s="1"/>
  <c r="J29" i="3"/>
  <c r="N28" i="3"/>
  <c r="O28" i="3" s="1"/>
  <c r="J28" i="3"/>
  <c r="N27" i="3"/>
  <c r="O27" i="3" s="1"/>
  <c r="J27" i="3"/>
  <c r="N23" i="3"/>
  <c r="O23" i="3" s="1"/>
  <c r="J23" i="3"/>
  <c r="N22" i="3"/>
  <c r="O22" i="3" s="1"/>
  <c r="J22" i="3"/>
  <c r="N21" i="3"/>
  <c r="O21" i="3" s="1"/>
  <c r="J21" i="3"/>
  <c r="N20" i="3"/>
  <c r="O20" i="3" s="1"/>
  <c r="J20" i="3"/>
  <c r="N19" i="3"/>
  <c r="O19" i="3" s="1"/>
  <c r="J19" i="3"/>
  <c r="N18" i="3"/>
  <c r="O18" i="3" s="1"/>
  <c r="J18" i="3"/>
  <c r="N17" i="3"/>
  <c r="O17" i="3" s="1"/>
  <c r="J17" i="3"/>
  <c r="N16" i="3"/>
  <c r="O16" i="3" s="1"/>
  <c r="J16" i="3"/>
  <c r="N15" i="3"/>
  <c r="O15" i="3" s="1"/>
  <c r="J15" i="3"/>
  <c r="N14" i="3"/>
  <c r="O14" i="3" s="1"/>
  <c r="J14" i="3"/>
  <c r="N13" i="3"/>
  <c r="O13" i="3" s="1"/>
  <c r="J13" i="3"/>
  <c r="N12" i="3"/>
  <c r="O12" i="3" s="1"/>
  <c r="J12" i="3"/>
  <c r="N11" i="3"/>
  <c r="O11" i="3" s="1"/>
  <c r="J11" i="3"/>
  <c r="N6" i="3"/>
  <c r="O6" i="3" s="1"/>
  <c r="J6" i="3"/>
  <c r="N5" i="3"/>
  <c r="O5" i="3" s="1"/>
  <c r="J5" i="3"/>
  <c r="N2" i="3"/>
  <c r="O2" i="3" s="1"/>
  <c r="J2" i="3"/>
  <c r="N75" i="2"/>
  <c r="O75" i="2" s="1"/>
  <c r="J75" i="2"/>
  <c r="N52" i="2"/>
  <c r="O52" i="2" s="1"/>
  <c r="J52" i="2"/>
  <c r="N51" i="2"/>
  <c r="O51" i="2" s="1"/>
  <c r="J51" i="2"/>
  <c r="N50" i="2"/>
  <c r="O50" i="2" s="1"/>
  <c r="J50" i="2"/>
  <c r="N49" i="2"/>
  <c r="O49" i="2" s="1"/>
  <c r="J49" i="2"/>
  <c r="N48" i="2"/>
  <c r="O48" i="2" s="1"/>
  <c r="J48" i="2"/>
  <c r="N47" i="2"/>
  <c r="O47" i="2" s="1"/>
  <c r="J47" i="2"/>
  <c r="N45" i="2"/>
  <c r="O45" i="2" s="1"/>
  <c r="J45" i="2"/>
  <c r="N44" i="2"/>
  <c r="O44" i="2" s="1"/>
  <c r="J44" i="2"/>
  <c r="N43" i="2"/>
  <c r="O43" i="2" s="1"/>
  <c r="J43" i="2"/>
  <c r="N42" i="2"/>
  <c r="O42" i="2" s="1"/>
  <c r="J42" i="2"/>
  <c r="N41" i="2"/>
  <c r="O41" i="2" s="1"/>
  <c r="J41" i="2"/>
  <c r="N40" i="2"/>
  <c r="O40" i="2" s="1"/>
  <c r="J40" i="2"/>
  <c r="N39" i="2"/>
  <c r="O39" i="2" s="1"/>
  <c r="J39" i="2"/>
  <c r="N38" i="2"/>
  <c r="O38" i="2" s="1"/>
  <c r="J38" i="2"/>
  <c r="N37" i="2"/>
  <c r="O37" i="2" s="1"/>
  <c r="J37" i="2"/>
  <c r="N36" i="2"/>
  <c r="O36" i="2" s="1"/>
  <c r="J36" i="2"/>
  <c r="N35" i="2"/>
  <c r="O35" i="2" s="1"/>
  <c r="J35" i="2"/>
  <c r="N34" i="2"/>
  <c r="O34" i="2" s="1"/>
  <c r="J34" i="2"/>
  <c r="N31" i="2"/>
  <c r="O31" i="2" s="1"/>
  <c r="J31" i="2"/>
  <c r="N7" i="2"/>
  <c r="O7" i="2" s="1"/>
  <c r="J7" i="2"/>
  <c r="N6" i="2"/>
  <c r="O6" i="2" s="1"/>
  <c r="J6" i="2"/>
  <c r="N5" i="2"/>
  <c r="O5" i="2" s="1"/>
  <c r="J5" i="2"/>
  <c r="N4" i="2"/>
  <c r="O4" i="2" s="1"/>
  <c r="J4" i="2"/>
  <c r="N3" i="2"/>
  <c r="O3" i="2" s="1"/>
  <c r="J3" i="2"/>
  <c r="N2" i="2"/>
  <c r="O2" i="2" s="1"/>
  <c r="J2" i="2"/>
  <c r="N9" i="1" l="1"/>
  <c r="O9" i="1" s="1"/>
  <c r="N12" i="1"/>
  <c r="O12" i="1" s="1"/>
  <c r="N14" i="1"/>
  <c r="O14" i="1" s="1"/>
  <c r="N15" i="1"/>
  <c r="O15" i="1" s="1"/>
  <c r="N16" i="1"/>
  <c r="O16" i="1" s="1"/>
  <c r="N17" i="1"/>
  <c r="O17" i="1" s="1"/>
  <c r="N18" i="1"/>
  <c r="O18" i="1" s="1"/>
  <c r="N20" i="1"/>
  <c r="O20" i="1" s="1"/>
  <c r="N22" i="1"/>
  <c r="O22" i="1" s="1"/>
  <c r="N25" i="1"/>
  <c r="O25" i="1" s="1"/>
  <c r="N27" i="1"/>
  <c r="O27" i="1" s="1"/>
  <c r="N28" i="1"/>
  <c r="O28" i="1" s="1"/>
  <c r="N29" i="1"/>
  <c r="O29" i="1" s="1"/>
  <c r="N30" i="1"/>
  <c r="O30" i="1" s="1"/>
  <c r="N31" i="1"/>
  <c r="O31" i="1" s="1"/>
  <c r="N34" i="1"/>
  <c r="O34" i="1" s="1"/>
  <c r="N35" i="1"/>
  <c r="O35" i="1" s="1"/>
  <c r="N36" i="1"/>
  <c r="O36" i="1" s="1"/>
  <c r="N37" i="1"/>
  <c r="O37" i="1" s="1"/>
  <c r="N38" i="1"/>
  <c r="O38" i="1" s="1"/>
  <c r="N40" i="1"/>
  <c r="O40" i="1" s="1"/>
  <c r="N41" i="1"/>
  <c r="O41" i="1" s="1"/>
  <c r="N42" i="1"/>
  <c r="O42" i="1" s="1"/>
  <c r="N43" i="1"/>
  <c r="O43" i="1" s="1"/>
  <c r="N44" i="1"/>
  <c r="O44" i="1" s="1"/>
  <c r="N46" i="1"/>
  <c r="O46" i="1" s="1"/>
  <c r="N47" i="1"/>
  <c r="O47" i="1" s="1"/>
  <c r="N48" i="1"/>
  <c r="O48" i="1" s="1"/>
  <c r="N2" i="1"/>
  <c r="O2" i="1" s="1"/>
  <c r="J12" i="1"/>
  <c r="J14" i="1"/>
  <c r="J15" i="1"/>
  <c r="J16" i="1"/>
  <c r="J17" i="1"/>
  <c r="J18" i="1"/>
  <c r="J20" i="1"/>
  <c r="J22" i="1"/>
  <c r="J25" i="1"/>
  <c r="J27" i="1"/>
  <c r="J28" i="1"/>
  <c r="J29" i="1"/>
  <c r="J30" i="1"/>
  <c r="J31" i="1"/>
  <c r="J34" i="1"/>
  <c r="J35" i="1"/>
  <c r="J36" i="1"/>
  <c r="J37" i="1"/>
  <c r="J38" i="1"/>
  <c r="J40" i="1"/>
  <c r="J41" i="1"/>
  <c r="J42" i="1"/>
  <c r="J43" i="1"/>
  <c r="J44" i="1"/>
  <c r="J46" i="1"/>
  <c r="J47" i="1"/>
  <c r="J48" i="1"/>
  <c r="J9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EOC Medical</author>
  </authors>
  <commentList>
    <comment ref="H95" authorId="0" shapeId="0" xr:uid="{4714A45E-CF83-4A9B-80D4-203CBA981BD0}">
      <text>
        <r>
          <rPr>
            <sz val="9"/>
            <color indexed="81"/>
            <rFont val="Tahoma"/>
            <family val="2"/>
          </rPr>
          <t xml:space="preserve">
7 PCS TAKEN FROM SAMPLES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EOC Medical</author>
  </authors>
  <commentList>
    <comment ref="H55" authorId="0" shapeId="0" xr:uid="{863B7BF8-27EA-47E1-913F-CB6C83F88A01}">
      <text>
        <r>
          <rPr>
            <sz val="9"/>
            <color indexed="81"/>
            <rFont val="Tahoma"/>
            <family val="2"/>
          </rPr>
          <t xml:space="preserve">
50 PCS TAKEN FROM SAMPLES
</t>
        </r>
      </text>
    </comment>
    <comment ref="H88" authorId="0" shapeId="0" xr:uid="{43DE66A0-82DE-46F1-AA24-483A65B093E4}">
      <text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>12 PCS TAKEN FROM SAMPLES</t>
        </r>
      </text>
    </comment>
  </commentList>
</comments>
</file>

<file path=xl/sharedStrings.xml><?xml version="1.0" encoding="utf-8"?>
<sst xmlns="http://schemas.openxmlformats.org/spreadsheetml/2006/main" count="6077" uniqueCount="703">
  <si>
    <t>SN</t>
  </si>
  <si>
    <t xml:space="preserve">QTY </t>
  </si>
  <si>
    <t>PO NUM</t>
  </si>
  <si>
    <t>HOSPITAL NAME</t>
  </si>
  <si>
    <t>DN</t>
  </si>
  <si>
    <t>INV</t>
  </si>
  <si>
    <t>ITEM CODE</t>
  </si>
  <si>
    <t>UNIT PRICE</t>
  </si>
  <si>
    <t>TOTAL AMOUNT</t>
  </si>
  <si>
    <t>DESCRIPTION</t>
  </si>
  <si>
    <t>DATE</t>
  </si>
  <si>
    <t>DELIVERED QTY</t>
  </si>
  <si>
    <t>BALANCE</t>
  </si>
  <si>
    <t>STATUS</t>
  </si>
  <si>
    <t>COMPLETE</t>
  </si>
  <si>
    <t>INCOMPLETE</t>
  </si>
  <si>
    <t>1</t>
  </si>
  <si>
    <t>PENDING QTY</t>
  </si>
  <si>
    <t>2</t>
  </si>
  <si>
    <t>GARGASH HOSPITAL</t>
  </si>
  <si>
    <t>PO017929</t>
  </si>
  <si>
    <t>4001D</t>
  </si>
  <si>
    <t>TD01</t>
  </si>
  <si>
    <t>SKIN MARKER DOUBLE SIDE</t>
  </si>
  <si>
    <t>GSS2212</t>
  </si>
  <si>
    <t>GSS4412</t>
  </si>
  <si>
    <t>Gauze Swab Sterile 5x5</t>
  </si>
  <si>
    <t>Gauze Swab Sterile 10x10</t>
  </si>
  <si>
    <t>MEDICLINIC AIRPORT ROAD</t>
  </si>
  <si>
    <t>5700519961</t>
  </si>
  <si>
    <t>BOV-300-M</t>
  </si>
  <si>
    <t>SCD Sleeves, Thigh Length Medium</t>
  </si>
  <si>
    <t>MOORFIELDS EYE HOSPITAL CENTER</t>
  </si>
  <si>
    <t>PO-ME-25-00849</t>
  </si>
  <si>
    <t>LDS</t>
  </si>
  <si>
    <t>7070049997</t>
  </si>
  <si>
    <t>BOV-300-L</t>
  </si>
  <si>
    <t>SCD Sleeves, Thigh Length Large</t>
  </si>
  <si>
    <t>3</t>
  </si>
  <si>
    <t>4002D</t>
  </si>
  <si>
    <t>BOV-301-L</t>
  </si>
  <si>
    <t>SCD Sleeves, Below Knee Large</t>
  </si>
  <si>
    <t>7070046005</t>
  </si>
  <si>
    <t>4003D</t>
  </si>
  <si>
    <t>IOB-004</t>
  </si>
  <si>
    <t>Adult Full Body Blanket</t>
  </si>
  <si>
    <t>7070046804</t>
  </si>
  <si>
    <t>4004D</t>
  </si>
  <si>
    <t>IOB-028</t>
  </si>
  <si>
    <t>Infant Under Body Blanket</t>
  </si>
  <si>
    <t>AL ZAHRA</t>
  </si>
  <si>
    <t>PO000000062583</t>
  </si>
  <si>
    <t>IOB-003</t>
  </si>
  <si>
    <t>Adult Upper Body Blanket</t>
  </si>
  <si>
    <t>4</t>
  </si>
  <si>
    <t>PO000000064104</t>
  </si>
  <si>
    <t>6121L</t>
  </si>
  <si>
    <t>Stocking - TL - L</t>
  </si>
  <si>
    <t>PO000000063145</t>
  </si>
  <si>
    <t>6121XL</t>
  </si>
  <si>
    <t>6121XXL</t>
  </si>
  <si>
    <t>Stocking - TL - XL</t>
  </si>
  <si>
    <t>Stocking - TL - XXL</t>
  </si>
  <si>
    <t>AHALIA</t>
  </si>
  <si>
    <t>PO44786</t>
  </si>
  <si>
    <t>BOV-301-XL</t>
  </si>
  <si>
    <t>SCD Sleeves, Below Knee X-Large</t>
  </si>
  <si>
    <t>MEDICLINIC CITY</t>
  </si>
  <si>
    <t>5700520719</t>
  </si>
  <si>
    <t>5</t>
  </si>
  <si>
    <t>PHOENIX</t>
  </si>
  <si>
    <t>PH12716</t>
  </si>
  <si>
    <t>6</t>
  </si>
  <si>
    <t>AMERICAN ACADEMY</t>
  </si>
  <si>
    <t>PO23457</t>
  </si>
  <si>
    <t>GSS4412X</t>
  </si>
  <si>
    <t>Gauze Swab Sterile 10x10 / X-RAY</t>
  </si>
  <si>
    <t>ADAM VITAL</t>
  </si>
  <si>
    <t>PO009190</t>
  </si>
  <si>
    <t>TR03</t>
  </si>
  <si>
    <t>Skin Marker - Single Side</t>
  </si>
  <si>
    <t>AMERICAN SPINE CENTER</t>
  </si>
  <si>
    <t>PO293</t>
  </si>
  <si>
    <t>6204</t>
  </si>
  <si>
    <t>Sterile Reinforced Surgical Gowns - XX Large</t>
  </si>
  <si>
    <t>7</t>
  </si>
  <si>
    <t>ASTER - QUSAIS</t>
  </si>
  <si>
    <t>AH/UAE-PO100140976</t>
  </si>
  <si>
    <t>8</t>
  </si>
  <si>
    <t>5700521167</t>
  </si>
  <si>
    <t>9</t>
  </si>
  <si>
    <t>REEM</t>
  </si>
  <si>
    <t>4600013286</t>
  </si>
  <si>
    <t>PO000000062649</t>
  </si>
  <si>
    <t>4005D</t>
  </si>
  <si>
    <t>SHEIKH KHALIFA</t>
  </si>
  <si>
    <t>SKGH-0004841-PO</t>
  </si>
  <si>
    <t>PO000000061535</t>
  </si>
  <si>
    <t>4006D</t>
  </si>
  <si>
    <t>BOV-300-S</t>
  </si>
  <si>
    <t>SCD Sleeves, Thigh Length Small</t>
  </si>
  <si>
    <t>4600013582</t>
  </si>
  <si>
    <t>VALIANT</t>
  </si>
  <si>
    <t>VAL-26-MM-0004</t>
  </si>
  <si>
    <t>6121S</t>
  </si>
  <si>
    <t>Stocking - TL - S</t>
  </si>
  <si>
    <t>6121M</t>
  </si>
  <si>
    <t>Stocking - TL - M</t>
  </si>
  <si>
    <t>10</t>
  </si>
  <si>
    <t>FAKEEH</t>
  </si>
  <si>
    <t>4500055922</t>
  </si>
  <si>
    <t>IOB-007</t>
  </si>
  <si>
    <t>Pediatric Full Body Blanket</t>
  </si>
  <si>
    <t>PHARMA LIGHT</t>
  </si>
  <si>
    <t>6700010054</t>
  </si>
  <si>
    <t>11</t>
  </si>
  <si>
    <t>5700482329</t>
  </si>
  <si>
    <t>IOB-002</t>
  </si>
  <si>
    <t>Adult Lower Body Blanket</t>
  </si>
  <si>
    <t>4500055578</t>
  </si>
  <si>
    <t>YC.002</t>
  </si>
  <si>
    <t>Ultrasound Gel 250ml - Blue</t>
  </si>
  <si>
    <t>MPOZMM2026000152</t>
  </si>
  <si>
    <t>ZULEKHA MEDICINE &amp; MEDICAL</t>
  </si>
  <si>
    <t>PO23496</t>
  </si>
  <si>
    <t>BOV-301-M</t>
  </si>
  <si>
    <t>SCD Sleeves, Below Knee Medium</t>
  </si>
  <si>
    <t>PO23497</t>
  </si>
  <si>
    <t>12</t>
  </si>
  <si>
    <t>PO018795</t>
  </si>
  <si>
    <t>HMS MIRDIF</t>
  </si>
  <si>
    <t>LPOMUIN2600167</t>
  </si>
  <si>
    <t>PRIME MEDICAL</t>
  </si>
  <si>
    <t>4009D</t>
  </si>
  <si>
    <t>4008D</t>
  </si>
  <si>
    <t>4007D</t>
  </si>
  <si>
    <t>GS4412</t>
  </si>
  <si>
    <t>GS2212</t>
  </si>
  <si>
    <t>Gauze Swab Non-Sterile 10x10</t>
  </si>
  <si>
    <t>Gauze Swab Non-Sterile 5x5</t>
  </si>
  <si>
    <t>CM631</t>
  </si>
  <si>
    <t>WU-007</t>
  </si>
  <si>
    <t>13</t>
  </si>
  <si>
    <t>KANAD HOSPITAL</t>
  </si>
  <si>
    <t>4200007659</t>
  </si>
  <si>
    <t>SAUDI GERMAN - DUBAI</t>
  </si>
  <si>
    <t>PO202506239</t>
  </si>
  <si>
    <t>PO23530</t>
  </si>
  <si>
    <t>14</t>
  </si>
  <si>
    <t>5700522651</t>
  </si>
  <si>
    <t>YC.001</t>
  </si>
  <si>
    <t>Ultrasound Gel 250ml - Clear</t>
  </si>
  <si>
    <t>15</t>
  </si>
  <si>
    <t>5700522615</t>
  </si>
  <si>
    <t>Surgical Access Blanket</t>
  </si>
  <si>
    <t>IOB-016</t>
  </si>
  <si>
    <t>AH/UAE-PO100141627</t>
  </si>
  <si>
    <t>IOB AIR HOSE WITH SENSOR ONE CORD</t>
  </si>
  <si>
    <t>IMH</t>
  </si>
  <si>
    <t>MPOIMH2026000289</t>
  </si>
  <si>
    <t>16</t>
  </si>
  <si>
    <t>5700523269</t>
  </si>
  <si>
    <t>PO019180</t>
  </si>
  <si>
    <t>17</t>
  </si>
  <si>
    <t>5700523566</t>
  </si>
  <si>
    <t>4010D</t>
  </si>
  <si>
    <t>18</t>
  </si>
  <si>
    <t>PO45030</t>
  </si>
  <si>
    <t>5000001032</t>
  </si>
  <si>
    <t>NH_NSH_PO4103</t>
  </si>
  <si>
    <t>19</t>
  </si>
  <si>
    <t>PO23572</t>
  </si>
  <si>
    <t>20</t>
  </si>
  <si>
    <t>PH12836</t>
  </si>
  <si>
    <t>PH12881</t>
  </si>
  <si>
    <t>MH/PO111257</t>
  </si>
  <si>
    <t>PO52471</t>
  </si>
  <si>
    <t>21</t>
  </si>
  <si>
    <t>4200007711</t>
  </si>
  <si>
    <t>PO009328</t>
  </si>
  <si>
    <t>AL SHARQ HEALTHCARE</t>
  </si>
  <si>
    <t>4700052411</t>
  </si>
  <si>
    <t>Swab Applicator 26ML</t>
  </si>
  <si>
    <t>22</t>
  </si>
  <si>
    <t>4500056102</t>
  </si>
  <si>
    <t>018140</t>
  </si>
  <si>
    <t>PO018140</t>
  </si>
  <si>
    <t>LPOMUIN2600308</t>
  </si>
  <si>
    <t>PO000000054665</t>
  </si>
  <si>
    <t>4011D</t>
  </si>
  <si>
    <t>PO000000063516</t>
  </si>
  <si>
    <t>4100002257</t>
  </si>
  <si>
    <t>PO019352</t>
  </si>
  <si>
    <t>5700524899</t>
  </si>
  <si>
    <t>23</t>
  </si>
  <si>
    <t>PO23609</t>
  </si>
  <si>
    <t>RSMMSB4590</t>
  </si>
  <si>
    <t>45gsm SMS Wrapping Sheet 90cm x 90cm</t>
  </si>
  <si>
    <t>MPOIMH2026000515</t>
  </si>
  <si>
    <t>MH/PO109843</t>
  </si>
  <si>
    <t>VAL-26-MM-0031</t>
  </si>
  <si>
    <t>24</t>
  </si>
  <si>
    <t>7070047092</t>
  </si>
  <si>
    <t>25</t>
  </si>
  <si>
    <t>7070055413</t>
  </si>
  <si>
    <t>26</t>
  </si>
  <si>
    <t>PO43465</t>
  </si>
  <si>
    <t>4012D</t>
  </si>
  <si>
    <t>4013D</t>
  </si>
  <si>
    <t>4014D</t>
  </si>
  <si>
    <t>27</t>
  </si>
  <si>
    <t>PO000000064467</t>
  </si>
  <si>
    <t>28</t>
  </si>
  <si>
    <t>4500056773</t>
  </si>
  <si>
    <t>29</t>
  </si>
  <si>
    <t>30</t>
  </si>
  <si>
    <t>CENTRAL HOSPITAL</t>
  </si>
  <si>
    <t>MPOCH20260000181</t>
  </si>
  <si>
    <t>EMIRATES HOSPITALS GROUP</t>
  </si>
  <si>
    <t>PO1082256,0</t>
  </si>
  <si>
    <t>31</t>
  </si>
  <si>
    <t>5700525791</t>
  </si>
  <si>
    <t>4015D</t>
  </si>
  <si>
    <t>PO018217</t>
  </si>
  <si>
    <t>PO009075</t>
  </si>
  <si>
    <t>DANAT AL EMARAT</t>
  </si>
  <si>
    <t>DAE.PO.1146</t>
  </si>
  <si>
    <t>32</t>
  </si>
  <si>
    <t>PO009413</t>
  </si>
  <si>
    <t>PO23616</t>
  </si>
  <si>
    <t>33</t>
  </si>
  <si>
    <t>PO45346</t>
  </si>
  <si>
    <t>4500056339</t>
  </si>
  <si>
    <t>34</t>
  </si>
  <si>
    <t>ASTER - MANKHOOL</t>
  </si>
  <si>
    <t>AH/UAE-PO100142772</t>
  </si>
  <si>
    <t>AL TADAWI SPECIALTY</t>
  </si>
  <si>
    <t>PON000000011065</t>
  </si>
  <si>
    <t>PON000000008615</t>
  </si>
  <si>
    <t>35</t>
  </si>
  <si>
    <t>VAL-26-MM-0010</t>
  </si>
  <si>
    <t>4200007849</t>
  </si>
  <si>
    <t>CASH PATIENT - CRISTY VARGHESE</t>
  </si>
  <si>
    <t>NO PO</t>
  </si>
  <si>
    <t>LBTK-DQG-7</t>
  </si>
  <si>
    <t>AIRTUBE FOR LABTEK</t>
  </si>
  <si>
    <t>PO019610</t>
  </si>
  <si>
    <t>PO23654</t>
  </si>
  <si>
    <t>4016D</t>
  </si>
  <si>
    <t>36</t>
  </si>
  <si>
    <t>PO000000065446</t>
  </si>
  <si>
    <t>PO000000065996</t>
  </si>
  <si>
    <t>MH/PO113295</t>
  </si>
  <si>
    <t>37</t>
  </si>
  <si>
    <t>PO009479</t>
  </si>
  <si>
    <t>IOB-008</t>
  </si>
  <si>
    <t>Postoperative Full Body Surgical Blanket</t>
  </si>
  <si>
    <t>MEDICLINIC AL JAWHARA</t>
  </si>
  <si>
    <t>5700527304</t>
  </si>
  <si>
    <t>4017D</t>
  </si>
  <si>
    <t>38</t>
  </si>
  <si>
    <t>PO009491</t>
  </si>
  <si>
    <t>PO018272</t>
  </si>
  <si>
    <t>VAL-26-MM-0066</t>
  </si>
  <si>
    <t>INV/DAE-2026/4002D - DAE.PO.1146 - DANAL AL EMARAT 
BOV-301-XL (30 PCS) PREPARED INSTEAD OF BOV-301-L,
REASON: LOW STOCK</t>
  </si>
  <si>
    <t>39</t>
  </si>
  <si>
    <t>PO009514</t>
  </si>
  <si>
    <t>40</t>
  </si>
  <si>
    <t>PO23677</t>
  </si>
  <si>
    <t>4018D</t>
  </si>
  <si>
    <t>PO000000060690</t>
  </si>
  <si>
    <t>4019D</t>
  </si>
  <si>
    <t>4020D</t>
  </si>
  <si>
    <t>PO000000066116</t>
  </si>
  <si>
    <t>4021D</t>
  </si>
  <si>
    <t>4022D</t>
  </si>
  <si>
    <t>7070054835</t>
  </si>
  <si>
    <t>41</t>
  </si>
  <si>
    <t>MPOCH20260000251</t>
  </si>
  <si>
    <t>42</t>
  </si>
  <si>
    <t>PO23687</t>
  </si>
  <si>
    <t>PO000000066172</t>
  </si>
  <si>
    <t>4026D</t>
  </si>
  <si>
    <t>PO000000065348</t>
  </si>
  <si>
    <t>4025D</t>
  </si>
  <si>
    <t>4024D</t>
  </si>
  <si>
    <t>4023D</t>
  </si>
  <si>
    <t>43</t>
  </si>
  <si>
    <t>5700526618</t>
  </si>
  <si>
    <t>44</t>
  </si>
  <si>
    <t>5700527161</t>
  </si>
  <si>
    <t>5700527980</t>
  </si>
  <si>
    <t>5700528511</t>
  </si>
  <si>
    <t>5700528965</t>
  </si>
  <si>
    <t>45</t>
  </si>
  <si>
    <t>5700529009</t>
  </si>
  <si>
    <t>7070034648</t>
  </si>
  <si>
    <t>46</t>
  </si>
  <si>
    <t>PO1082859,0</t>
  </si>
  <si>
    <t>47</t>
  </si>
  <si>
    <t>5700529284</t>
  </si>
  <si>
    <t>VAL-26-MM-0089</t>
  </si>
  <si>
    <t>5700529593</t>
  </si>
  <si>
    <t>MPOIMH2026000934</t>
  </si>
  <si>
    <t>48</t>
  </si>
  <si>
    <t>5700529923</t>
  </si>
  <si>
    <t>4027D</t>
  </si>
  <si>
    <t>49</t>
  </si>
  <si>
    <t>PO23732</t>
  </si>
  <si>
    <t>RSMMSB6075</t>
  </si>
  <si>
    <t>60gsm SMS Wrapping Sheet 75cm x 75cm</t>
  </si>
  <si>
    <t>50</t>
  </si>
  <si>
    <t>PO009603</t>
  </si>
  <si>
    <t>51</t>
  </si>
  <si>
    <t>AH/UAE-PO100144376</t>
  </si>
  <si>
    <t>52</t>
  </si>
  <si>
    <t>5700530627</t>
  </si>
  <si>
    <t>4028D</t>
  </si>
  <si>
    <t>PO000000061894</t>
  </si>
  <si>
    <t>LBTK502-L</t>
  </si>
  <si>
    <t>COMPRESSION CALF SCD SLEEVES - LARGE</t>
  </si>
  <si>
    <t>MEDEOR ABU DHABI</t>
  </si>
  <si>
    <t>PO23759</t>
  </si>
  <si>
    <t>53</t>
  </si>
  <si>
    <t>5700531390</t>
  </si>
  <si>
    <t>4029D</t>
  </si>
  <si>
    <t>AL SHARQ - DIBBA</t>
  </si>
  <si>
    <t>COSMOMED HOSPITAL FOR ONE DAY SURGERY</t>
  </si>
  <si>
    <t>HARLEY STREET MEDICAL CENTRE</t>
  </si>
  <si>
    <t>MEDCARE HOSPITAL</t>
  </si>
  <si>
    <t>NOVOMED HOSPITAL</t>
  </si>
  <si>
    <t>54</t>
  </si>
  <si>
    <t>5700531972</t>
  </si>
  <si>
    <t>4030D</t>
  </si>
  <si>
    <t>LBTK500-M</t>
  </si>
  <si>
    <t>LBTK500-L</t>
  </si>
  <si>
    <t>LBTK502-M</t>
  </si>
  <si>
    <t>COMPRESSION THIGH SCD SLEEVES - MEDIUM</t>
  </si>
  <si>
    <t>COMPRESSION THIGH SCD SLEEVES - LARGE</t>
  </si>
  <si>
    <t>COMPRESSION CALF SCD SLEEVES - MEDIUM</t>
  </si>
  <si>
    <t>55</t>
  </si>
  <si>
    <t>7070056832</t>
  </si>
  <si>
    <t>5700532001</t>
  </si>
  <si>
    <t>4031D</t>
  </si>
  <si>
    <t>MPOZMM2026002246</t>
  </si>
  <si>
    <t>56</t>
  </si>
  <si>
    <t>4500057055</t>
  </si>
  <si>
    <t>PO018590</t>
  </si>
  <si>
    <t>57</t>
  </si>
  <si>
    <t>4500000583</t>
  </si>
  <si>
    <t>58</t>
  </si>
  <si>
    <t>PO23800</t>
  </si>
  <si>
    <t>5700532548</t>
  </si>
  <si>
    <t>4032D</t>
  </si>
  <si>
    <t>59</t>
  </si>
  <si>
    <t>5700532807</t>
  </si>
  <si>
    <t>4033D</t>
  </si>
  <si>
    <t>60</t>
  </si>
  <si>
    <t>PON000000012607</t>
  </si>
  <si>
    <t>VAL-26-MM-00113</t>
  </si>
  <si>
    <t>MPOIMH2026001254</t>
  </si>
  <si>
    <t>NH_NSH_PO4552</t>
  </si>
  <si>
    <t>PO018648</t>
  </si>
  <si>
    <t>MH/PO117167</t>
  </si>
  <si>
    <t>61</t>
  </si>
  <si>
    <t>AH/UAE-PO100145467</t>
  </si>
  <si>
    <t>PO009735</t>
  </si>
  <si>
    <t>62</t>
  </si>
  <si>
    <t>AH/UAE-PO100145714</t>
  </si>
  <si>
    <t>PO45993</t>
  </si>
  <si>
    <t>PO45817</t>
  </si>
  <si>
    <t>PO018713</t>
  </si>
  <si>
    <t>7070038683</t>
  </si>
  <si>
    <t>GSS3312</t>
  </si>
  <si>
    <t>Gauze Swab Sterile 7.5x7.5</t>
  </si>
  <si>
    <t>7070036326</t>
  </si>
  <si>
    <t>6700010587</t>
  </si>
  <si>
    <t>4034D</t>
  </si>
  <si>
    <t>63</t>
  </si>
  <si>
    <t>01RH-LPO-2025-00001975</t>
  </si>
  <si>
    <t>SALMA REHABILITATION HOSPITAL - RAHBA</t>
  </si>
  <si>
    <t>5700534055</t>
  </si>
  <si>
    <t>4036D</t>
  </si>
  <si>
    <t>BURJEEL ROYAL HOSPITAL - AL AIN</t>
  </si>
  <si>
    <t>4060052851</t>
  </si>
  <si>
    <t>LBTK500-S</t>
  </si>
  <si>
    <t>COMPRESSION THIGH SCD SLEEVES - SMALL</t>
  </si>
  <si>
    <t>Full Access Under Body Blanket</t>
  </si>
  <si>
    <t>IOB-006</t>
  </si>
  <si>
    <t>7070052479</t>
  </si>
  <si>
    <t>PO020374</t>
  </si>
  <si>
    <t>PO020431</t>
  </si>
  <si>
    <t>64</t>
  </si>
  <si>
    <t>PO23846</t>
  </si>
  <si>
    <t>OBS-MW</t>
  </si>
  <si>
    <t>STERILE DISPOSABLE SKIN STAPLER</t>
  </si>
  <si>
    <t>7070059942</t>
  </si>
  <si>
    <t>4037D</t>
  </si>
  <si>
    <t>4035D</t>
  </si>
  <si>
    <t>SKGH-0008829-PO</t>
  </si>
  <si>
    <t>PO020546</t>
  </si>
  <si>
    <t>4700053381</t>
  </si>
  <si>
    <t>5700535004</t>
  </si>
  <si>
    <t>65</t>
  </si>
  <si>
    <t>4500001828</t>
  </si>
  <si>
    <t>6700010823</t>
  </si>
  <si>
    <t>4038D</t>
  </si>
  <si>
    <t>66</t>
  </si>
  <si>
    <t>PO46404</t>
  </si>
  <si>
    <t>67</t>
  </si>
  <si>
    <t>68</t>
  </si>
  <si>
    <t>5700535277</t>
  </si>
  <si>
    <t>4039D</t>
  </si>
  <si>
    <t>PO020265</t>
  </si>
  <si>
    <t>69</t>
  </si>
  <si>
    <t>PO009819</t>
  </si>
  <si>
    <t>PO23870</t>
  </si>
  <si>
    <t>4600012820</t>
  </si>
  <si>
    <t>PO46552</t>
  </si>
  <si>
    <t>SALMA REHABILITATION HOSPITAL - CHILDREN</t>
  </si>
  <si>
    <t>01-LPO-2026-00003429</t>
  </si>
  <si>
    <t>MEDICLINIC WELCARE</t>
  </si>
  <si>
    <t>5700527020</t>
  </si>
  <si>
    <t>5700529532</t>
  </si>
  <si>
    <t>MPOZMM2026003113</t>
  </si>
  <si>
    <t>70</t>
  </si>
  <si>
    <t>5700535912</t>
  </si>
  <si>
    <t>4040D</t>
  </si>
  <si>
    <t>IOB-012</t>
  </si>
  <si>
    <t>Pediatric Lower Body Blanket</t>
  </si>
  <si>
    <t>71</t>
  </si>
  <si>
    <t>AH/UAE-PO100146602</t>
  </si>
  <si>
    <t>72</t>
  </si>
  <si>
    <t>4600014466</t>
  </si>
  <si>
    <t>5700536806</t>
  </si>
  <si>
    <t>4041D</t>
  </si>
  <si>
    <t>4042D</t>
  </si>
  <si>
    <t>PO009843</t>
  </si>
  <si>
    <t>5700536483</t>
  </si>
  <si>
    <t>PO018874</t>
  </si>
  <si>
    <t>MPOIMH2026001633</t>
  </si>
  <si>
    <t>73</t>
  </si>
  <si>
    <t>PO23889</t>
  </si>
  <si>
    <t>74</t>
  </si>
  <si>
    <t>PO45998</t>
  </si>
  <si>
    <t>75</t>
  </si>
  <si>
    <t>5700536842</t>
  </si>
  <si>
    <t>4043D</t>
  </si>
  <si>
    <t>76</t>
  </si>
  <si>
    <t>5700537077</t>
  </si>
  <si>
    <t>4044D</t>
  </si>
  <si>
    <t>77</t>
  </si>
  <si>
    <t>PO009862</t>
  </si>
  <si>
    <t>4500059132</t>
  </si>
  <si>
    <t>PO018904</t>
  </si>
  <si>
    <t>78</t>
  </si>
  <si>
    <t>PO46676</t>
  </si>
  <si>
    <t>79</t>
  </si>
  <si>
    <t>AH/UAE-PO100147134</t>
  </si>
  <si>
    <t>80</t>
  </si>
  <si>
    <t>AH/UAE-PO100147189</t>
  </si>
  <si>
    <t>81</t>
  </si>
  <si>
    <t>MPOCH20260000558</t>
  </si>
  <si>
    <t>PO020800</t>
  </si>
  <si>
    <t>WE DELIVERED TD01 INSTEAD OF TR03, REASON: NO STOCK</t>
  </si>
  <si>
    <t>5700538129</t>
  </si>
  <si>
    <t>4045D</t>
  </si>
  <si>
    <t>DAE.PO.1863</t>
  </si>
  <si>
    <t>5700538336</t>
  </si>
  <si>
    <t>4046D</t>
  </si>
  <si>
    <t>PO020941</t>
  </si>
  <si>
    <t>PO020924</t>
  </si>
  <si>
    <t>MPOIMH2026001924</t>
  </si>
  <si>
    <t>BOV-301-S</t>
  </si>
  <si>
    <t>SCD Sleeves, Below Knee Small</t>
  </si>
  <si>
    <t>DAE.PO.2188</t>
  </si>
  <si>
    <t>82</t>
  </si>
  <si>
    <t>4500004220</t>
  </si>
  <si>
    <t>4047D</t>
  </si>
  <si>
    <t>PO021012</t>
  </si>
  <si>
    <t>PO389</t>
  </si>
  <si>
    <t>83</t>
  </si>
  <si>
    <t>PO23947</t>
  </si>
  <si>
    <t>4048D</t>
  </si>
  <si>
    <t>84</t>
  </si>
  <si>
    <t>5700539180</t>
  </si>
  <si>
    <t>PO009936</t>
  </si>
  <si>
    <t>4700053776</t>
  </si>
  <si>
    <t>4049D</t>
  </si>
  <si>
    <t>PO009955</t>
  </si>
  <si>
    <t>4500004621</t>
  </si>
  <si>
    <t>4600014585</t>
  </si>
  <si>
    <t>PON000000013375</t>
  </si>
  <si>
    <t>85</t>
  </si>
  <si>
    <t>PH13390</t>
  </si>
  <si>
    <t>PO019006</t>
  </si>
  <si>
    <t>86</t>
  </si>
  <si>
    <t>5700539993</t>
  </si>
  <si>
    <t>4050D</t>
  </si>
  <si>
    <t>PO021121</t>
  </si>
  <si>
    <t>87</t>
  </si>
  <si>
    <t>PO24008</t>
  </si>
  <si>
    <t>MH/PO121332</t>
  </si>
  <si>
    <t>7070060177</t>
  </si>
  <si>
    <t>4051D</t>
  </si>
  <si>
    <t>4052D</t>
  </si>
  <si>
    <t>4053D</t>
  </si>
  <si>
    <t>LPOMUIN2601690</t>
  </si>
  <si>
    <t>PO1084450,0</t>
  </si>
  <si>
    <t>PO019075</t>
  </si>
  <si>
    <t>5700540486</t>
  </si>
  <si>
    <t>5700540451</t>
  </si>
  <si>
    <t>PO47148</t>
  </si>
  <si>
    <t>IMH2026000070</t>
  </si>
  <si>
    <t>88</t>
  </si>
  <si>
    <t>01RH-LPO-2026-00002203</t>
  </si>
  <si>
    <t>89</t>
  </si>
  <si>
    <t>01-LPO-2026-00003546</t>
  </si>
  <si>
    <t>PO009990</t>
  </si>
  <si>
    <t>90</t>
  </si>
  <si>
    <t>PO1083167,0</t>
  </si>
  <si>
    <t>91</t>
  </si>
  <si>
    <t>SALMA REHABILITATION HOSPITAL - SKMC</t>
  </si>
  <si>
    <t>01SK-LPO-2026-00002156</t>
  </si>
  <si>
    <t>MH/PO121573</t>
  </si>
  <si>
    <t>92</t>
  </si>
  <si>
    <t>PO009973</t>
  </si>
  <si>
    <t>PO1085007,0</t>
  </si>
  <si>
    <t>PO1078713,0</t>
  </si>
  <si>
    <t>93</t>
  </si>
  <si>
    <t>4500059533</t>
  </si>
  <si>
    <t>WE DELIVERED YC.001 INSTEAD OF YC.002, REASON: LOW STOCK</t>
  </si>
  <si>
    <t>SALMA REHABILITATION HOSPITAL - TAWAM</t>
  </si>
  <si>
    <t>SALMA REHABILITATION HOSPITAL - DHAFRA</t>
  </si>
  <si>
    <t>94</t>
  </si>
  <si>
    <t>01TW-LPO-2026-00000214</t>
  </si>
  <si>
    <t>95</t>
  </si>
  <si>
    <t>01DH-LPO-2026-00001559</t>
  </si>
  <si>
    <t>96</t>
  </si>
  <si>
    <t>PO1085115,0</t>
  </si>
  <si>
    <t>CLEMENCEAU MEDICAL CENTER</t>
  </si>
  <si>
    <t>PO56621</t>
  </si>
  <si>
    <t>PO56622</t>
  </si>
  <si>
    <t>GS3312</t>
  </si>
  <si>
    <t>Gauze Swab Non-Sterile 7.5x7.5</t>
  </si>
  <si>
    <t>THIS ITEM IOB-007 REPLACED BY IOB-004 (DN-EMI-JUM-2026-4002D-REPLACEMENT 09-04-2026)</t>
  </si>
  <si>
    <t>7070062022</t>
  </si>
  <si>
    <t>4054D</t>
  </si>
  <si>
    <t>4055D</t>
  </si>
  <si>
    <t>ROSMETIC MEDICAL CENTER</t>
  </si>
  <si>
    <t>5000001299</t>
  </si>
  <si>
    <t>97</t>
  </si>
  <si>
    <t>5700541636</t>
  </si>
  <si>
    <t>4056D</t>
  </si>
  <si>
    <t>4057D</t>
  </si>
  <si>
    <t>4058D</t>
  </si>
  <si>
    <t>CANCELLED - NOT YET SCHEDULED FOR DELIVERY</t>
  </si>
  <si>
    <t>NULL</t>
  </si>
  <si>
    <t>4500007012</t>
  </si>
  <si>
    <t>5700541880</t>
  </si>
  <si>
    <t>98</t>
  </si>
  <si>
    <t>5700542265</t>
  </si>
  <si>
    <t>4059D</t>
  </si>
  <si>
    <t>PO1085323,0</t>
  </si>
  <si>
    <t>4060D</t>
  </si>
  <si>
    <t>PO021366</t>
  </si>
  <si>
    <t>VAL-26-MM-00184</t>
  </si>
  <si>
    <t>4061D</t>
  </si>
  <si>
    <t>99</t>
  </si>
  <si>
    <t>PO24093</t>
  </si>
  <si>
    <t>RSMMSB45100</t>
  </si>
  <si>
    <t>45gsm SMS Wrapping Sheet 100cm x 100cm</t>
  </si>
  <si>
    <t>100</t>
  </si>
  <si>
    <t>MEDICLINIC BOURN HALL</t>
  </si>
  <si>
    <t>5700542733</t>
  </si>
  <si>
    <t>4062D</t>
  </si>
  <si>
    <t>4064D</t>
  </si>
  <si>
    <t>4063D</t>
  </si>
  <si>
    <t>5700543848</t>
  </si>
  <si>
    <t>MEDICLINIC DUBAI MALL</t>
  </si>
  <si>
    <t>101</t>
  </si>
  <si>
    <t>5700529629</t>
  </si>
  <si>
    <t>6700011077</t>
  </si>
  <si>
    <t>4068D</t>
  </si>
  <si>
    <t>4067D</t>
  </si>
  <si>
    <t>4066D</t>
  </si>
  <si>
    <t>102</t>
  </si>
  <si>
    <t>4065D</t>
  </si>
  <si>
    <t>103</t>
  </si>
  <si>
    <t>PO010137</t>
  </si>
  <si>
    <t>4069D</t>
  </si>
  <si>
    <t>104</t>
  </si>
  <si>
    <t>5700544598</t>
  </si>
  <si>
    <t>RAK HOSPITAL</t>
  </si>
  <si>
    <t>105</t>
  </si>
  <si>
    <t>PON000000026818</t>
  </si>
  <si>
    <t>4070D</t>
  </si>
  <si>
    <t>4071D</t>
  </si>
  <si>
    <t>106</t>
  </si>
  <si>
    <t>SALMA REHABILITATION HOSPITAL - AL AIN</t>
  </si>
  <si>
    <t>01AL-LPO-2026-00002525</t>
  </si>
  <si>
    <t>PO021596</t>
  </si>
  <si>
    <t>4072D</t>
  </si>
  <si>
    <t>4073D</t>
  </si>
  <si>
    <t>4500010716</t>
  </si>
  <si>
    <t>4076D</t>
  </si>
  <si>
    <t>4075D</t>
  </si>
  <si>
    <t>7070042089</t>
  </si>
  <si>
    <t>4074D</t>
  </si>
  <si>
    <t>4077D</t>
  </si>
  <si>
    <t>5700545653</t>
  </si>
  <si>
    <t>PO24220</t>
  </si>
  <si>
    <t>PO24221</t>
  </si>
  <si>
    <t>INV-DAE-2026-4007D - DANAT AL EMARAT - BOV-301-XL PREPARED INSTEAD OF BOV-301-L(LBTK502-L) - REASON: LOW STOCK</t>
  </si>
  <si>
    <t>4078D</t>
  </si>
  <si>
    <t>5700545921</t>
  </si>
  <si>
    <t>PO1085872,0</t>
  </si>
  <si>
    <t>5700546090</t>
  </si>
  <si>
    <t>MH/PO125080</t>
  </si>
  <si>
    <t>5700546499</t>
  </si>
  <si>
    <t>5700546520</t>
  </si>
  <si>
    <t>PO019439</t>
  </si>
  <si>
    <t>SKGH-0009538-PO</t>
  </si>
  <si>
    <t>VAL-26-MM-0216</t>
  </si>
  <si>
    <t>6102</t>
  </si>
  <si>
    <t>6103</t>
  </si>
  <si>
    <t>Sterile Standard Surgical Gowns - Large</t>
  </si>
  <si>
    <t>Sterile Standard Surgical Gowns - X-Large</t>
  </si>
  <si>
    <t>5700546850</t>
  </si>
  <si>
    <t>PO010242</t>
  </si>
  <si>
    <t>4700054407</t>
  </si>
  <si>
    <t>5700547189</t>
  </si>
  <si>
    <t>PO019484</t>
  </si>
  <si>
    <t>4081D</t>
  </si>
  <si>
    <t>4080D</t>
  </si>
  <si>
    <t>4079D</t>
  </si>
  <si>
    <t>5700547368</t>
  </si>
  <si>
    <t>5700545424</t>
  </si>
  <si>
    <t>4600014544</t>
  </si>
  <si>
    <t>4082D</t>
  </si>
  <si>
    <t>4083D</t>
  </si>
  <si>
    <t>LPOMUIN2601834</t>
  </si>
  <si>
    <t>7070064998</t>
  </si>
  <si>
    <t>4084D</t>
  </si>
  <si>
    <t>4085D</t>
  </si>
  <si>
    <t>PO24277</t>
  </si>
  <si>
    <t>PO24278</t>
  </si>
  <si>
    <t>PO24279</t>
  </si>
  <si>
    <t>PO55077</t>
  </si>
  <si>
    <t>PO55045</t>
  </si>
  <si>
    <t>4500060091</t>
  </si>
  <si>
    <t>5700547973</t>
  </si>
  <si>
    <t>DAE.PO.2986</t>
  </si>
  <si>
    <t>PO24301</t>
  </si>
  <si>
    <t>PO24302</t>
  </si>
  <si>
    <t>4087D</t>
  </si>
  <si>
    <t>4086D</t>
  </si>
  <si>
    <t>5700548601</t>
  </si>
  <si>
    <t>PO47946</t>
  </si>
  <si>
    <t>4088D</t>
  </si>
  <si>
    <t>4089D</t>
  </si>
  <si>
    <t>45000012339</t>
  </si>
  <si>
    <t>5700545546</t>
  </si>
  <si>
    <t>5700548775</t>
  </si>
  <si>
    <t>4090D</t>
  </si>
  <si>
    <t>4091D</t>
  </si>
  <si>
    <t>4092D</t>
  </si>
  <si>
    <t>4093D</t>
  </si>
  <si>
    <t>4094D</t>
  </si>
  <si>
    <t>PO019656</t>
  </si>
  <si>
    <t>PO1086502</t>
  </si>
  <si>
    <t>BOV-301-XL PREPARED INSTEAD OF BOV-301-L - REASON: LOW STOCK</t>
  </si>
  <si>
    <t>5700549535</t>
  </si>
  <si>
    <t>4500059096</t>
  </si>
  <si>
    <t>4500012339</t>
  </si>
  <si>
    <t>PO48086</t>
  </si>
  <si>
    <t>PO48081</t>
  </si>
  <si>
    <t>IMH2026000918</t>
  </si>
  <si>
    <t>PO010379</t>
  </si>
  <si>
    <t>PO022049</t>
  </si>
  <si>
    <t>5700550624</t>
  </si>
  <si>
    <t>4500013067</t>
  </si>
  <si>
    <t>LPOMUIN2602583</t>
  </si>
  <si>
    <t>PO24358</t>
  </si>
  <si>
    <t>7070066979</t>
  </si>
  <si>
    <t>4095D</t>
  </si>
  <si>
    <t>4096D</t>
  </si>
  <si>
    <t>PO010416</t>
  </si>
  <si>
    <t>5700551473</t>
  </si>
  <si>
    <t>4099D</t>
  </si>
  <si>
    <t>4097D</t>
  </si>
  <si>
    <t>4098D</t>
  </si>
  <si>
    <t>5700551086</t>
  </si>
  <si>
    <t>4100D</t>
  </si>
  <si>
    <t>4101D</t>
  </si>
  <si>
    <t>4102D</t>
  </si>
  <si>
    <t>PO24388</t>
  </si>
  <si>
    <t>VAL-26-MM-0299</t>
  </si>
  <si>
    <t>PO1086990,0</t>
  </si>
  <si>
    <t>REMARKS 1</t>
  </si>
  <si>
    <t>REMARKS 2</t>
  </si>
  <si>
    <r>
      <rPr>
        <b/>
        <sz val="8"/>
        <color theme="1"/>
        <rFont val="Calibri"/>
        <family val="2"/>
        <scheme val="minor"/>
      </rPr>
      <t>RSMMSB4590</t>
    </r>
    <r>
      <rPr>
        <sz val="8"/>
        <color theme="1"/>
        <rFont val="Calibri"/>
        <family val="2"/>
        <scheme val="minor"/>
      </rPr>
      <t xml:space="preserve"> prepared instead of RSMMSB6090. Reason: </t>
    </r>
    <r>
      <rPr>
        <b/>
        <sz val="8"/>
        <color theme="1"/>
        <rFont val="Calibri"/>
        <family val="2"/>
        <scheme val="minor"/>
      </rPr>
      <t>low stock of RSMMSB6090</t>
    </r>
  </si>
  <si>
    <r>
      <rPr>
        <b/>
        <sz val="8"/>
        <color theme="1"/>
        <rFont val="Calibri"/>
        <family val="2"/>
        <scheme val="minor"/>
      </rPr>
      <t>RSMMSB45100</t>
    </r>
    <r>
      <rPr>
        <sz val="8"/>
        <color theme="1"/>
        <rFont val="Calibri"/>
        <family val="2"/>
        <scheme val="minor"/>
      </rPr>
      <t xml:space="preserve"> prepared instead of RSMMSB6090. Reason: </t>
    </r>
    <r>
      <rPr>
        <b/>
        <sz val="8"/>
        <color theme="1"/>
        <rFont val="Calibri"/>
        <family val="2"/>
        <scheme val="minor"/>
      </rPr>
      <t>low stock of RSMMSB60100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</si>
</sst>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14C09]dd/mm/yyyy;@"/>
    <numFmt numFmtId="166" formatCode="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7" tint="0.79998168889431442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8"/>
      <color theme="1"/>
      <name val="Calibri"/>
      <family val="2"/>
    </font>
    <font>
      <b/>
      <sz val="8"/>
      <color theme="1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03B0D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48">
    <xf numFmtId="0" fontId="0" fillId="0" borderId="0" xfId="0"/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7" xfId="0" applyFont="1" applyBorder="1" applyAlignment="1">
      <alignment horizontal="center" vertical="center"/>
    </xf>
    <xf numFmtId="0" fontId="9" fillId="0" borderId="1" xfId="0" applyFont="1" applyBorder="1" applyAlignment="1">
      <alignment horizontal="left" wrapText="1"/>
    </xf>
    <xf numFmtId="49" fontId="5" fillId="0" borderId="0" xfId="0" applyNumberFormat="1" applyFont="1" applyAlignment="1">
      <alignment horizontal="left" vertical="center"/>
    </xf>
    <xf numFmtId="1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Continuous" vertical="center"/>
    </xf>
    <xf numFmtId="0" fontId="5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27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32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5" fillId="33" borderId="1" xfId="0" applyFont="1" applyFill="1" applyBorder="1" applyAlignment="1">
      <alignment horizontal="center" vertical="center"/>
    </xf>
    <xf numFmtId="0" fontId="5" fillId="28" borderId="1" xfId="0" applyFont="1" applyFill="1" applyBorder="1" applyAlignment="1">
      <alignment horizontal="center" vertical="center"/>
    </xf>
    <xf numFmtId="0" fontId="5" fillId="34" borderId="1" xfId="0" applyFont="1" applyFill="1" applyBorder="1" applyAlignment="1">
      <alignment horizontal="center" vertical="center"/>
    </xf>
    <xf numFmtId="0" fontId="5" fillId="37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38" borderId="1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center" vertical="center"/>
    </xf>
    <xf numFmtId="0" fontId="5" fillId="31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5" fillId="24" borderId="1" xfId="0" applyFont="1" applyFill="1" applyBorder="1" applyAlignment="1">
      <alignment horizontal="center" vertical="center"/>
    </xf>
    <xf numFmtId="0" fontId="5" fillId="29" borderId="1" xfId="0" applyFont="1" applyFill="1" applyBorder="1" applyAlignment="1">
      <alignment horizontal="center" vertical="center"/>
    </xf>
    <xf numFmtId="0" fontId="5" fillId="30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49" fontId="5" fillId="0" borderId="7" xfId="0" applyNumberFormat="1" applyFont="1" applyBorder="1" applyAlignment="1">
      <alignment horizontal="left" vertical="center"/>
    </xf>
    <xf numFmtId="1" fontId="5" fillId="0" borderId="7" xfId="0" applyNumberFormat="1" applyFont="1" applyBorder="1" applyAlignment="1">
      <alignment horizontal="center" vertical="center"/>
    </xf>
    <xf numFmtId="166" fontId="5" fillId="0" borderId="7" xfId="0" applyNumberFormat="1" applyFont="1" applyBorder="1" applyAlignment="1">
      <alignment horizontal="center" vertical="center"/>
    </xf>
    <xf numFmtId="4" fontId="5" fillId="3" borderId="7" xfId="0" applyNumberFormat="1" applyFont="1" applyFill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1" fontId="5" fillId="3" borderId="7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41" borderId="1" xfId="0" applyFont="1" applyFill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/>
    </xf>
    <xf numFmtId="0" fontId="5" fillId="35" borderId="1" xfId="0" applyFon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5" fillId="19" borderId="1" xfId="0" applyFont="1" applyFill="1" applyBorder="1" applyAlignment="1">
      <alignment horizontal="center" vertical="center"/>
    </xf>
    <xf numFmtId="0" fontId="5" fillId="40" borderId="1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/>
    </xf>
    <xf numFmtId="49" fontId="5" fillId="15" borderId="1" xfId="0" applyNumberFormat="1" applyFont="1" applyFill="1" applyBorder="1" applyAlignment="1">
      <alignment horizontal="center" vertical="center"/>
    </xf>
    <xf numFmtId="49" fontId="5" fillId="29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49" fontId="2" fillId="0" borderId="3" xfId="0" applyNumberFormat="1" applyFont="1" applyFill="1" applyBorder="1" applyAlignment="1">
      <alignment horizontal="center" vertical="center"/>
    </xf>
    <xf numFmtId="1" fontId="2" fillId="0" borderId="3" xfId="0" applyNumberFormat="1" applyFont="1" applyFill="1" applyBorder="1" applyAlignment="1">
      <alignment horizontal="center" vertical="center"/>
    </xf>
    <xf numFmtId="166" fontId="2" fillId="0" borderId="3" xfId="1" applyNumberFormat="1" applyFont="1" applyFill="1" applyBorder="1" applyAlignment="1">
      <alignment horizontal="center" vertical="center"/>
    </xf>
    <xf numFmtId="4" fontId="3" fillId="0" borderId="3" xfId="1" applyNumberFormat="1" applyFont="1" applyFill="1" applyBorder="1" applyAlignment="1">
      <alignment horizontal="center" vertical="center"/>
    </xf>
    <xf numFmtId="165" fontId="2" fillId="0" borderId="3" xfId="0" applyNumberFormat="1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/>
    </xf>
    <xf numFmtId="166" fontId="2" fillId="0" borderId="1" xfId="1" applyNumberFormat="1" applyFont="1" applyFill="1" applyBorder="1" applyAlignment="1">
      <alignment horizontal="center" vertical="center"/>
    </xf>
    <xf numFmtId="4" fontId="3" fillId="0" borderId="1" xfId="1" applyNumberFormat="1" applyFont="1" applyFill="1" applyBorder="1" applyAlignment="1">
      <alignment horizontal="center" vertical="center"/>
    </xf>
    <xf numFmtId="165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49" fontId="2" fillId="0" borderId="3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49" fontId="2" fillId="0" borderId="3" xfId="0" applyNumberFormat="1" applyFont="1" applyFill="1" applyBorder="1" applyAlignment="1">
      <alignment vertical="center"/>
    </xf>
    <xf numFmtId="1" fontId="2" fillId="0" borderId="3" xfId="0" applyNumberFormat="1" applyFont="1" applyFill="1" applyBorder="1" applyAlignment="1">
      <alignment vertical="center"/>
    </xf>
    <xf numFmtId="166" fontId="2" fillId="0" borderId="3" xfId="1" applyNumberFormat="1" applyFont="1" applyFill="1" applyBorder="1" applyAlignment="1">
      <alignment vertical="center"/>
    </xf>
    <xf numFmtId="4" fontId="3" fillId="0" borderId="3" xfId="1" applyNumberFormat="1" applyFont="1" applyFill="1" applyBorder="1" applyAlignment="1">
      <alignment vertical="center"/>
    </xf>
    <xf numFmtId="165" fontId="2" fillId="0" borderId="3" xfId="0" applyNumberFormat="1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/>
    </xf>
    <xf numFmtId="0" fontId="2" fillId="0" borderId="3" xfId="0" applyFont="1" applyFill="1" applyBorder="1" applyAlignment="1">
      <alignment vertical="center"/>
    </xf>
    <xf numFmtId="49" fontId="2" fillId="0" borderId="11" xfId="0" applyNumberFormat="1" applyFont="1" applyFill="1" applyBorder="1" applyAlignment="1">
      <alignment horizontal="center" vertical="center"/>
    </xf>
    <xf numFmtId="1" fontId="2" fillId="0" borderId="6" xfId="0" applyNumberFormat="1" applyFont="1" applyFill="1" applyBorder="1" applyAlignment="1">
      <alignment horizontal="center" vertical="center"/>
    </xf>
    <xf numFmtId="166" fontId="2" fillId="0" borderId="6" xfId="1" applyNumberFormat="1" applyFont="1" applyFill="1" applyBorder="1" applyAlignment="1">
      <alignment horizontal="center" vertical="center"/>
    </xf>
    <xf numFmtId="4" fontId="3" fillId="0" borderId="6" xfId="1" applyNumberFormat="1" applyFont="1" applyFill="1" applyBorder="1" applyAlignment="1">
      <alignment horizontal="center" vertical="center"/>
    </xf>
    <xf numFmtId="165" fontId="2" fillId="0" borderId="6" xfId="0" applyNumberFormat="1" applyFont="1" applyFill="1" applyBorder="1" applyAlignment="1">
      <alignment horizontal="center" vertical="center"/>
    </xf>
    <xf numFmtId="49" fontId="2" fillId="0" borderId="6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vertical="center"/>
    </xf>
    <xf numFmtId="49" fontId="5" fillId="28" borderId="5" xfId="0" applyNumberFormat="1" applyFont="1" applyFill="1" applyBorder="1" applyAlignment="1">
      <alignment horizontal="center" vertical="center"/>
    </xf>
    <xf numFmtId="49" fontId="5" fillId="27" borderId="5" xfId="0" applyNumberFormat="1" applyFont="1" applyFill="1" applyBorder="1" applyAlignment="1">
      <alignment horizontal="center" vertical="center"/>
    </xf>
    <xf numFmtId="49" fontId="5" fillId="27" borderId="13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2" fillId="0" borderId="12" xfId="0" applyFont="1" applyFill="1" applyBorder="1" applyAlignment="1">
      <alignment horizontal="center" vertical="center"/>
    </xf>
    <xf numFmtId="49" fontId="2" fillId="0" borderId="2" xfId="0" applyNumberFormat="1" applyFont="1" applyFill="1" applyBorder="1" applyAlignment="1">
      <alignment vertical="center"/>
    </xf>
    <xf numFmtId="49" fontId="4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left" vertical="center"/>
    </xf>
    <xf numFmtId="1" fontId="4" fillId="0" borderId="0" xfId="0" applyNumberFormat="1" applyFont="1" applyBorder="1" applyAlignment="1">
      <alignment horizontal="center" vertical="center"/>
    </xf>
    <xf numFmtId="166" fontId="4" fillId="0" borderId="0" xfId="0" applyNumberFormat="1" applyFont="1" applyBorder="1" applyAlignment="1">
      <alignment horizontal="center" vertical="center"/>
    </xf>
    <xf numFmtId="165" fontId="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4" fontId="4" fillId="0" borderId="0" xfId="0" applyNumberFormat="1" applyFont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/>
    <xf numFmtId="0" fontId="2" fillId="2" borderId="0" xfId="0" applyFont="1" applyFill="1" applyAlignment="1">
      <alignment horizontal="center"/>
    </xf>
    <xf numFmtId="0" fontId="4" fillId="0" borderId="0" xfId="0" applyFont="1"/>
    <xf numFmtId="0" fontId="2" fillId="2" borderId="8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/>
    </xf>
    <xf numFmtId="1" fontId="2" fillId="0" borderId="16" xfId="0" applyNumberFormat="1" applyFont="1" applyFill="1" applyBorder="1" applyAlignment="1">
      <alignment horizontal="center" vertical="center"/>
    </xf>
    <xf numFmtId="166" fontId="2" fillId="0" borderId="16" xfId="1" applyNumberFormat="1" applyFont="1" applyFill="1" applyBorder="1" applyAlignment="1">
      <alignment horizontal="center" vertical="center"/>
    </xf>
    <xf numFmtId="4" fontId="3" fillId="0" borderId="16" xfId="1" applyNumberFormat="1" applyFont="1" applyFill="1" applyBorder="1" applyAlignment="1">
      <alignment horizontal="center" vertical="center"/>
    </xf>
    <xf numFmtId="165" fontId="2" fillId="0" borderId="16" xfId="0" applyNumberFormat="1" applyFont="1" applyFill="1" applyBorder="1" applyAlignment="1">
      <alignment horizontal="center" vertical="center"/>
    </xf>
    <xf numFmtId="49" fontId="2" fillId="0" borderId="16" xfId="0" applyNumberFormat="1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49" fontId="2" fillId="0" borderId="15" xfId="0" applyNumberFormat="1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5" fillId="9" borderId="1" xfId="0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2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5" formatCode="[$-14C09]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5" formatCode="[$-14C09]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5" formatCode="[$-14C09]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none">
          <fgColor theme="9"/>
          <bgColor auto="1"/>
        </patternFill>
      </fill>
      <alignment horizontal="center" vertical="center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rgb="FF03B0D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rgb="FF03B0D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5" formatCode="[$-14C09]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5" formatCode="[$-14C09]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5" formatCode="[$-14C09]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5" formatCode="[$-14C09]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8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5" formatCode="[$-14C09]dd/mm/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0.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5" formatCode="[$-14C09]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5" formatCode="[$-14C09]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5" formatCode="[$-14C09]dd/m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4" formatCode="#,##0.00"/>
      <fill>
        <patternFill patternType="solid">
          <fgColor indexed="64"/>
          <bgColor theme="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66" formatCode="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8"/>
        <name val="Calibri"/>
        <family val="2"/>
      </font>
    </dxf>
  </dxfs>
  <tableStyles count="0" defaultTableStyle="TableStyleMedium2" defaultPivotStyle="PivotStyleLight16"/>
  <colors>
    <mruColors>
      <color rgb="FFCCFF66"/>
      <color rgb="FF03B0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F6BA18-B9F8-45A4-910E-8F5F9576BB05}" name="Table1" displayName="Table1" ref="A1:Q254" totalsRowShown="0" headerRowDxfId="131" dataDxfId="238">
  <autoFilter ref="A1:Q254" xr:uid="{5D458A45-E564-4FA8-8906-EA2BFEB336E9}"/>
  <tableColumns count="17">
    <tableColumn id="1" xr3:uid="{7FBCC149-88C5-4E49-8BE3-B26B30C4B7AF}" name="SN" dataDxfId="202"/>
    <tableColumn id="2" xr3:uid="{6C64F4E4-5D56-4F0F-B920-A4E3B7083042}" name="HOSPITAL NAME" dataDxfId="201"/>
    <tableColumn id="3" xr3:uid="{416B33C0-22B9-4A79-B56F-F663FCBDAA74}" name="PO NUM" dataDxfId="200"/>
    <tableColumn id="4" xr3:uid="{33E24A95-5D99-4969-9D16-2EE7DDDCC118}" name="INV" dataDxfId="199"/>
    <tableColumn id="5" xr3:uid="{90F0EF29-FC1A-4A03-BECA-AF9F694EC366}" name="DN" dataDxfId="198"/>
    <tableColumn id="6" xr3:uid="{A91AA1CA-8C79-45E3-9569-CF689B3EA6EF}" name="ITEM CODE" dataDxfId="197"/>
    <tableColumn id="7" xr3:uid="{95B05D17-CE1A-4116-A18C-EF7B9B3D099E}" name="DESCRIPTION" dataDxfId="196"/>
    <tableColumn id="8" xr3:uid="{94681046-0C6B-497D-9032-507C8490745C}" name="QTY " dataDxfId="195"/>
    <tableColumn id="9" xr3:uid="{8674E1C2-0B55-46A9-8F38-BA0207285DA3}" name="UNIT PRICE" dataDxfId="194"/>
    <tableColumn id="10" xr3:uid="{9AC8EAF0-24E0-425A-AA8F-4116E1E23C2E}" name="TOTAL AMOUNT" dataDxfId="193">
      <calculatedColumnFormula>H2*I2</calculatedColumnFormula>
    </tableColumn>
    <tableColumn id="11" xr3:uid="{74C73BFF-8677-4A4A-A52C-6FDE58177460}" name="DATE" dataDxfId="192"/>
    <tableColumn id="12" xr3:uid="{D8F85D90-5863-482C-AEAD-E41F7476FF89}" name="PENDING QTY" dataDxfId="191"/>
    <tableColumn id="13" xr3:uid="{7183A5E7-E366-4F2A-AC89-2EB0F4F57FDB}" name="DELIVERED QTY" dataDxfId="190">
      <calculatedColumnFormula>H2</calculatedColumnFormula>
    </tableColumn>
    <tableColumn id="14" xr3:uid="{1EF83295-21A5-4BC5-9A25-4B1E009926F5}" name="BALANCE" dataDxfId="189">
      <calculatedColumnFormula>L2-M2</calculatedColumnFormula>
    </tableColumn>
    <tableColumn id="15" xr3:uid="{7AF496CC-B32A-4A48-AC6E-44024D62E027}" name="STATUS" dataDxfId="188">
      <calculatedColumnFormula>IF(N2=0,"COMPLETE","INCOMPLETE")</calculatedColumnFormula>
    </tableColumn>
    <tableColumn id="16" xr3:uid="{52A0E2C2-BACE-46BC-9405-DE265837160C}" name="REMARKS 1" dataDxfId="187"/>
    <tableColumn id="17" xr3:uid="{EB01D228-09C7-4B6B-8A80-2C6E8872D33D}" name="REMARKS 2" dataDxfId="186">
      <calculatedColumnFormula>IF(M2=H2,"OK","X")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9E8239-7B52-4D98-904E-158103A50C39}" name="Table2" displayName="Table2" ref="A1:Q234" totalsRowShown="0" headerRowDxfId="130">
  <autoFilter ref="A1:Q234" xr:uid="{CB9E8239-7B52-4D98-904E-158103A50C39}"/>
  <tableColumns count="17">
    <tableColumn id="1" xr3:uid="{A16727F4-C713-48C0-AC6A-4D02C42C7231}" name="SN" dataDxfId="237"/>
    <tableColumn id="2" xr3:uid="{8F916F52-E156-4081-B28B-8E9E1704A8CE}" name="HOSPITAL NAME" dataDxfId="236"/>
    <tableColumn id="3" xr3:uid="{DD7CE666-7C60-4AB8-9686-A6F64780C590}" name="PO NUM" dataDxfId="235"/>
    <tableColumn id="4" xr3:uid="{BB35A8A8-CA2A-4E65-BE4B-A0072124118F}" name="INV" dataDxfId="234"/>
    <tableColumn id="5" xr3:uid="{93242D11-428D-48B1-B819-40E1A77ADB24}" name="DN" dataDxfId="233"/>
    <tableColumn id="6" xr3:uid="{CFC0C10A-C871-4030-A4C3-4AF27615AF72}" name="ITEM CODE" dataDxfId="232"/>
    <tableColumn id="7" xr3:uid="{6B822CA6-0FAD-4542-9B87-879A6D824718}" name="DESCRIPTION" dataDxfId="231"/>
    <tableColumn id="8" xr3:uid="{EDDF1D3A-FB3A-4639-B699-19BD1ED581EE}" name="QTY " dataDxfId="230"/>
    <tableColumn id="9" xr3:uid="{2AFC32B3-E8BE-41A7-A5EB-5A866A713166}" name="UNIT PRICE" dataDxfId="229"/>
    <tableColumn id="10" xr3:uid="{B99D5D61-7C42-4586-A184-E6A05D0452DF}" name="TOTAL AMOUNT" dataDxfId="228">
      <calculatedColumnFormula>H2*I2</calculatedColumnFormula>
    </tableColumn>
    <tableColumn id="11" xr3:uid="{A6B1BC11-4D33-4123-A181-8D4EA4DF14E3}" name="DATE" dataDxfId="227"/>
    <tableColumn id="12" xr3:uid="{01E7FD05-564E-46FE-AE75-BC0B8848C63D}" name="PENDING QTY" dataDxfId="226"/>
    <tableColumn id="13" xr3:uid="{7EAE3559-F6A9-4663-AA69-00DF5B418B3D}" name="DELIVERED QTY" dataDxfId="225">
      <calculatedColumnFormula>H2</calculatedColumnFormula>
    </tableColumn>
    <tableColumn id="14" xr3:uid="{B84E905E-95E2-43A1-A7A6-C7C24391CCD3}" name="BALANCE" dataDxfId="224">
      <calculatedColumnFormula>L2-M2</calculatedColumnFormula>
    </tableColumn>
    <tableColumn id="15" xr3:uid="{3BB6DA83-A68D-4F3C-BE37-9C7E240E7D6E}" name="STATUS" dataDxfId="223">
      <calculatedColumnFormula>IF(N2=0,"COMPLETE","INCOMPLETE")</calculatedColumnFormula>
    </tableColumn>
    <tableColumn id="16" xr3:uid="{026C6DD5-CBB5-4D9B-85D6-6ED80E30E091}" name="REMARKS 1" dataDxfId="222"/>
    <tableColumn id="17" xr3:uid="{48ECAD85-8187-4B1F-9A14-61650A4413C1}" name="REMARKS 2" dataDxfId="221">
      <calculatedColumnFormula>IF(M2=H2,"OK","X")</calculatedColumnFormula>
    </tableColumn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59D7FC-8325-4CEC-9CF1-700485772BC8}" name="Table3" displayName="Table3" ref="A1:Q111" totalsRowShown="0" headerRowDxfId="132" dataDxfId="220">
  <autoFilter ref="A1:Q111" xr:uid="{C9399764-35BB-4F5F-AF04-5858965D2E95}"/>
  <tableColumns count="17">
    <tableColumn id="1" xr3:uid="{01781219-DB3E-4725-A162-A207B92847B7}" name="SN" dataDxfId="219"/>
    <tableColumn id="2" xr3:uid="{4B270967-E318-4529-A7F4-A6A7B72C52FC}" name="HOSPITAL NAME" dataDxfId="218"/>
    <tableColumn id="3" xr3:uid="{0401105C-5426-4445-871C-1FBCEE086658}" name="PO NUM" dataDxfId="217"/>
    <tableColumn id="4" xr3:uid="{237586D4-5E36-44D3-B476-30834F5D4509}" name="INV" dataDxfId="216"/>
    <tableColumn id="5" xr3:uid="{2F8A62DF-16C4-4627-8AFC-8671720483F4}" name="DN" dataDxfId="215"/>
    <tableColumn id="6" xr3:uid="{63B79ECE-82B8-4BC8-B104-633D5F1E7122}" name="ITEM CODE" dataDxfId="214"/>
    <tableColumn id="7" xr3:uid="{06488972-FDA2-471C-B6B5-9949FA2B9410}" name="DESCRIPTION" dataDxfId="213"/>
    <tableColumn id="8" xr3:uid="{47EE0F32-EAC0-4F1C-BB12-763E2AC6F7B2}" name="QTY " dataDxfId="212"/>
    <tableColumn id="9" xr3:uid="{5129278D-3E83-43DD-85AD-030523F6E95D}" name="UNIT PRICE" dataDxfId="211"/>
    <tableColumn id="10" xr3:uid="{AD29135C-7983-4C05-B790-EEB30007AC56}" name="TOTAL AMOUNT" dataDxfId="210">
      <calculatedColumnFormula>H2*I2</calculatedColumnFormula>
    </tableColumn>
    <tableColumn id="11" xr3:uid="{AC8612C2-F097-4041-95B1-F16A4727FEC7}" name="DATE" dataDxfId="209"/>
    <tableColumn id="12" xr3:uid="{FB7A1A36-6017-4AA6-8B3C-423DD5975405}" name="PENDING QTY" dataDxfId="208"/>
    <tableColumn id="13" xr3:uid="{1E670F23-1B8F-4836-931B-60EAA1F209DA}" name="DELIVERED QTY" dataDxfId="207">
      <calculatedColumnFormula>H2</calculatedColumnFormula>
    </tableColumn>
    <tableColumn id="14" xr3:uid="{8F1AB3B5-7EAA-4D0C-A169-510CECD39886}" name="BALANCE" dataDxfId="206">
      <calculatedColumnFormula>L2-M2</calculatedColumnFormula>
    </tableColumn>
    <tableColumn id="15" xr3:uid="{7AACFF3E-B0C9-4AF5-9C21-B4BEEFFBDB05}" name="STATUS" dataDxfId="205">
      <calculatedColumnFormula>IF(N2=0,"COMPLETE","INCOMPLETE")</calculatedColumnFormula>
    </tableColumn>
    <tableColumn id="16" xr3:uid="{E1BD0508-4823-4840-B998-7C240FA35D57}" name="REMARKS 1" dataDxfId="204"/>
    <tableColumn id="17" xr3:uid="{745BF2D6-CD62-4C47-A19A-E149192CE8E0}" name="REMARKS 2" dataDxfId="203">
      <calculatedColumnFormula>IF(M2=H2,"OK","X")</calculatedColumnFormula>
    </tableColumn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202D46-5690-4C58-987A-19FA9367ED6D}" name="Table4" displayName="Table4" ref="A1:Q51" totalsRowShown="0" headerRowDxfId="129" dataDxfId="168">
  <autoFilter ref="A1:Q51" xr:uid="{E6588862-5D94-441C-9AD3-FA8051B607B4}"/>
  <tableColumns count="17">
    <tableColumn id="1" xr3:uid="{20B4EFC4-AD08-440B-B694-CC75EB1E8395}" name="SN" dataDxfId="185"/>
    <tableColumn id="2" xr3:uid="{56082158-108D-4ADC-A418-5FF695770932}" name="HOSPITAL NAME" dataDxfId="184"/>
    <tableColumn id="3" xr3:uid="{42A70F1A-947A-4DCB-AFB8-1F75799964B4}" name="PO NUM" dataDxfId="183"/>
    <tableColumn id="4" xr3:uid="{BB5FB5D3-54B4-4C92-B288-A7085FE8C484}" name="INV" dataDxfId="182"/>
    <tableColumn id="5" xr3:uid="{31481C8E-4277-4C30-9515-4C31502EA208}" name="DN" dataDxfId="181"/>
    <tableColumn id="6" xr3:uid="{FC1F38E6-FF7B-4EB1-A25E-D3452A780FCE}" name="ITEM CODE" dataDxfId="180"/>
    <tableColumn id="7" xr3:uid="{93D2B324-170F-466E-A08E-17BB535BCB26}" name="DESCRIPTION" dataDxfId="179"/>
    <tableColumn id="8" xr3:uid="{86BD4B51-DD55-4B7E-B6CF-54B513B58D5D}" name="QTY " dataDxfId="178"/>
    <tableColumn id="9" xr3:uid="{338185AD-4350-4267-9C8C-4DD13F64F7B2}" name="UNIT PRICE" dataDxfId="177"/>
    <tableColumn id="10" xr3:uid="{9EC1090D-362E-4207-BA12-EC027BD8024C}" name="TOTAL AMOUNT" dataDxfId="176">
      <calculatedColumnFormula>H2*I2</calculatedColumnFormula>
    </tableColumn>
    <tableColumn id="11" xr3:uid="{0FD84BC3-5373-4102-B676-39D2A1307951}" name="DATE" dataDxfId="175"/>
    <tableColumn id="12" xr3:uid="{581CB9C7-A8A5-4C92-AEAD-963237B44C19}" name="PENDING QTY" dataDxfId="174"/>
    <tableColumn id="13" xr3:uid="{4EF27178-B189-48D0-B568-47D5B482D702}" name="DELIVERED QTY" dataDxfId="173">
      <calculatedColumnFormula>H2</calculatedColumnFormula>
    </tableColumn>
    <tableColumn id="14" xr3:uid="{A74F9C5F-A2C1-45ED-B1AB-D22DC0688A4A}" name="BALANCE" dataDxfId="172">
      <calculatedColumnFormula>L2-M2</calculatedColumnFormula>
    </tableColumn>
    <tableColumn id="15" xr3:uid="{DF67A26C-D782-4918-9B0F-96F94E668B19}" name="STATUS" dataDxfId="171">
      <calculatedColumnFormula>IF(N2=0,"COMPLETE","INCOMPLETE")</calculatedColumnFormula>
    </tableColumn>
    <tableColumn id="16" xr3:uid="{2F118E23-D2B2-42AD-B4FB-C4DA66121AD4}" name="REMARKS 1" dataDxfId="170"/>
    <tableColumn id="17" xr3:uid="{59EE3548-6C84-43BA-B32F-88DA39AED319}" name="REMARKS 2" dataDxfId="169">
      <calculatedColumnFormula>IF(M2=H2,"OK","X")</calculatedColumnFormula>
    </tableColumn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32CA57-F4EE-48E7-AD43-8EF79C10BE6E}" name="Table5" displayName="Table5" ref="A1:Q10" totalsRowShown="0" headerRowDxfId="128" dataDxfId="167">
  <autoFilter ref="A1:Q10" xr:uid="{63EDD095-1DA2-4984-83ED-AA70F12D7790}"/>
  <tableColumns count="17">
    <tableColumn id="1" xr3:uid="{D3460929-375D-491F-9744-D46CEA0C83B3}" name="SN" dataDxfId="166"/>
    <tableColumn id="2" xr3:uid="{E6070B72-3CD4-4EC5-80CF-EB9A729AC949}" name="HOSPITAL NAME" dataDxfId="165"/>
    <tableColumn id="3" xr3:uid="{D64F632A-76C4-448F-870F-04B1B46B9EEA}" name="PO NUM" dataDxfId="164"/>
    <tableColumn id="4" xr3:uid="{213FF512-25E4-4403-8059-6C32BBDD74BF}" name="INV" dataDxfId="163"/>
    <tableColumn id="5" xr3:uid="{A657F89B-1E9A-4A93-A544-B79D9868613A}" name="DN" dataDxfId="162"/>
    <tableColumn id="6" xr3:uid="{9C2DB245-938E-4A13-A85C-32911EE5417C}" name="ITEM CODE" dataDxfId="161"/>
    <tableColumn id="7" xr3:uid="{958511A9-A885-4CD5-B5C4-CA2AFC1152BC}" name="DESCRIPTION" dataDxfId="160"/>
    <tableColumn id="8" xr3:uid="{A0D19072-5EFB-4DB8-8864-74DD355B5CE6}" name="QTY " dataDxfId="159"/>
    <tableColumn id="9" xr3:uid="{B25F3B65-D9BB-474B-B99A-4EB20484F48A}" name="UNIT PRICE" dataDxfId="158"/>
    <tableColumn id="10" xr3:uid="{036AF68F-1028-4062-A6C0-D4FA178E4141}" name="TOTAL AMOUNT" dataDxfId="157">
      <calculatedColumnFormula>H2*I2</calculatedColumnFormula>
    </tableColumn>
    <tableColumn id="11" xr3:uid="{B6FD6EAF-66BB-4C09-B0E7-B7060DC5710D}" name="DATE" dataDxfId="156"/>
    <tableColumn id="12" xr3:uid="{F2937883-4D0B-4C60-9230-15C9ED8788F2}" name="PENDING QTY" dataDxfId="155"/>
    <tableColumn id="13" xr3:uid="{78E37655-A3F0-4B92-B32C-81A7A36657F0}" name="DELIVERED QTY" dataDxfId="154">
      <calculatedColumnFormula>H2</calculatedColumnFormula>
    </tableColumn>
    <tableColumn id="14" xr3:uid="{BA5BFD5E-9C6D-4C0E-B3E6-C00ED09B179E}" name="BALANCE" dataDxfId="153">
      <calculatedColumnFormula>L2-M2</calculatedColumnFormula>
    </tableColumn>
    <tableColumn id="15" xr3:uid="{107A3E3A-ACB4-4199-8DA0-860477153D1E}" name="STATUS" dataDxfId="152">
      <calculatedColumnFormula>IF(N2=0,"COMPLETE","INCOMPLETE")</calculatedColumnFormula>
    </tableColumn>
    <tableColumn id="16" xr3:uid="{8DC112AB-3752-439B-8054-FA2051ADD19C}" name="REMARKS 1" dataDxfId="151"/>
    <tableColumn id="17" xr3:uid="{45DFAA36-6A01-40E9-96BF-F9A4C38E7AE5}" name="REMARKS 2" dataDxfId="150">
      <calculatedColumnFormula>IF(M2=H2,"OK","X")</calculatedColumnFormula>
    </tableColumn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6DDC66-A13F-4862-8E26-548BB175D1D6}" name="Table6" displayName="Table6" ref="A1:Q92" totalsRowShown="0" headerRowDxfId="127" dataDxfId="133">
  <autoFilter ref="A1:Q92" xr:uid="{8BDCF640-3B7B-4C7B-9153-53EE6483A010}"/>
  <tableColumns count="17">
    <tableColumn id="1" xr3:uid="{92966DEF-84FA-4A54-8284-44E77A0285F8}" name="SN" dataDxfId="149"/>
    <tableColumn id="2" xr3:uid="{51083056-0633-46DA-A4B0-E93558CD201A}" name="HOSPITAL NAME" dataDxfId="148"/>
    <tableColumn id="3" xr3:uid="{50314922-2757-4E1B-8204-0D6563A26437}" name="PO NUM" dataDxfId="147"/>
    <tableColumn id="4" xr3:uid="{5DF89FF5-4E3B-489B-8852-56643A402C97}" name="INV" dataDxfId="146"/>
    <tableColumn id="5" xr3:uid="{14253A4E-C7B4-43C2-94EE-3278788A533C}" name="DN" dataDxfId="145"/>
    <tableColumn id="6" xr3:uid="{61CF4F5D-1B70-472F-82B0-D718786DF1D6}" name="ITEM CODE" dataDxfId="144"/>
    <tableColumn id="7" xr3:uid="{BDB81B3C-CEDD-4745-93AF-CCA1F5CEB326}" name="DESCRIPTION" dataDxfId="143"/>
    <tableColumn id="8" xr3:uid="{91DA9D34-6EA6-485A-A4FA-1AEC4FD82264}" name="QTY " dataDxfId="142"/>
    <tableColumn id="9" xr3:uid="{96273C85-94B0-4A22-9178-CEE4924C4D97}" name="UNIT PRICE" dataDxfId="141"/>
    <tableColumn id="10" xr3:uid="{73F2EF4A-FA56-4E7F-806C-EB70EFA95EE7}" name="TOTAL AMOUNT" dataDxfId="140">
      <calculatedColumnFormula>H2*I2</calculatedColumnFormula>
    </tableColumn>
    <tableColumn id="11" xr3:uid="{BAB2FCB5-BDA7-43FF-BA1E-59C4FF130098}" name="DATE" dataDxfId="139"/>
    <tableColumn id="12" xr3:uid="{DA67EDDB-1D41-4364-BE05-6084873A3076}" name="PENDING QTY" dataDxfId="138"/>
    <tableColumn id="13" xr3:uid="{278D158E-9732-4A43-A442-CB8010E670D5}" name="DELIVERED QTY" dataDxfId="137">
      <calculatedColumnFormula>H2</calculatedColumnFormula>
    </tableColumn>
    <tableColumn id="14" xr3:uid="{F01307B4-F0C9-4294-A0CB-AE3A54B8AAC3}" name="BALANCE" dataDxfId="136">
      <calculatedColumnFormula>L2-M2</calculatedColumnFormula>
    </tableColumn>
    <tableColumn id="15" xr3:uid="{294A720A-84CC-44E1-986D-B34C1E8AD732}" name="STATUS" dataDxfId="135">
      <calculatedColumnFormula>IF(N2=0,"COMPLETE","INCOMPLETE")</calculatedColumnFormula>
    </tableColumn>
    <tableColumn id="16" xr3:uid="{21BB2A67-359C-4686-B7A4-CEC40EF6B2BB}" name="REMARKS 1" dataDxfId="134"/>
    <tableColumn id="17" xr3:uid="{DE027247-8738-4549-AC05-73E5307279AF}" name="REMARKS 2" dataDxfId="126">
      <calculatedColumnFormula>IF(M2=H2,"OK","X")</calculatedColumnFormula>
    </tableColumn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B607AF0-670A-4C38-A789-0A8349EC3F5D}" name="Table7" displayName="Table7" ref="A1:Q94" totalsRowShown="0" headerRowDxfId="125" dataDxfId="124">
  <autoFilter ref="A1:Q94" xr:uid="{0B607AF0-670A-4C38-A789-0A8349EC3F5D}"/>
  <tableColumns count="17">
    <tableColumn id="1" xr3:uid="{2F9EDCBB-CDB6-4247-B9F8-0CD0DCFA44ED}" name="SN" dataDxfId="33"/>
    <tableColumn id="2" xr3:uid="{88258DF2-4805-4922-AFC2-69A4F538530B}" name="HOSPITAL NAME" dataDxfId="32"/>
    <tableColumn id="3" xr3:uid="{E8D0D6B3-7AA6-42F0-BF35-837206B97812}" name="PO NUM" dataDxfId="31"/>
    <tableColumn id="4" xr3:uid="{62FAB233-12DD-4EB8-A0F7-4173D418B496}" name="INV" dataDxfId="30"/>
    <tableColumn id="5" xr3:uid="{6D6B6BC1-4F6E-4ECA-99DA-AC38E261526A}" name="DN" dataDxfId="29"/>
    <tableColumn id="6" xr3:uid="{6D1FA087-D001-4CA0-B463-9C4A8E4EDDD7}" name="ITEM CODE" dataDxfId="28"/>
    <tableColumn id="7" xr3:uid="{A2D7CA95-AE03-4B72-8291-7267EF991F3A}" name="DESCRIPTION" dataDxfId="27"/>
    <tableColumn id="8" xr3:uid="{9EBEAA52-AC6F-4FCB-8A38-DAA45627D586}" name="QTY " dataDxfId="26"/>
    <tableColumn id="9" xr3:uid="{B2D1D6AA-0161-4CB7-93B1-1BE964844685}" name="UNIT PRICE" dataDxfId="25"/>
    <tableColumn id="10" xr3:uid="{26F918E9-0B8D-47DF-B299-435E14B970E2}" name="TOTAL AMOUNT" dataDxfId="24">
      <calculatedColumnFormula>H2*I2</calculatedColumnFormula>
    </tableColumn>
    <tableColumn id="11" xr3:uid="{64E473EE-7A84-4EC5-A817-6B031F5DD975}" name="DATE" dataDxfId="23"/>
    <tableColumn id="12" xr3:uid="{2707CA5A-A0A4-40F0-8CC9-50F34EA69B72}" name="PENDING QTY" dataDxfId="22"/>
    <tableColumn id="13" xr3:uid="{061FCCF3-DB5E-421D-A55C-DF20E7D703D4}" name="DELIVERED QTY" dataDxfId="21">
      <calculatedColumnFormula>H2</calculatedColumnFormula>
    </tableColumn>
    <tableColumn id="14" xr3:uid="{32D48A3D-8AA1-403A-AE9F-2B2012C89195}" name="BALANCE" dataDxfId="20">
      <calculatedColumnFormula>L2-M2</calculatedColumnFormula>
    </tableColumn>
    <tableColumn id="15" xr3:uid="{0B9FE996-BB8D-42FD-9AE7-170A92CC6764}" name="STATUS" dataDxfId="19">
      <calculatedColumnFormula>IF(N2=0,"COMPLETE","INCOMPLETE")</calculatedColumnFormula>
    </tableColumn>
    <tableColumn id="16" xr3:uid="{43625672-6E37-4425-99D7-5BB9A214CD0B}" name="REMARKS 1" dataDxfId="18"/>
    <tableColumn id="17" xr3:uid="{FFD5794E-F3F6-4FD5-80EC-A44B59713001}" name="REMARKS 2" dataDxfId="17">
      <calculatedColumnFormula>IF(M2=H2,"OK","X")</calculatedColumnFormula>
    </tableColumn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846A0CC-AD23-46FA-A068-EC12A0294CB5}" name="Table8" displayName="Table8" ref="A1:Q6" totalsRowShown="0" headerRowDxfId="123" dataDxfId="122">
  <autoFilter ref="A1:Q6" xr:uid="{2846A0CC-AD23-46FA-A068-EC12A0294CB5}"/>
  <tableColumns count="17">
    <tableColumn id="1" xr3:uid="{65AE3E61-7909-4D49-878D-B77DF1DDB042}" name="SN" dataDxfId="16"/>
    <tableColumn id="2" xr3:uid="{5776C61A-2D2F-457C-8B24-76BDACE83B52}" name="HOSPITAL NAME" dataDxfId="15"/>
    <tableColumn id="3" xr3:uid="{5D81ACCE-8A80-435D-8019-0F056210263C}" name="PO NUM" dataDxfId="14"/>
    <tableColumn id="4" xr3:uid="{5107A15C-C072-4E65-B1F6-66BC51295AA9}" name="INV" dataDxfId="13"/>
    <tableColumn id="5" xr3:uid="{7E2C3D10-2E1A-4596-BFA4-6557948785F9}" name="DN" dataDxfId="12"/>
    <tableColumn id="6" xr3:uid="{4EF5B60E-FA98-43F4-8869-3A91C17FC1BB}" name="ITEM CODE" dataDxfId="11"/>
    <tableColumn id="7" xr3:uid="{F67FA09A-A4CC-4948-93BB-2436062A609C}" name="DESCRIPTION" dataDxfId="10"/>
    <tableColumn id="8" xr3:uid="{E9F2C9C6-9D6B-4CCA-96C5-1F66F5D50AD5}" name="QTY " dataDxfId="9"/>
    <tableColumn id="9" xr3:uid="{1BAC7ED8-311D-47F4-8B53-69483D6FDF9D}" name="UNIT PRICE" dataDxfId="8"/>
    <tableColumn id="10" xr3:uid="{B4AC4787-E80C-4E30-B785-50D74FB84F24}" name="TOTAL AMOUNT" dataDxfId="7">
      <calculatedColumnFormula>H2*I2</calculatedColumnFormula>
    </tableColumn>
    <tableColumn id="11" xr3:uid="{A97D732C-7541-40D1-A89E-7DB6884B40C6}" name="DATE" dataDxfId="6"/>
    <tableColumn id="12" xr3:uid="{ECCAFFEA-0F70-40A5-AEE1-A8E975F8E2C4}" name="PENDING QTY" dataDxfId="5"/>
    <tableColumn id="13" xr3:uid="{1B38FDC0-CFB8-47C4-B998-429AE69498F1}" name="DELIVERED QTY" dataDxfId="4">
      <calculatedColumnFormula>H2</calculatedColumnFormula>
    </tableColumn>
    <tableColumn id="14" xr3:uid="{92809FCD-A02D-4E52-8908-DDAD6E83DBF5}" name="BALANCE" dataDxfId="3">
      <calculatedColumnFormula>L2-M2</calculatedColumnFormula>
    </tableColumn>
    <tableColumn id="15" xr3:uid="{406CFC2D-777C-4802-92F2-4FB6E9E608F5}" name="STATUS" dataDxfId="2">
      <calculatedColumnFormula>IF(N2=0,"COMPLETE","INCOMPLETE")</calculatedColumnFormula>
    </tableColumn>
    <tableColumn id="16" xr3:uid="{BDECA402-879C-4B6F-AEB7-47DC38A8BB74}" name="REMARKS 1" dataDxfId="1"/>
    <tableColumn id="17" xr3:uid="{FC70F0B4-436B-4B34-B813-60CC3BE8E2AA}" name="REMARKS 2" dataDxfId="0">
      <calculatedColumnFormula>IF(M2=H2,"OK","X")</calculatedColumnFormula>
    </tableColumn>
  </tableColumns>
  <tableStyleInfo name="TableStyleLight14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CDFF488-E79E-4262-95E8-B43398CFF502}" name="Table9" displayName="Table9" ref="A1:Q6" totalsRowShown="0" headerRowDxfId="100" dataDxfId="101" headerRowBorderDxfId="120" tableBorderDxfId="121" totalsRowBorderDxfId="119">
  <autoFilter ref="A1:Q6" xr:uid="{1CDFF488-E79E-4262-95E8-B43398CFF502}"/>
  <tableColumns count="17">
    <tableColumn id="1" xr3:uid="{03CFA982-2B0E-49E8-975C-6B10A22EE748}" name="SN" dataDxfId="118"/>
    <tableColumn id="2" xr3:uid="{0A2BA077-B4E8-4395-9B22-ADA5289D13CF}" name="HOSPITAL NAME" dataDxfId="117"/>
    <tableColumn id="3" xr3:uid="{8613A9B6-9651-44A2-8902-6E9DDEDBC721}" name="PO NUM" dataDxfId="116"/>
    <tableColumn id="4" xr3:uid="{D533F99E-60F7-4E5D-9E37-26027336235A}" name="INV" dataDxfId="115"/>
    <tableColumn id="5" xr3:uid="{76F7F4D3-3F61-4056-9452-AC9EAC19A1BE}" name="DN" dataDxfId="114"/>
    <tableColumn id="6" xr3:uid="{21330946-0E77-4CDD-AD87-F78CD328C146}" name="ITEM CODE" dataDxfId="113"/>
    <tableColumn id="7" xr3:uid="{76C84DAC-BFEA-4974-8DA3-DAC3ED3ED0C1}" name="DESCRIPTION" dataDxfId="112"/>
    <tableColumn id="8" xr3:uid="{BE106179-7C56-44F9-AE92-6A04F19EFF0B}" name="QTY " dataDxfId="111"/>
    <tableColumn id="9" xr3:uid="{D7E926BE-FD66-4B9E-88CA-034362A63831}" name="UNIT PRICE" dataDxfId="110"/>
    <tableColumn id="10" xr3:uid="{DD2495EC-2DF9-4B3B-8218-5EE593354B7B}" name="TOTAL AMOUNT" dataDxfId="109">
      <calculatedColumnFormula>H2*I2</calculatedColumnFormula>
    </tableColumn>
    <tableColumn id="11" xr3:uid="{3DB00943-6271-4EE8-A101-A17A4BD4C7E7}" name="DATE" dataDxfId="108"/>
    <tableColumn id="12" xr3:uid="{8B65BDA6-1E8E-4268-B0D2-4EAA70F5CD2F}" name="PENDING QTY" dataDxfId="107"/>
    <tableColumn id="13" xr3:uid="{6BC3D9D7-D0CF-47D3-BAF6-99CFE47B9AD4}" name="DELIVERED QTY" dataDxfId="106">
      <calculatedColumnFormula>H2</calculatedColumnFormula>
    </tableColumn>
    <tableColumn id="14" xr3:uid="{0124DA66-F162-4AF0-BF2C-E8A29CFE0078}" name="BALANCE" dataDxfId="105">
      <calculatedColumnFormula>L2-M2</calculatedColumnFormula>
    </tableColumn>
    <tableColumn id="15" xr3:uid="{B99EC44E-1B78-47AC-83D1-228CF86CCC72}" name="STATUS" dataDxfId="104">
      <calculatedColumnFormula>IF(N2=0,"COMPLETE","INCOMPLETE")</calculatedColumnFormula>
    </tableColumn>
    <tableColumn id="16" xr3:uid="{D9DEBB16-1B57-4297-8654-7EA6B8795198}" name="REMARKS 1" dataDxfId="103"/>
    <tableColumn id="17" xr3:uid="{199752AD-1A46-4DB9-8A9E-A082533F5028}" name="REMARKS 2" dataDxfId="102">
      <calculatedColumnFormula>IF(M2=H2,"OK","X")</calculatedColumnFormula>
    </tableColumn>
  </tableColumns>
  <tableStyleInfo name="TableStyleLight14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6CF82ED-B46A-4F6C-A759-81FC7F25816A}" name="Table10" displayName="Table10" ref="A1:Q4" totalsRowShown="0" headerRowDxfId="99" dataDxfId="83">
  <autoFilter ref="A1:Q4" xr:uid="{F6CF82ED-B46A-4F6C-A759-81FC7F25816A}"/>
  <tableColumns count="17">
    <tableColumn id="1" xr3:uid="{0341D168-DA25-4ADC-8D54-3CDB271DD39F}" name="SN" dataDxfId="98"/>
    <tableColumn id="2" xr3:uid="{D6B30589-7F9D-4A35-B93A-0BD486DF5ACF}" name="HOSPITAL NAME" dataDxfId="97"/>
    <tableColumn id="3" xr3:uid="{D672951A-D9FA-481D-80D5-7D14A93F2D08}" name="PO NUM" dataDxfId="96"/>
    <tableColumn id="4" xr3:uid="{32AC6E2B-CBF0-439A-83B8-F407B443F75A}" name="INV" dataDxfId="95"/>
    <tableColumn id="5" xr3:uid="{0193CD55-3FDF-4010-8FE0-D0B1302E9B91}" name="DN" dataDxfId="94"/>
    <tableColumn id="6" xr3:uid="{B238F781-A3D6-44B2-8C4C-28757876F29D}" name="ITEM CODE" dataDxfId="93"/>
    <tableColumn id="7" xr3:uid="{AF78E8CA-4D4D-4BC8-AAAD-8D4FB9033BF0}" name="DESCRIPTION" dataDxfId="92"/>
    <tableColumn id="8" xr3:uid="{3F3E0E1A-BC77-4DDA-9E70-DA2942B83231}" name="QTY " dataDxfId="91"/>
    <tableColumn id="9" xr3:uid="{31744218-D48E-4875-BFE8-778322D11C83}" name="UNIT PRICE" dataDxfId="90"/>
    <tableColumn id="10" xr3:uid="{A245D5C4-EEA6-4C2A-80D5-06110767DA2F}" name="TOTAL AMOUNT" dataDxfId="89">
      <calculatedColumnFormula>H2*I2</calculatedColumnFormula>
    </tableColumn>
    <tableColumn id="11" xr3:uid="{0B50367E-D660-49DC-AB9B-BCE87799630C}" name="DATE" dataDxfId="88"/>
    <tableColumn id="12" xr3:uid="{4998A849-D3FD-4C36-BDDD-41BA767186C4}" name="PENDING QTY" dataDxfId="87"/>
    <tableColumn id="13" xr3:uid="{2EEB33D4-15F3-449C-A592-A6C24970AC69}" name="DELIVERED QTY" dataDxfId="86">
      <calculatedColumnFormula>H2</calculatedColumnFormula>
    </tableColumn>
    <tableColumn id="14" xr3:uid="{D3954DEF-351B-46DC-8B17-985736DCE2D2}" name="BALANCE" dataDxfId="85">
      <calculatedColumnFormula>L2-M2</calculatedColumnFormula>
    </tableColumn>
    <tableColumn id="15" xr3:uid="{A7F674AD-E01E-4143-8A96-0A94B536D0BE}" name="STATUS" dataDxfId="84">
      <calculatedColumnFormula>IF(N2=0,"COMPLETE","INCOMPLETE")</calculatedColumnFormula>
    </tableColumn>
    <tableColumn id="16" xr3:uid="{DB16F077-C430-4B35-8C2A-1CAC981A077C}" name="REMARKS 1" dataDxfId="82"/>
    <tableColumn id="17" xr3:uid="{3C0D0943-C434-4AFE-9184-3DEA84A955B1}" name="REMARKS 2" dataDxfId="81">
      <calculatedColumnFormula>IF(M2=H2,"OK","X")</calculatedColumnFormula>
    </tableColumn>
  </tableColumns>
  <tableStyleInfo name="TableStyleLight14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F532D6AF-EA67-4E17-A380-8F5D2F7C9CB1}" name="Table17" displayName="Table17" ref="A1:Q8" totalsRowShown="0" headerRowDxfId="52" dataDxfId="51">
  <autoFilter ref="A1:Q8" xr:uid="{F532D6AF-EA67-4E17-A380-8F5D2F7C9CB1}"/>
  <tableColumns count="17">
    <tableColumn id="1" xr3:uid="{FED03916-E485-46AA-8721-90EE1003E59A}" name="SN" dataDxfId="50"/>
    <tableColumn id="2" xr3:uid="{55E7A225-62A5-487C-9299-11A1B627F935}" name="HOSPITAL NAME" dataDxfId="49"/>
    <tableColumn id="3" xr3:uid="{88662AE0-6874-4443-8010-70A87E2882C9}" name="PO NUM" dataDxfId="48"/>
    <tableColumn id="4" xr3:uid="{50365FBD-856F-433E-A660-BFAB5BA65467}" name="INV" dataDxfId="47"/>
    <tableColumn id="5" xr3:uid="{9E3E9812-696B-4D63-82DD-219FE78D7D03}" name="DN" dataDxfId="46"/>
    <tableColumn id="6" xr3:uid="{8C0782D3-60F3-4166-84A2-A69F76F617B7}" name="ITEM CODE" dataDxfId="45"/>
    <tableColumn id="7" xr3:uid="{BF790BF0-0794-4462-B2C0-E5018F88FECA}" name="DESCRIPTION" dataDxfId="44"/>
    <tableColumn id="8" xr3:uid="{89E9F263-17BF-4A0C-AE71-7DD34D4108FD}" name="QTY " dataDxfId="43"/>
    <tableColumn id="9" xr3:uid="{265D6E1A-110A-437C-8D75-B2ED6FF5C2D2}" name="UNIT PRICE" dataDxfId="42"/>
    <tableColumn id="10" xr3:uid="{72D5B333-BFCA-4730-BD18-371FBF7C6625}" name="TOTAL AMOUNT" dataDxfId="41">
      <calculatedColumnFormula>H2*I2</calculatedColumnFormula>
    </tableColumn>
    <tableColumn id="11" xr3:uid="{60E7A1FB-5A40-42B5-B1DF-6DFA5F4D4D76}" name="DATE" dataDxfId="40"/>
    <tableColumn id="12" xr3:uid="{0448117E-7880-4E4F-8578-6E52FEE396A1}" name="PENDING QTY" dataDxfId="39"/>
    <tableColumn id="13" xr3:uid="{95C2C6A3-D17B-4A6F-9B45-826566981A9B}" name="DELIVERED QTY" dataDxfId="38">
      <calculatedColumnFormula>H2</calculatedColumnFormula>
    </tableColumn>
    <tableColumn id="14" xr3:uid="{4CBF78A6-F80F-42F5-B201-DAE3CF20FBF7}" name="BALANCE" dataDxfId="37">
      <calculatedColumnFormula>L2-M2</calculatedColumnFormula>
    </tableColumn>
    <tableColumn id="15" xr3:uid="{EC5DB0E9-01E1-422D-9A4E-874CB00F4A49}" name="STATUS" dataDxfId="36">
      <calculatedColumnFormula>IF(N2=0,"COMPLETE","INCOMPLETE")</calculatedColumnFormula>
    </tableColumn>
    <tableColumn id="16" xr3:uid="{2A9B9E64-ED53-4BF0-A1F0-15A7BC3A912E}" name="REMARKS 1" dataDxfId="35"/>
    <tableColumn id="17" xr3:uid="{0E8F41FD-3764-49D9-BB2F-1D7FAA3ADB0D}" name="REMARKS 2" dataDxfId="34">
      <calculatedColumnFormula>IF(M2=H2,"OK","X")</calculatedColumnFormula>
    </tableColumn>
  </tableColumns>
  <tableStyleInfo name="TableStyleLight1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5D16DB0-1F59-465D-B77C-3DF5C1D0CA72}" name="Table12" displayName="Table12" ref="A1:A3" totalsRowShown="0" headerRowDxfId="77" dataDxfId="78" tableBorderDxfId="80">
  <autoFilter ref="A1:A3" xr:uid="{E5D16DB0-1F59-465D-B77C-3DF5C1D0CA72}"/>
  <tableColumns count="1">
    <tableColumn id="1" xr3:uid="{CDCD09C8-B480-4AE2-A282-B6284925CA0C}" name="STATUS" dataDxfId="79"/>
  </tableColumns>
  <tableStyleInfo name="TableStyleLight1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2AC0675-424B-4340-9174-C365C659BDAB}" name="Table16" displayName="Table16" ref="D1:D51" totalsRowShown="0" headerRowDxfId="74" dataDxfId="75">
  <autoFilter ref="D1:D51" xr:uid="{D2AC0675-424B-4340-9174-C365C659BDAB}"/>
  <tableColumns count="1">
    <tableColumn id="1" xr3:uid="{D663FDBC-61CF-4BB1-B7F5-48AE58E6C394}" name="HOSPITAL NAME" dataDxfId="76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58A45-E564-4FA8-8906-EA2BFEB336E9}">
  <sheetPr codeName="Sheet1"/>
  <dimension ref="A1:Q254"/>
  <sheetViews>
    <sheetView workbookViewId="0">
      <pane ySplit="1" topLeftCell="A2" activePane="bottomLeft" state="frozen"/>
      <selection pane="bottomLeft" activeCell="C29" sqref="C29"/>
    </sheetView>
  </sheetViews>
  <sheetFormatPr defaultColWidth="9.109375" defaultRowHeight="10.199999999999999" x14ac:dyDescent="0.3"/>
  <cols>
    <col min="1" max="1" width="7.5546875" style="11" bestFit="1" customWidth="1"/>
    <col min="2" max="2" width="28.44140625" style="23" bestFit="1" customWidth="1"/>
    <col min="3" max="3" width="17.5546875" style="23" bestFit="1" customWidth="1"/>
    <col min="4" max="4" width="8.33203125" style="23" bestFit="1" customWidth="1"/>
    <col min="5" max="5" width="7.88671875" style="23" bestFit="1" customWidth="1"/>
    <col min="6" max="6" width="14.33203125" style="23" bestFit="1" customWidth="1"/>
    <col min="7" max="7" width="25.88671875" style="23" bestFit="1" customWidth="1"/>
    <col min="8" max="8" width="9.109375" style="24" bestFit="1" customWidth="1"/>
    <col min="9" max="9" width="14.33203125" style="25" bestFit="1" customWidth="1"/>
    <col min="10" max="10" width="18.44140625" style="26" bestFit="1" customWidth="1"/>
    <col min="11" max="11" width="9.5546875" style="27" bestFit="1" customWidth="1"/>
    <col min="12" max="12" width="16.44140625" style="11" bestFit="1" customWidth="1"/>
    <col min="13" max="13" width="17.88671875" style="11" bestFit="1" customWidth="1"/>
    <col min="14" max="14" width="12.6640625" style="11" bestFit="1" customWidth="1"/>
    <col min="15" max="15" width="11.33203125" style="11" bestFit="1" customWidth="1"/>
    <col min="16" max="16" width="59.88671875" style="11" bestFit="1" customWidth="1"/>
    <col min="17" max="17" width="14.6640625" style="11" bestFit="1" customWidth="1"/>
    <col min="18" max="16384" width="9.109375" style="20"/>
  </cols>
  <sheetData>
    <row r="1" spans="1:17" s="86" customFormat="1" ht="13.8" x14ac:dyDescent="0.3">
      <c r="A1" s="77" t="s">
        <v>0</v>
      </c>
      <c r="B1" s="78" t="s">
        <v>3</v>
      </c>
      <c r="C1" s="78" t="s">
        <v>2</v>
      </c>
      <c r="D1" s="78" t="s">
        <v>5</v>
      </c>
      <c r="E1" s="78" t="s">
        <v>4</v>
      </c>
      <c r="F1" s="78" t="s">
        <v>6</v>
      </c>
      <c r="G1" s="87" t="s">
        <v>9</v>
      </c>
      <c r="H1" s="88" t="s">
        <v>1</v>
      </c>
      <c r="I1" s="89" t="s">
        <v>7</v>
      </c>
      <c r="J1" s="90" t="s">
        <v>8</v>
      </c>
      <c r="K1" s="91" t="s">
        <v>10</v>
      </c>
      <c r="L1" s="87" t="s">
        <v>17</v>
      </c>
      <c r="M1" s="87" t="s">
        <v>11</v>
      </c>
      <c r="N1" s="92" t="s">
        <v>12</v>
      </c>
      <c r="O1" s="93" t="s">
        <v>13</v>
      </c>
      <c r="P1" s="93" t="s">
        <v>699</v>
      </c>
      <c r="Q1" s="93" t="s">
        <v>700</v>
      </c>
    </row>
    <row r="2" spans="1:17" x14ac:dyDescent="0.3">
      <c r="A2" s="34" t="s">
        <v>16</v>
      </c>
      <c r="B2" s="13" t="s">
        <v>34</v>
      </c>
      <c r="C2" s="13" t="s">
        <v>42</v>
      </c>
      <c r="D2" s="13" t="s">
        <v>43</v>
      </c>
      <c r="E2" s="13" t="s">
        <v>43</v>
      </c>
      <c r="F2" s="13" t="s">
        <v>44</v>
      </c>
      <c r="G2" s="13" t="s">
        <v>45</v>
      </c>
      <c r="H2" s="14">
        <v>1400</v>
      </c>
      <c r="I2" s="15">
        <v>20</v>
      </c>
      <c r="J2" s="16">
        <f>H2*I2</f>
        <v>28000</v>
      </c>
      <c r="K2" s="17">
        <v>46027</v>
      </c>
      <c r="L2" s="10">
        <v>3720</v>
      </c>
      <c r="M2" s="18">
        <f t="shared" ref="M2:M39" si="0">H2</f>
        <v>1400</v>
      </c>
      <c r="N2" s="19">
        <f t="shared" ref="N2:N8" si="1">L2-M2</f>
        <v>2320</v>
      </c>
      <c r="O2" s="10" t="str">
        <f>IF(N2=0,"COMPLETE","INCOMPLETE")</f>
        <v>INCOMPLETE</v>
      </c>
      <c r="P2" s="10"/>
      <c r="Q2" s="10" t="str">
        <f>IF(M2=H2,"OK","X")</f>
        <v>OK</v>
      </c>
    </row>
    <row r="3" spans="1:17" x14ac:dyDescent="0.3">
      <c r="A3" s="34" t="s">
        <v>16</v>
      </c>
      <c r="B3" s="13" t="s">
        <v>34</v>
      </c>
      <c r="C3" s="13" t="s">
        <v>42</v>
      </c>
      <c r="D3" s="13" t="s">
        <v>133</v>
      </c>
      <c r="E3" s="13" t="s">
        <v>133</v>
      </c>
      <c r="F3" s="13" t="s">
        <v>44</v>
      </c>
      <c r="G3" s="13" t="s">
        <v>45</v>
      </c>
      <c r="H3" s="14">
        <v>200</v>
      </c>
      <c r="I3" s="15">
        <v>20</v>
      </c>
      <c r="J3" s="16">
        <f>H3*I3</f>
        <v>4000</v>
      </c>
      <c r="K3" s="17">
        <v>46048</v>
      </c>
      <c r="L3" s="10">
        <v>2320</v>
      </c>
      <c r="M3" s="18">
        <f t="shared" si="0"/>
        <v>200</v>
      </c>
      <c r="N3" s="19">
        <f t="shared" si="1"/>
        <v>2120</v>
      </c>
      <c r="O3" s="10" t="str">
        <f t="shared" ref="O3:O8" si="2">IF(N3=0,"COMPLETE","INCOMPLETE")</f>
        <v>INCOMPLETE</v>
      </c>
      <c r="P3" s="10"/>
      <c r="Q3" s="10" t="str">
        <f t="shared" ref="Q3:Q78" si="3">IF(M3=H3,"OK","X")</f>
        <v>OK</v>
      </c>
    </row>
    <row r="4" spans="1:17" x14ac:dyDescent="0.3">
      <c r="A4" s="34" t="s">
        <v>16</v>
      </c>
      <c r="B4" s="13" t="s">
        <v>34</v>
      </c>
      <c r="C4" s="13" t="s">
        <v>42</v>
      </c>
      <c r="D4" s="13" t="s">
        <v>207</v>
      </c>
      <c r="E4" s="13" t="s">
        <v>207</v>
      </c>
      <c r="F4" s="13" t="s">
        <v>44</v>
      </c>
      <c r="G4" s="13" t="s">
        <v>45</v>
      </c>
      <c r="H4" s="14">
        <v>1600</v>
      </c>
      <c r="I4" s="15">
        <v>20</v>
      </c>
      <c r="J4" s="16">
        <f t="shared" ref="J4:J8" si="4">H4*I4</f>
        <v>32000</v>
      </c>
      <c r="K4" s="17">
        <v>46062</v>
      </c>
      <c r="L4" s="10">
        <v>2120</v>
      </c>
      <c r="M4" s="18">
        <f t="shared" si="0"/>
        <v>1600</v>
      </c>
      <c r="N4" s="19">
        <f t="shared" si="1"/>
        <v>520</v>
      </c>
      <c r="O4" s="10" t="str">
        <f t="shared" si="2"/>
        <v>INCOMPLETE</v>
      </c>
      <c r="P4" s="10"/>
      <c r="Q4" s="10" t="str">
        <f t="shared" si="3"/>
        <v>OK</v>
      </c>
    </row>
    <row r="5" spans="1:17" x14ac:dyDescent="0.3">
      <c r="A5" s="34" t="s">
        <v>16</v>
      </c>
      <c r="B5" s="13" t="s">
        <v>34</v>
      </c>
      <c r="C5" s="13" t="s">
        <v>42</v>
      </c>
      <c r="D5" s="13" t="s">
        <v>207</v>
      </c>
      <c r="E5" s="13" t="s">
        <v>207</v>
      </c>
      <c r="F5" s="13" t="s">
        <v>48</v>
      </c>
      <c r="G5" s="13" t="s">
        <v>49</v>
      </c>
      <c r="H5" s="14">
        <v>200</v>
      </c>
      <c r="I5" s="15">
        <v>20</v>
      </c>
      <c r="J5" s="16">
        <f t="shared" si="4"/>
        <v>4000</v>
      </c>
      <c r="K5" s="17">
        <v>46062</v>
      </c>
      <c r="L5" s="10">
        <v>200</v>
      </c>
      <c r="M5" s="18">
        <f t="shared" si="0"/>
        <v>200</v>
      </c>
      <c r="N5" s="19">
        <f t="shared" si="1"/>
        <v>0</v>
      </c>
      <c r="O5" s="10" t="str">
        <f t="shared" si="2"/>
        <v>COMPLETE</v>
      </c>
      <c r="P5" s="10"/>
      <c r="Q5" s="10" t="str">
        <f t="shared" si="3"/>
        <v>OK</v>
      </c>
    </row>
    <row r="6" spans="1:17" x14ac:dyDescent="0.3">
      <c r="A6" s="34" t="s">
        <v>16</v>
      </c>
      <c r="B6" s="13" t="s">
        <v>34</v>
      </c>
      <c r="C6" s="13" t="s">
        <v>42</v>
      </c>
      <c r="D6" s="13" t="s">
        <v>269</v>
      </c>
      <c r="E6" s="13" t="s">
        <v>269</v>
      </c>
      <c r="F6" s="13" t="s">
        <v>44</v>
      </c>
      <c r="G6" s="13" t="s">
        <v>45</v>
      </c>
      <c r="H6" s="14">
        <v>160</v>
      </c>
      <c r="I6" s="15">
        <v>20</v>
      </c>
      <c r="J6" s="16">
        <f t="shared" si="4"/>
        <v>3200</v>
      </c>
      <c r="K6" s="17">
        <v>46065</v>
      </c>
      <c r="L6" s="10">
        <v>520</v>
      </c>
      <c r="M6" s="18">
        <f t="shared" si="0"/>
        <v>160</v>
      </c>
      <c r="N6" s="19">
        <f t="shared" si="1"/>
        <v>360</v>
      </c>
      <c r="O6" s="10" t="str">
        <f t="shared" si="2"/>
        <v>INCOMPLETE</v>
      </c>
      <c r="P6" s="10"/>
      <c r="Q6" s="10" t="str">
        <f t="shared" si="3"/>
        <v>OK</v>
      </c>
    </row>
    <row r="7" spans="1:17" x14ac:dyDescent="0.3">
      <c r="A7" s="34" t="s">
        <v>16</v>
      </c>
      <c r="B7" s="13" t="s">
        <v>34</v>
      </c>
      <c r="C7" s="13" t="s">
        <v>42</v>
      </c>
      <c r="D7" s="13" t="s">
        <v>483</v>
      </c>
      <c r="E7" s="13" t="s">
        <v>483</v>
      </c>
      <c r="F7" s="13" t="s">
        <v>44</v>
      </c>
      <c r="G7" s="13" t="s">
        <v>45</v>
      </c>
      <c r="H7" s="14">
        <v>120</v>
      </c>
      <c r="I7" s="15">
        <v>20</v>
      </c>
      <c r="J7" s="16">
        <f t="shared" si="4"/>
        <v>2400</v>
      </c>
      <c r="K7" s="17">
        <v>46113</v>
      </c>
      <c r="L7" s="10">
        <v>360</v>
      </c>
      <c r="M7" s="18">
        <f t="shared" si="0"/>
        <v>120</v>
      </c>
      <c r="N7" s="19">
        <f t="shared" si="1"/>
        <v>240</v>
      </c>
      <c r="O7" s="10" t="str">
        <f t="shared" si="2"/>
        <v>INCOMPLETE</v>
      </c>
      <c r="P7" s="10"/>
      <c r="Q7" s="10" t="str">
        <f t="shared" si="3"/>
        <v>OK</v>
      </c>
    </row>
    <row r="8" spans="1:17" x14ac:dyDescent="0.3">
      <c r="A8" s="34" t="s">
        <v>16</v>
      </c>
      <c r="B8" s="13" t="s">
        <v>34</v>
      </c>
      <c r="C8" s="13" t="s">
        <v>42</v>
      </c>
      <c r="D8" s="13" t="s">
        <v>488</v>
      </c>
      <c r="E8" s="13" t="s">
        <v>488</v>
      </c>
      <c r="F8" s="13" t="s">
        <v>44</v>
      </c>
      <c r="G8" s="13" t="s">
        <v>45</v>
      </c>
      <c r="H8" s="14">
        <v>160</v>
      </c>
      <c r="I8" s="15">
        <v>20</v>
      </c>
      <c r="J8" s="16">
        <f t="shared" si="4"/>
        <v>3200</v>
      </c>
      <c r="K8" s="17">
        <v>46113</v>
      </c>
      <c r="L8" s="10">
        <v>240</v>
      </c>
      <c r="M8" s="18">
        <f t="shared" si="0"/>
        <v>160</v>
      </c>
      <c r="N8" s="19">
        <f t="shared" si="1"/>
        <v>80</v>
      </c>
      <c r="O8" s="10" t="str">
        <f t="shared" si="2"/>
        <v>INCOMPLETE</v>
      </c>
      <c r="P8" s="10"/>
      <c r="Q8" s="10" t="str">
        <f t="shared" si="3"/>
        <v>OK</v>
      </c>
    </row>
    <row r="9" spans="1:17" x14ac:dyDescent="0.3">
      <c r="A9" s="65" t="s">
        <v>18</v>
      </c>
      <c r="B9" s="13" t="s">
        <v>34</v>
      </c>
      <c r="C9" s="13" t="s">
        <v>46</v>
      </c>
      <c r="D9" s="13" t="s">
        <v>47</v>
      </c>
      <c r="E9" s="13" t="s">
        <v>47</v>
      </c>
      <c r="F9" s="13" t="s">
        <v>48</v>
      </c>
      <c r="G9" s="13" t="s">
        <v>49</v>
      </c>
      <c r="H9" s="14">
        <v>40</v>
      </c>
      <c r="I9" s="15">
        <v>20</v>
      </c>
      <c r="J9" s="16">
        <f>H9*I9</f>
        <v>800</v>
      </c>
      <c r="K9" s="17">
        <v>46027</v>
      </c>
      <c r="L9" s="10">
        <v>180</v>
      </c>
      <c r="M9" s="18">
        <f t="shared" si="0"/>
        <v>40</v>
      </c>
      <c r="N9" s="19">
        <f t="shared" ref="N9:N48" si="5">L9-M9</f>
        <v>140</v>
      </c>
      <c r="O9" s="10" t="str">
        <f t="shared" ref="O9:O80" si="6">IF(N9=0,"COMPLETE","INCOMPLETE")</f>
        <v>INCOMPLETE</v>
      </c>
      <c r="P9" s="10"/>
      <c r="Q9" s="10" t="str">
        <f t="shared" si="3"/>
        <v>OK</v>
      </c>
    </row>
    <row r="10" spans="1:17" x14ac:dyDescent="0.3">
      <c r="A10" s="65">
        <v>2</v>
      </c>
      <c r="B10" s="13" t="s">
        <v>34</v>
      </c>
      <c r="C10" s="13" t="s">
        <v>46</v>
      </c>
      <c r="D10" s="13" t="s">
        <v>633</v>
      </c>
      <c r="E10" s="13" t="s">
        <v>633</v>
      </c>
      <c r="F10" s="13" t="s">
        <v>48</v>
      </c>
      <c r="G10" s="13" t="s">
        <v>49</v>
      </c>
      <c r="H10" s="14">
        <v>20</v>
      </c>
      <c r="I10" s="15">
        <v>20</v>
      </c>
      <c r="J10" s="16">
        <f>H10*I10</f>
        <v>400</v>
      </c>
      <c r="K10" s="17">
        <v>46150</v>
      </c>
      <c r="L10" s="10">
        <v>140</v>
      </c>
      <c r="M10" s="18">
        <f t="shared" si="0"/>
        <v>20</v>
      </c>
      <c r="N10" s="19">
        <f t="shared" si="5"/>
        <v>120</v>
      </c>
      <c r="O10" s="10" t="str">
        <f t="shared" si="6"/>
        <v>INCOMPLETE</v>
      </c>
      <c r="P10" s="10"/>
      <c r="Q10" s="10" t="str">
        <f t="shared" si="3"/>
        <v>OK</v>
      </c>
    </row>
    <row r="11" spans="1:17" x14ac:dyDescent="0.3">
      <c r="A11" s="65">
        <v>2</v>
      </c>
      <c r="B11" s="13" t="s">
        <v>34</v>
      </c>
      <c r="C11" s="13" t="s">
        <v>46</v>
      </c>
      <c r="D11" s="13" t="s">
        <v>664</v>
      </c>
      <c r="E11" s="13" t="s">
        <v>664</v>
      </c>
      <c r="F11" s="13" t="s">
        <v>48</v>
      </c>
      <c r="G11" s="13" t="s">
        <v>49</v>
      </c>
      <c r="H11" s="14">
        <v>50</v>
      </c>
      <c r="I11" s="15">
        <v>20</v>
      </c>
      <c r="J11" s="16">
        <f>H11*I11</f>
        <v>1000</v>
      </c>
      <c r="K11" s="17">
        <v>46160</v>
      </c>
      <c r="L11" s="10">
        <v>120</v>
      </c>
      <c r="M11" s="18">
        <f t="shared" si="0"/>
        <v>50</v>
      </c>
      <c r="N11" s="19">
        <f t="shared" si="5"/>
        <v>70</v>
      </c>
      <c r="O11" s="10" t="str">
        <f t="shared" si="6"/>
        <v>INCOMPLETE</v>
      </c>
      <c r="P11" s="10"/>
      <c r="Q11" s="10" t="str">
        <f t="shared" si="3"/>
        <v>OK</v>
      </c>
    </row>
    <row r="12" spans="1:17" x14ac:dyDescent="0.3">
      <c r="A12" s="31" t="s">
        <v>38</v>
      </c>
      <c r="B12" s="13" t="s">
        <v>50</v>
      </c>
      <c r="C12" s="13" t="s">
        <v>51</v>
      </c>
      <c r="D12" s="13" t="s">
        <v>21</v>
      </c>
      <c r="E12" s="13" t="s">
        <v>21</v>
      </c>
      <c r="F12" s="13" t="s">
        <v>52</v>
      </c>
      <c r="G12" s="13" t="s">
        <v>53</v>
      </c>
      <c r="H12" s="14">
        <v>20</v>
      </c>
      <c r="I12" s="15">
        <v>19</v>
      </c>
      <c r="J12" s="16">
        <f t="shared" ref="J12:J48" si="7">H12*I12</f>
        <v>380</v>
      </c>
      <c r="K12" s="17">
        <v>46027</v>
      </c>
      <c r="L12" s="10">
        <v>100</v>
      </c>
      <c r="M12" s="18">
        <f t="shared" si="0"/>
        <v>20</v>
      </c>
      <c r="N12" s="19">
        <f t="shared" si="5"/>
        <v>80</v>
      </c>
      <c r="O12" s="10" t="str">
        <f t="shared" si="6"/>
        <v>INCOMPLETE</v>
      </c>
      <c r="P12" s="10"/>
      <c r="Q12" s="10" t="str">
        <f t="shared" si="3"/>
        <v>OK</v>
      </c>
    </row>
    <row r="13" spans="1:17" x14ac:dyDescent="0.3">
      <c r="A13" s="31" t="s">
        <v>38</v>
      </c>
      <c r="B13" s="13" t="s">
        <v>50</v>
      </c>
      <c r="C13" s="13" t="s">
        <v>51</v>
      </c>
      <c r="D13" s="13" t="s">
        <v>135</v>
      </c>
      <c r="E13" s="13" t="s">
        <v>135</v>
      </c>
      <c r="F13" s="13" t="s">
        <v>52</v>
      </c>
      <c r="G13" s="13" t="s">
        <v>53</v>
      </c>
      <c r="H13" s="14">
        <v>80</v>
      </c>
      <c r="I13" s="15">
        <v>19</v>
      </c>
      <c r="J13" s="16">
        <f t="shared" si="7"/>
        <v>1520</v>
      </c>
      <c r="K13" s="17">
        <v>46031</v>
      </c>
      <c r="L13" s="10">
        <v>80</v>
      </c>
      <c r="M13" s="18">
        <f t="shared" si="0"/>
        <v>80</v>
      </c>
      <c r="N13" s="19">
        <f t="shared" si="5"/>
        <v>0</v>
      </c>
      <c r="O13" s="10" t="str">
        <f t="shared" si="6"/>
        <v>COMPLETE</v>
      </c>
      <c r="P13" s="10"/>
      <c r="Q13" s="10" t="str">
        <f t="shared" si="3"/>
        <v>OK</v>
      </c>
    </row>
    <row r="14" spans="1:17" x14ac:dyDescent="0.3">
      <c r="A14" s="10" t="s">
        <v>54</v>
      </c>
      <c r="B14" s="13" t="s">
        <v>67</v>
      </c>
      <c r="C14" s="13" t="s">
        <v>68</v>
      </c>
      <c r="D14" s="13" t="s">
        <v>39</v>
      </c>
      <c r="E14" s="13" t="s">
        <v>43</v>
      </c>
      <c r="F14" s="13" t="s">
        <v>52</v>
      </c>
      <c r="G14" s="13" t="s">
        <v>53</v>
      </c>
      <c r="H14" s="14">
        <v>25</v>
      </c>
      <c r="I14" s="15">
        <v>26</v>
      </c>
      <c r="J14" s="16">
        <f t="shared" si="7"/>
        <v>650</v>
      </c>
      <c r="K14" s="17">
        <v>46027</v>
      </c>
      <c r="L14" s="10">
        <v>25</v>
      </c>
      <c r="M14" s="18">
        <f t="shared" si="0"/>
        <v>25</v>
      </c>
      <c r="N14" s="19">
        <f t="shared" si="5"/>
        <v>0</v>
      </c>
      <c r="O14" s="10" t="str">
        <f t="shared" si="6"/>
        <v>COMPLETE</v>
      </c>
      <c r="P14" s="10"/>
      <c r="Q14" s="10" t="str">
        <f t="shared" si="3"/>
        <v>OK</v>
      </c>
    </row>
    <row r="15" spans="1:17" x14ac:dyDescent="0.3">
      <c r="A15" s="10" t="s">
        <v>69</v>
      </c>
      <c r="B15" s="13" t="s">
        <v>70</v>
      </c>
      <c r="C15" s="13" t="s">
        <v>71</v>
      </c>
      <c r="D15" s="13" t="s">
        <v>21</v>
      </c>
      <c r="E15" s="13" t="s">
        <v>21</v>
      </c>
      <c r="F15" s="13" t="s">
        <v>44</v>
      </c>
      <c r="G15" s="13" t="s">
        <v>45</v>
      </c>
      <c r="H15" s="14">
        <v>80</v>
      </c>
      <c r="I15" s="15">
        <v>20</v>
      </c>
      <c r="J15" s="16">
        <f t="shared" si="7"/>
        <v>1600</v>
      </c>
      <c r="K15" s="17">
        <v>46027</v>
      </c>
      <c r="L15" s="10">
        <v>80</v>
      </c>
      <c r="M15" s="18">
        <f t="shared" si="0"/>
        <v>80</v>
      </c>
      <c r="N15" s="19">
        <f t="shared" si="5"/>
        <v>0</v>
      </c>
      <c r="O15" s="10" t="str">
        <f t="shared" si="6"/>
        <v>COMPLETE</v>
      </c>
      <c r="P15" s="10"/>
      <c r="Q15" s="10" t="str">
        <f t="shared" si="3"/>
        <v>OK</v>
      </c>
    </row>
    <row r="16" spans="1:17" x14ac:dyDescent="0.3">
      <c r="A16" s="10" t="s">
        <v>72</v>
      </c>
      <c r="B16" s="13" t="s">
        <v>73</v>
      </c>
      <c r="C16" s="13" t="s">
        <v>74</v>
      </c>
      <c r="D16" s="13" t="s">
        <v>21</v>
      </c>
      <c r="E16" s="13" t="s">
        <v>21</v>
      </c>
      <c r="F16" s="13" t="s">
        <v>44</v>
      </c>
      <c r="G16" s="13" t="s">
        <v>45</v>
      </c>
      <c r="H16" s="14">
        <v>80</v>
      </c>
      <c r="I16" s="15">
        <v>26</v>
      </c>
      <c r="J16" s="16">
        <f t="shared" si="7"/>
        <v>2080</v>
      </c>
      <c r="K16" s="17">
        <v>46027</v>
      </c>
      <c r="L16" s="10">
        <v>80</v>
      </c>
      <c r="M16" s="18">
        <f t="shared" si="0"/>
        <v>80</v>
      </c>
      <c r="N16" s="19">
        <f t="shared" si="5"/>
        <v>0</v>
      </c>
      <c r="O16" s="10" t="str">
        <f t="shared" si="6"/>
        <v>COMPLETE</v>
      </c>
      <c r="P16" s="10"/>
      <c r="Q16" s="10" t="str">
        <f t="shared" si="3"/>
        <v>OK</v>
      </c>
    </row>
    <row r="17" spans="1:17" x14ac:dyDescent="0.3">
      <c r="A17" s="10" t="s">
        <v>85</v>
      </c>
      <c r="B17" s="13" t="s">
        <v>86</v>
      </c>
      <c r="C17" s="13" t="s">
        <v>87</v>
      </c>
      <c r="D17" s="13" t="s">
        <v>21</v>
      </c>
      <c r="E17" s="13" t="s">
        <v>21</v>
      </c>
      <c r="F17" s="13" t="s">
        <v>44</v>
      </c>
      <c r="G17" s="13" t="s">
        <v>45</v>
      </c>
      <c r="H17" s="14">
        <v>120</v>
      </c>
      <c r="I17" s="15">
        <v>28</v>
      </c>
      <c r="J17" s="16">
        <f t="shared" si="7"/>
        <v>3360</v>
      </c>
      <c r="K17" s="17">
        <v>46028</v>
      </c>
      <c r="L17" s="10">
        <v>120</v>
      </c>
      <c r="M17" s="18">
        <f t="shared" si="0"/>
        <v>120</v>
      </c>
      <c r="N17" s="19">
        <f t="shared" si="5"/>
        <v>0</v>
      </c>
      <c r="O17" s="10" t="str">
        <f t="shared" si="6"/>
        <v>COMPLETE</v>
      </c>
      <c r="P17" s="10"/>
      <c r="Q17" s="10" t="str">
        <f t="shared" si="3"/>
        <v>OK</v>
      </c>
    </row>
    <row r="18" spans="1:17" x14ac:dyDescent="0.3">
      <c r="A18" s="33" t="s">
        <v>88</v>
      </c>
      <c r="B18" s="13" t="s">
        <v>67</v>
      </c>
      <c r="C18" s="13" t="s">
        <v>89</v>
      </c>
      <c r="D18" s="13" t="s">
        <v>43</v>
      </c>
      <c r="E18" s="13" t="s">
        <v>47</v>
      </c>
      <c r="F18" s="13" t="s">
        <v>48</v>
      </c>
      <c r="G18" s="13" t="s">
        <v>49</v>
      </c>
      <c r="H18" s="14">
        <v>20</v>
      </c>
      <c r="I18" s="15">
        <v>26</v>
      </c>
      <c r="J18" s="16">
        <f t="shared" si="7"/>
        <v>520</v>
      </c>
      <c r="K18" s="17">
        <v>46028</v>
      </c>
      <c r="L18" s="10">
        <v>20</v>
      </c>
      <c r="M18" s="18">
        <f t="shared" si="0"/>
        <v>20</v>
      </c>
      <c r="N18" s="19">
        <f t="shared" si="5"/>
        <v>0</v>
      </c>
      <c r="O18" s="10" t="str">
        <f t="shared" si="6"/>
        <v>COMPLETE</v>
      </c>
      <c r="P18" s="10"/>
      <c r="Q18" s="10" t="str">
        <f t="shared" si="3"/>
        <v>OK</v>
      </c>
    </row>
    <row r="19" spans="1:17" x14ac:dyDescent="0.3">
      <c r="A19" s="33" t="s">
        <v>88</v>
      </c>
      <c r="B19" s="13" t="s">
        <v>67</v>
      </c>
      <c r="C19" s="13" t="s">
        <v>89</v>
      </c>
      <c r="D19" s="13" t="s">
        <v>207</v>
      </c>
      <c r="E19" s="13" t="s">
        <v>208</v>
      </c>
      <c r="F19" s="13" t="s">
        <v>155</v>
      </c>
      <c r="G19" s="13" t="s">
        <v>154</v>
      </c>
      <c r="H19" s="14">
        <v>30</v>
      </c>
      <c r="I19" s="15">
        <v>26</v>
      </c>
      <c r="J19" s="16">
        <f t="shared" si="7"/>
        <v>780</v>
      </c>
      <c r="K19" s="17">
        <v>46048</v>
      </c>
      <c r="L19" s="10">
        <v>30</v>
      </c>
      <c r="M19" s="18">
        <f t="shared" si="0"/>
        <v>30</v>
      </c>
      <c r="N19" s="19">
        <f t="shared" si="5"/>
        <v>0</v>
      </c>
      <c r="O19" s="10" t="str">
        <f t="shared" si="6"/>
        <v>COMPLETE</v>
      </c>
      <c r="P19" s="10"/>
      <c r="Q19" s="10" t="str">
        <f t="shared" si="3"/>
        <v>OK</v>
      </c>
    </row>
    <row r="20" spans="1:17" x14ac:dyDescent="0.3">
      <c r="A20" s="9" t="s">
        <v>90</v>
      </c>
      <c r="B20" s="13" t="s">
        <v>91</v>
      </c>
      <c r="C20" s="13" t="s">
        <v>92</v>
      </c>
      <c r="D20" s="13" t="s">
        <v>21</v>
      </c>
      <c r="E20" s="13" t="s">
        <v>21</v>
      </c>
      <c r="F20" s="13" t="s">
        <v>44</v>
      </c>
      <c r="G20" s="13" t="s">
        <v>45</v>
      </c>
      <c r="H20" s="14">
        <v>120</v>
      </c>
      <c r="I20" s="15">
        <v>21</v>
      </c>
      <c r="J20" s="16">
        <f t="shared" si="7"/>
        <v>2520</v>
      </c>
      <c r="K20" s="17">
        <v>46028</v>
      </c>
      <c r="L20" s="10">
        <v>180</v>
      </c>
      <c r="M20" s="18">
        <f t="shared" si="0"/>
        <v>120</v>
      </c>
      <c r="N20" s="19">
        <f t="shared" si="5"/>
        <v>60</v>
      </c>
      <c r="O20" s="10" t="str">
        <f t="shared" si="6"/>
        <v>INCOMPLETE</v>
      </c>
      <c r="P20" s="10"/>
      <c r="Q20" s="10" t="str">
        <f t="shared" si="3"/>
        <v>OK</v>
      </c>
    </row>
    <row r="21" spans="1:17" x14ac:dyDescent="0.3">
      <c r="A21" s="9" t="s">
        <v>90</v>
      </c>
      <c r="B21" s="13" t="s">
        <v>91</v>
      </c>
      <c r="C21" s="13" t="s">
        <v>92</v>
      </c>
      <c r="D21" s="13" t="s">
        <v>98</v>
      </c>
      <c r="E21" s="13" t="s">
        <v>98</v>
      </c>
      <c r="F21" s="13" t="s">
        <v>44</v>
      </c>
      <c r="G21" s="13" t="s">
        <v>45</v>
      </c>
      <c r="H21" s="14">
        <v>60</v>
      </c>
      <c r="I21" s="15">
        <v>21</v>
      </c>
      <c r="J21" s="16">
        <f t="shared" si="7"/>
        <v>1260</v>
      </c>
      <c r="K21" s="17">
        <v>46097</v>
      </c>
      <c r="L21" s="10">
        <v>60</v>
      </c>
      <c r="M21" s="18">
        <f t="shared" si="0"/>
        <v>60</v>
      </c>
      <c r="N21" s="19">
        <f t="shared" si="5"/>
        <v>0</v>
      </c>
      <c r="O21" s="10" t="str">
        <f t="shared" si="6"/>
        <v>COMPLETE</v>
      </c>
      <c r="P21" s="10"/>
      <c r="Q21" s="10" t="str">
        <f t="shared" si="3"/>
        <v>OK</v>
      </c>
    </row>
    <row r="22" spans="1:17" x14ac:dyDescent="0.3">
      <c r="A22" s="48" t="s">
        <v>108</v>
      </c>
      <c r="B22" s="13" t="s">
        <v>109</v>
      </c>
      <c r="C22" s="13" t="s">
        <v>110</v>
      </c>
      <c r="D22" s="13" t="s">
        <v>39</v>
      </c>
      <c r="E22" s="13" t="s">
        <v>39</v>
      </c>
      <c r="F22" s="13" t="s">
        <v>111</v>
      </c>
      <c r="G22" s="13" t="s">
        <v>112</v>
      </c>
      <c r="H22" s="14">
        <v>20</v>
      </c>
      <c r="I22" s="15">
        <v>20</v>
      </c>
      <c r="J22" s="16">
        <f t="shared" si="7"/>
        <v>400</v>
      </c>
      <c r="K22" s="17">
        <v>46030</v>
      </c>
      <c r="L22" s="10">
        <v>20</v>
      </c>
      <c r="M22" s="18">
        <f t="shared" si="0"/>
        <v>20</v>
      </c>
      <c r="N22" s="19">
        <f t="shared" si="5"/>
        <v>0</v>
      </c>
      <c r="O22" s="10" t="str">
        <f t="shared" si="6"/>
        <v>COMPLETE</v>
      </c>
      <c r="P22" s="10"/>
      <c r="Q22" s="10" t="str">
        <f t="shared" si="3"/>
        <v>OK</v>
      </c>
    </row>
    <row r="23" spans="1:17" x14ac:dyDescent="0.3">
      <c r="A23" s="48" t="s">
        <v>108</v>
      </c>
      <c r="B23" s="13" t="s">
        <v>109</v>
      </c>
      <c r="C23" s="13" t="s">
        <v>110</v>
      </c>
      <c r="D23" s="13" t="s">
        <v>43</v>
      </c>
      <c r="E23" s="13" t="s">
        <v>43</v>
      </c>
      <c r="F23" s="13" t="s">
        <v>52</v>
      </c>
      <c r="G23" s="13" t="s">
        <v>53</v>
      </c>
      <c r="H23" s="14">
        <v>30</v>
      </c>
      <c r="I23" s="15">
        <v>20</v>
      </c>
      <c r="J23" s="16">
        <f t="shared" si="7"/>
        <v>600</v>
      </c>
      <c r="K23" s="17">
        <v>46037</v>
      </c>
      <c r="L23" s="10">
        <v>30</v>
      </c>
      <c r="M23" s="18">
        <f t="shared" si="0"/>
        <v>30</v>
      </c>
      <c r="N23" s="19">
        <f t="shared" si="5"/>
        <v>0</v>
      </c>
      <c r="O23" s="10" t="str">
        <f t="shared" si="6"/>
        <v>COMPLETE</v>
      </c>
      <c r="P23" s="10"/>
      <c r="Q23" s="10" t="str">
        <f t="shared" si="3"/>
        <v>OK</v>
      </c>
    </row>
    <row r="24" spans="1:17" x14ac:dyDescent="0.3">
      <c r="A24" s="48" t="s">
        <v>108</v>
      </c>
      <c r="B24" s="13" t="s">
        <v>109</v>
      </c>
      <c r="C24" s="13" t="s">
        <v>110</v>
      </c>
      <c r="D24" s="13" t="s">
        <v>43</v>
      </c>
      <c r="E24" s="13" t="s">
        <v>43</v>
      </c>
      <c r="F24" s="13" t="s">
        <v>44</v>
      </c>
      <c r="G24" s="13" t="s">
        <v>45</v>
      </c>
      <c r="H24" s="14">
        <v>10</v>
      </c>
      <c r="I24" s="15">
        <v>20</v>
      </c>
      <c r="J24" s="16">
        <f t="shared" si="7"/>
        <v>200</v>
      </c>
      <c r="K24" s="17">
        <v>46037</v>
      </c>
      <c r="L24" s="10">
        <v>10</v>
      </c>
      <c r="M24" s="18">
        <f t="shared" si="0"/>
        <v>10</v>
      </c>
      <c r="N24" s="19">
        <f t="shared" si="5"/>
        <v>0</v>
      </c>
      <c r="O24" s="10" t="str">
        <f t="shared" si="6"/>
        <v>COMPLETE</v>
      </c>
      <c r="P24" s="10"/>
      <c r="Q24" s="10" t="str">
        <f t="shared" si="3"/>
        <v>OK</v>
      </c>
    </row>
    <row r="25" spans="1:17" x14ac:dyDescent="0.3">
      <c r="A25" s="31" t="s">
        <v>115</v>
      </c>
      <c r="B25" s="13" t="s">
        <v>28</v>
      </c>
      <c r="C25" s="13" t="s">
        <v>116</v>
      </c>
      <c r="D25" s="13" t="s">
        <v>47</v>
      </c>
      <c r="E25" s="13" t="s">
        <v>94</v>
      </c>
      <c r="F25" s="13" t="s">
        <v>117</v>
      </c>
      <c r="G25" s="13" t="s">
        <v>118</v>
      </c>
      <c r="H25" s="14">
        <v>80</v>
      </c>
      <c r="I25" s="15">
        <v>26</v>
      </c>
      <c r="J25" s="16">
        <f t="shared" si="7"/>
        <v>2080</v>
      </c>
      <c r="K25" s="17">
        <v>46030</v>
      </c>
      <c r="L25" s="10">
        <v>200</v>
      </c>
      <c r="M25" s="18">
        <f t="shared" si="0"/>
        <v>80</v>
      </c>
      <c r="N25" s="19">
        <f t="shared" si="5"/>
        <v>120</v>
      </c>
      <c r="O25" s="10" t="str">
        <f t="shared" si="6"/>
        <v>INCOMPLETE</v>
      </c>
      <c r="P25" s="10"/>
      <c r="Q25" s="10" t="str">
        <f t="shared" si="3"/>
        <v>OK</v>
      </c>
    </row>
    <row r="26" spans="1:17" x14ac:dyDescent="0.3">
      <c r="A26" s="31" t="s">
        <v>115</v>
      </c>
      <c r="B26" s="13" t="s">
        <v>28</v>
      </c>
      <c r="C26" s="13" t="s">
        <v>116</v>
      </c>
      <c r="D26" s="13" t="s">
        <v>208</v>
      </c>
      <c r="E26" s="13" t="s">
        <v>209</v>
      </c>
      <c r="F26" s="13" t="s">
        <v>117</v>
      </c>
      <c r="G26" s="13" t="s">
        <v>118</v>
      </c>
      <c r="H26" s="14">
        <v>120</v>
      </c>
      <c r="I26" s="15">
        <v>26</v>
      </c>
      <c r="J26" s="16">
        <f t="shared" si="7"/>
        <v>3120</v>
      </c>
      <c r="K26" s="17">
        <v>46048</v>
      </c>
      <c r="L26" s="10">
        <v>120</v>
      </c>
      <c r="M26" s="18">
        <f t="shared" si="0"/>
        <v>120</v>
      </c>
      <c r="N26" s="19">
        <f t="shared" si="5"/>
        <v>0</v>
      </c>
      <c r="O26" s="10" t="str">
        <f t="shared" si="6"/>
        <v>COMPLETE</v>
      </c>
      <c r="P26" s="10"/>
      <c r="Q26" s="10" t="str">
        <f t="shared" si="3"/>
        <v>OK</v>
      </c>
    </row>
    <row r="27" spans="1:17" x14ac:dyDescent="0.3">
      <c r="A27" s="10" t="s">
        <v>128</v>
      </c>
      <c r="B27" s="13" t="s">
        <v>73</v>
      </c>
      <c r="C27" s="13" t="s">
        <v>127</v>
      </c>
      <c r="D27" s="13" t="s">
        <v>43</v>
      </c>
      <c r="E27" s="13" t="s">
        <v>43</v>
      </c>
      <c r="F27" s="13" t="s">
        <v>44</v>
      </c>
      <c r="G27" s="13" t="s">
        <v>45</v>
      </c>
      <c r="H27" s="14">
        <v>120</v>
      </c>
      <c r="I27" s="15">
        <v>26</v>
      </c>
      <c r="J27" s="16">
        <f t="shared" si="7"/>
        <v>3120</v>
      </c>
      <c r="K27" s="17">
        <v>46031</v>
      </c>
      <c r="L27" s="10">
        <v>120</v>
      </c>
      <c r="M27" s="18">
        <f t="shared" si="0"/>
        <v>120</v>
      </c>
      <c r="N27" s="19">
        <f t="shared" si="5"/>
        <v>0</v>
      </c>
      <c r="O27" s="10" t="str">
        <f t="shared" si="6"/>
        <v>COMPLETE</v>
      </c>
      <c r="P27" s="10"/>
      <c r="Q27" s="10" t="str">
        <f t="shared" si="3"/>
        <v>OK</v>
      </c>
    </row>
    <row r="28" spans="1:17" x14ac:dyDescent="0.3">
      <c r="A28" s="10" t="s">
        <v>142</v>
      </c>
      <c r="B28" s="13" t="s">
        <v>143</v>
      </c>
      <c r="C28" s="13" t="s">
        <v>144</v>
      </c>
      <c r="D28" s="13" t="s">
        <v>21</v>
      </c>
      <c r="E28" s="13" t="s">
        <v>21</v>
      </c>
      <c r="F28" s="13" t="s">
        <v>48</v>
      </c>
      <c r="G28" s="13" t="s">
        <v>49</v>
      </c>
      <c r="H28" s="14">
        <v>10</v>
      </c>
      <c r="I28" s="15">
        <v>20</v>
      </c>
      <c r="J28" s="16">
        <f t="shared" si="7"/>
        <v>200</v>
      </c>
      <c r="K28" s="17">
        <v>46035</v>
      </c>
      <c r="L28" s="10">
        <v>10</v>
      </c>
      <c r="M28" s="18">
        <f t="shared" si="0"/>
        <v>10</v>
      </c>
      <c r="N28" s="19">
        <f t="shared" si="5"/>
        <v>0</v>
      </c>
      <c r="O28" s="10" t="str">
        <f t="shared" si="6"/>
        <v>COMPLETE</v>
      </c>
      <c r="P28" s="10"/>
      <c r="Q28" s="10" t="str">
        <f t="shared" si="3"/>
        <v>OK</v>
      </c>
    </row>
    <row r="29" spans="1:17" x14ac:dyDescent="0.3">
      <c r="A29" s="10" t="s">
        <v>148</v>
      </c>
      <c r="B29" s="13" t="s">
        <v>67</v>
      </c>
      <c r="C29" s="13" t="s">
        <v>149</v>
      </c>
      <c r="D29" s="13" t="s">
        <v>98</v>
      </c>
      <c r="E29" s="13" t="s">
        <v>135</v>
      </c>
      <c r="F29" s="13" t="s">
        <v>117</v>
      </c>
      <c r="G29" s="13" t="s">
        <v>118</v>
      </c>
      <c r="H29" s="14">
        <v>20</v>
      </c>
      <c r="I29" s="15">
        <v>26</v>
      </c>
      <c r="J29" s="16">
        <f t="shared" si="7"/>
        <v>520</v>
      </c>
      <c r="K29" s="17">
        <v>46035</v>
      </c>
      <c r="L29" s="10">
        <v>20</v>
      </c>
      <c r="M29" s="18">
        <f t="shared" si="0"/>
        <v>20</v>
      </c>
      <c r="N29" s="19">
        <f t="shared" si="5"/>
        <v>0</v>
      </c>
      <c r="O29" s="10" t="str">
        <f t="shared" si="6"/>
        <v>COMPLETE</v>
      </c>
      <c r="P29" s="10"/>
      <c r="Q29" s="10" t="str">
        <f t="shared" si="3"/>
        <v>OK</v>
      </c>
    </row>
    <row r="30" spans="1:17" x14ac:dyDescent="0.3">
      <c r="A30" s="30" t="s">
        <v>152</v>
      </c>
      <c r="B30" s="13" t="s">
        <v>67</v>
      </c>
      <c r="C30" s="13" t="s">
        <v>153</v>
      </c>
      <c r="D30" s="13" t="s">
        <v>135</v>
      </c>
      <c r="E30" s="13" t="s">
        <v>134</v>
      </c>
      <c r="F30" s="13" t="s">
        <v>155</v>
      </c>
      <c r="G30" s="13" t="s">
        <v>154</v>
      </c>
      <c r="H30" s="14">
        <v>4</v>
      </c>
      <c r="I30" s="15">
        <v>26</v>
      </c>
      <c r="J30" s="16">
        <f t="shared" si="7"/>
        <v>104</v>
      </c>
      <c r="K30" s="17">
        <v>46036</v>
      </c>
      <c r="L30" s="10">
        <v>10</v>
      </c>
      <c r="M30" s="18">
        <f t="shared" si="0"/>
        <v>4</v>
      </c>
      <c r="N30" s="19">
        <f t="shared" si="5"/>
        <v>6</v>
      </c>
      <c r="O30" s="10" t="str">
        <f t="shared" si="6"/>
        <v>INCOMPLETE</v>
      </c>
      <c r="P30" s="10"/>
      <c r="Q30" s="10" t="str">
        <f t="shared" si="3"/>
        <v>OK</v>
      </c>
    </row>
    <row r="31" spans="1:17" x14ac:dyDescent="0.3">
      <c r="A31" s="30" t="s">
        <v>152</v>
      </c>
      <c r="B31" s="13" t="s">
        <v>67</v>
      </c>
      <c r="C31" s="13" t="s">
        <v>153</v>
      </c>
      <c r="D31" s="13" t="s">
        <v>135</v>
      </c>
      <c r="E31" s="13" t="s">
        <v>134</v>
      </c>
      <c r="F31" s="13" t="s">
        <v>48</v>
      </c>
      <c r="G31" s="13" t="s">
        <v>49</v>
      </c>
      <c r="H31" s="14">
        <v>4</v>
      </c>
      <c r="I31" s="15">
        <v>26</v>
      </c>
      <c r="J31" s="16">
        <f t="shared" si="7"/>
        <v>104</v>
      </c>
      <c r="K31" s="17">
        <v>46036</v>
      </c>
      <c r="L31" s="10">
        <v>10</v>
      </c>
      <c r="M31" s="18">
        <f t="shared" si="0"/>
        <v>4</v>
      </c>
      <c r="N31" s="19">
        <f t="shared" si="5"/>
        <v>6</v>
      </c>
      <c r="O31" s="10" t="str">
        <f t="shared" si="6"/>
        <v>INCOMPLETE</v>
      </c>
      <c r="P31" s="10"/>
      <c r="Q31" s="10" t="str">
        <f t="shared" si="3"/>
        <v>OK</v>
      </c>
    </row>
    <row r="32" spans="1:17" x14ac:dyDescent="0.3">
      <c r="A32" s="30" t="s">
        <v>152</v>
      </c>
      <c r="B32" s="13" t="s">
        <v>67</v>
      </c>
      <c r="C32" s="13" t="s">
        <v>153</v>
      </c>
      <c r="D32" s="13" t="s">
        <v>189</v>
      </c>
      <c r="E32" s="13" t="s">
        <v>207</v>
      </c>
      <c r="F32" s="13" t="s">
        <v>155</v>
      </c>
      <c r="G32" s="13" t="s">
        <v>154</v>
      </c>
      <c r="H32" s="14">
        <v>6</v>
      </c>
      <c r="I32" s="15">
        <v>26</v>
      </c>
      <c r="J32" s="16">
        <f t="shared" si="7"/>
        <v>156</v>
      </c>
      <c r="K32" s="17">
        <v>46048</v>
      </c>
      <c r="L32" s="10">
        <v>6</v>
      </c>
      <c r="M32" s="18">
        <f t="shared" si="0"/>
        <v>6</v>
      </c>
      <c r="N32" s="19">
        <f t="shared" si="5"/>
        <v>0</v>
      </c>
      <c r="O32" s="10" t="str">
        <f t="shared" si="6"/>
        <v>COMPLETE</v>
      </c>
      <c r="P32" s="10"/>
      <c r="Q32" s="10" t="str">
        <f t="shared" si="3"/>
        <v>OK</v>
      </c>
    </row>
    <row r="33" spans="1:17" x14ac:dyDescent="0.3">
      <c r="A33" s="30" t="s">
        <v>152</v>
      </c>
      <c r="B33" s="13" t="s">
        <v>67</v>
      </c>
      <c r="C33" s="13" t="s">
        <v>153</v>
      </c>
      <c r="D33" s="13" t="s">
        <v>189</v>
      </c>
      <c r="E33" s="13" t="s">
        <v>207</v>
      </c>
      <c r="F33" s="13" t="s">
        <v>48</v>
      </c>
      <c r="G33" s="13" t="s">
        <v>49</v>
      </c>
      <c r="H33" s="14">
        <v>6</v>
      </c>
      <c r="I33" s="15">
        <v>26</v>
      </c>
      <c r="J33" s="16">
        <f t="shared" si="7"/>
        <v>156</v>
      </c>
      <c r="K33" s="17">
        <v>46048</v>
      </c>
      <c r="L33" s="10">
        <v>6</v>
      </c>
      <c r="M33" s="18">
        <f t="shared" si="0"/>
        <v>6</v>
      </c>
      <c r="N33" s="19">
        <f t="shared" si="5"/>
        <v>0</v>
      </c>
      <c r="O33" s="10" t="str">
        <f t="shared" si="6"/>
        <v>COMPLETE</v>
      </c>
      <c r="P33" s="10"/>
      <c r="Q33" s="10" t="str">
        <f t="shared" si="3"/>
        <v>OK</v>
      </c>
    </row>
    <row r="34" spans="1:17" x14ac:dyDescent="0.3">
      <c r="A34" s="10" t="s">
        <v>160</v>
      </c>
      <c r="B34" s="13" t="s">
        <v>28</v>
      </c>
      <c r="C34" s="13" t="s">
        <v>161</v>
      </c>
      <c r="D34" s="13" t="s">
        <v>134</v>
      </c>
      <c r="E34" s="13" t="s">
        <v>133</v>
      </c>
      <c r="F34" s="13" t="s">
        <v>44</v>
      </c>
      <c r="G34" s="13" t="s">
        <v>45</v>
      </c>
      <c r="H34" s="14">
        <v>10</v>
      </c>
      <c r="I34" s="15">
        <v>26</v>
      </c>
      <c r="J34" s="16">
        <f t="shared" si="7"/>
        <v>260</v>
      </c>
      <c r="K34" s="17">
        <v>46038</v>
      </c>
      <c r="L34" s="10">
        <v>10</v>
      </c>
      <c r="M34" s="18">
        <f t="shared" si="0"/>
        <v>10</v>
      </c>
      <c r="N34" s="19">
        <f t="shared" si="5"/>
        <v>0</v>
      </c>
      <c r="O34" s="10" t="str">
        <f t="shared" si="6"/>
        <v>COMPLETE</v>
      </c>
      <c r="P34" s="10"/>
      <c r="Q34" s="10" t="str">
        <f t="shared" si="3"/>
        <v>OK</v>
      </c>
    </row>
    <row r="35" spans="1:17" x14ac:dyDescent="0.3">
      <c r="A35" s="10" t="s">
        <v>163</v>
      </c>
      <c r="B35" s="13" t="s">
        <v>67</v>
      </c>
      <c r="C35" s="13" t="s">
        <v>164</v>
      </c>
      <c r="D35" s="13" t="s">
        <v>133</v>
      </c>
      <c r="E35" s="13" t="s">
        <v>165</v>
      </c>
      <c r="F35" s="13" t="s">
        <v>52</v>
      </c>
      <c r="G35" s="13" t="s">
        <v>53</v>
      </c>
      <c r="H35" s="14">
        <v>15</v>
      </c>
      <c r="I35" s="15">
        <v>26</v>
      </c>
      <c r="J35" s="16">
        <f t="shared" si="7"/>
        <v>390</v>
      </c>
      <c r="K35" s="17">
        <v>46038</v>
      </c>
      <c r="L35" s="10">
        <v>15</v>
      </c>
      <c r="M35" s="18">
        <f t="shared" si="0"/>
        <v>15</v>
      </c>
      <c r="N35" s="19">
        <f t="shared" si="5"/>
        <v>0</v>
      </c>
      <c r="O35" s="10" t="str">
        <f t="shared" si="6"/>
        <v>COMPLETE</v>
      </c>
      <c r="P35" s="10"/>
      <c r="Q35" s="10" t="str">
        <f t="shared" si="3"/>
        <v>OK</v>
      </c>
    </row>
    <row r="36" spans="1:17" x14ac:dyDescent="0.3">
      <c r="A36" s="10" t="s">
        <v>166</v>
      </c>
      <c r="B36" s="13" t="s">
        <v>63</v>
      </c>
      <c r="C36" s="13" t="s">
        <v>167</v>
      </c>
      <c r="D36" s="13" t="s">
        <v>39</v>
      </c>
      <c r="E36" s="13" t="s">
        <v>39</v>
      </c>
      <c r="F36" s="13" t="s">
        <v>44</v>
      </c>
      <c r="G36" s="13" t="s">
        <v>45</v>
      </c>
      <c r="H36" s="14">
        <v>400</v>
      </c>
      <c r="I36" s="15">
        <v>20</v>
      </c>
      <c r="J36" s="16">
        <f t="shared" si="7"/>
        <v>8000</v>
      </c>
      <c r="K36" s="17">
        <v>46038</v>
      </c>
      <c r="L36" s="10">
        <v>400</v>
      </c>
      <c r="M36" s="18">
        <f t="shared" si="0"/>
        <v>400</v>
      </c>
      <c r="N36" s="19">
        <f t="shared" si="5"/>
        <v>0</v>
      </c>
      <c r="O36" s="10" t="str">
        <f t="shared" si="6"/>
        <v>COMPLETE</v>
      </c>
      <c r="P36" s="10"/>
      <c r="Q36" s="10" t="str">
        <f t="shared" si="3"/>
        <v>OK</v>
      </c>
    </row>
    <row r="37" spans="1:17" x14ac:dyDescent="0.3">
      <c r="A37" s="10" t="s">
        <v>170</v>
      </c>
      <c r="B37" s="13" t="s">
        <v>73</v>
      </c>
      <c r="C37" s="13" t="s">
        <v>171</v>
      </c>
      <c r="D37" s="13" t="s">
        <v>94</v>
      </c>
      <c r="E37" s="13" t="s">
        <v>94</v>
      </c>
      <c r="F37" s="13" t="s">
        <v>44</v>
      </c>
      <c r="G37" s="13" t="s">
        <v>45</v>
      </c>
      <c r="H37" s="14">
        <v>80</v>
      </c>
      <c r="I37" s="15">
        <v>26</v>
      </c>
      <c r="J37" s="16">
        <f t="shared" si="7"/>
        <v>2080</v>
      </c>
      <c r="K37" s="17">
        <v>46041</v>
      </c>
      <c r="L37" s="10">
        <v>80</v>
      </c>
      <c r="M37" s="18">
        <f t="shared" si="0"/>
        <v>80</v>
      </c>
      <c r="N37" s="19">
        <f t="shared" si="5"/>
        <v>0</v>
      </c>
      <c r="O37" s="10" t="str">
        <f t="shared" si="6"/>
        <v>COMPLETE</v>
      </c>
      <c r="P37" s="10"/>
      <c r="Q37" s="10" t="str">
        <f t="shared" si="3"/>
        <v>OK</v>
      </c>
    </row>
    <row r="38" spans="1:17" x14ac:dyDescent="0.3">
      <c r="A38" s="10" t="s">
        <v>172</v>
      </c>
      <c r="B38" s="13" t="s">
        <v>70</v>
      </c>
      <c r="C38" s="13" t="s">
        <v>173</v>
      </c>
      <c r="D38" s="13" t="s">
        <v>39</v>
      </c>
      <c r="E38" s="13" t="s">
        <v>39</v>
      </c>
      <c r="F38" s="13" t="s">
        <v>44</v>
      </c>
      <c r="G38" s="13" t="s">
        <v>45</v>
      </c>
      <c r="H38" s="14">
        <v>120</v>
      </c>
      <c r="I38" s="15">
        <v>20</v>
      </c>
      <c r="J38" s="16">
        <f t="shared" si="7"/>
        <v>2400</v>
      </c>
      <c r="K38" s="17">
        <v>46041</v>
      </c>
      <c r="L38" s="10">
        <v>120</v>
      </c>
      <c r="M38" s="18">
        <f t="shared" si="0"/>
        <v>120</v>
      </c>
      <c r="N38" s="19">
        <f t="shared" si="5"/>
        <v>0</v>
      </c>
      <c r="O38" s="10" t="str">
        <f t="shared" si="6"/>
        <v>COMPLETE</v>
      </c>
      <c r="P38" s="10"/>
      <c r="Q38" s="10" t="str">
        <f t="shared" si="3"/>
        <v>OK</v>
      </c>
    </row>
    <row r="39" spans="1:17" x14ac:dyDescent="0.3">
      <c r="A39" s="10" t="s">
        <v>177</v>
      </c>
      <c r="B39" s="13" t="s">
        <v>70</v>
      </c>
      <c r="C39" s="13" t="s">
        <v>173</v>
      </c>
      <c r="D39" s="13" t="s">
        <v>47</v>
      </c>
      <c r="E39" s="13" t="s">
        <v>47</v>
      </c>
      <c r="F39" s="13" t="s">
        <v>111</v>
      </c>
      <c r="G39" s="13" t="s">
        <v>112</v>
      </c>
      <c r="H39" s="14">
        <v>80</v>
      </c>
      <c r="I39" s="15">
        <v>20</v>
      </c>
      <c r="J39" s="16">
        <f t="shared" si="7"/>
        <v>1600</v>
      </c>
      <c r="K39" s="17">
        <v>46048</v>
      </c>
      <c r="L39" s="10">
        <v>80</v>
      </c>
      <c r="M39" s="18">
        <f t="shared" si="0"/>
        <v>80</v>
      </c>
      <c r="N39" s="19">
        <f t="shared" si="5"/>
        <v>0</v>
      </c>
      <c r="O39" s="10" t="str">
        <f t="shared" si="6"/>
        <v>COMPLETE</v>
      </c>
      <c r="P39" s="10"/>
      <c r="Q39" s="10" t="str">
        <f t="shared" si="3"/>
        <v>OK</v>
      </c>
    </row>
    <row r="40" spans="1:17" x14ac:dyDescent="0.3">
      <c r="A40" s="10" t="s">
        <v>177</v>
      </c>
      <c r="B40" s="13" t="s">
        <v>143</v>
      </c>
      <c r="C40" s="13" t="s">
        <v>178</v>
      </c>
      <c r="D40" s="13" t="s">
        <v>39</v>
      </c>
      <c r="E40" s="13" t="s">
        <v>39</v>
      </c>
      <c r="F40" s="13" t="s">
        <v>44</v>
      </c>
      <c r="G40" s="13" t="s">
        <v>45</v>
      </c>
      <c r="H40" s="14">
        <v>5</v>
      </c>
      <c r="I40" s="15">
        <v>20</v>
      </c>
      <c r="J40" s="16">
        <f t="shared" si="7"/>
        <v>100</v>
      </c>
      <c r="K40" s="17">
        <v>46041</v>
      </c>
      <c r="L40" s="10">
        <v>5</v>
      </c>
      <c r="M40" s="18">
        <f t="shared" ref="M40:M57" si="8">H40</f>
        <v>5</v>
      </c>
      <c r="N40" s="19">
        <f t="shared" si="5"/>
        <v>0</v>
      </c>
      <c r="O40" s="10" t="str">
        <f t="shared" si="6"/>
        <v>COMPLETE</v>
      </c>
      <c r="P40" s="10"/>
      <c r="Q40" s="10" t="str">
        <f t="shared" si="3"/>
        <v>OK</v>
      </c>
    </row>
    <row r="41" spans="1:17" x14ac:dyDescent="0.3">
      <c r="A41" s="47" t="s">
        <v>183</v>
      </c>
      <c r="B41" s="13" t="s">
        <v>109</v>
      </c>
      <c r="C41" s="13" t="s">
        <v>184</v>
      </c>
      <c r="D41" s="13" t="s">
        <v>47</v>
      </c>
      <c r="E41" s="13" t="s">
        <v>47</v>
      </c>
      <c r="F41" s="13" t="s">
        <v>117</v>
      </c>
      <c r="G41" s="13" t="s">
        <v>118</v>
      </c>
      <c r="H41" s="14">
        <v>10</v>
      </c>
      <c r="I41" s="15">
        <v>20</v>
      </c>
      <c r="J41" s="16">
        <f t="shared" si="7"/>
        <v>200</v>
      </c>
      <c r="K41" s="17">
        <v>46042</v>
      </c>
      <c r="L41" s="10">
        <v>10</v>
      </c>
      <c r="M41" s="18">
        <f t="shared" si="8"/>
        <v>10</v>
      </c>
      <c r="N41" s="19">
        <f t="shared" si="5"/>
        <v>0</v>
      </c>
      <c r="O41" s="10" t="str">
        <f t="shared" si="6"/>
        <v>COMPLETE</v>
      </c>
      <c r="P41" s="10"/>
      <c r="Q41" s="10" t="str">
        <f t="shared" si="3"/>
        <v>OK</v>
      </c>
    </row>
    <row r="42" spans="1:17" x14ac:dyDescent="0.3">
      <c r="A42" s="47" t="s">
        <v>183</v>
      </c>
      <c r="B42" s="13" t="s">
        <v>109</v>
      </c>
      <c r="C42" s="13" t="s">
        <v>184</v>
      </c>
      <c r="D42" s="13" t="s">
        <v>47</v>
      </c>
      <c r="E42" s="13" t="s">
        <v>47</v>
      </c>
      <c r="F42" s="13" t="s">
        <v>52</v>
      </c>
      <c r="G42" s="13" t="s">
        <v>53</v>
      </c>
      <c r="H42" s="14">
        <v>30</v>
      </c>
      <c r="I42" s="15">
        <v>20</v>
      </c>
      <c r="J42" s="16">
        <f t="shared" si="7"/>
        <v>600</v>
      </c>
      <c r="K42" s="17">
        <v>46042</v>
      </c>
      <c r="L42" s="10">
        <v>30</v>
      </c>
      <c r="M42" s="18">
        <f t="shared" si="8"/>
        <v>30</v>
      </c>
      <c r="N42" s="19">
        <f t="shared" si="5"/>
        <v>0</v>
      </c>
      <c r="O42" s="10" t="str">
        <f t="shared" si="6"/>
        <v>COMPLETE</v>
      </c>
      <c r="P42" s="10"/>
      <c r="Q42" s="10" t="str">
        <f t="shared" si="3"/>
        <v>OK</v>
      </c>
    </row>
    <row r="43" spans="1:17" x14ac:dyDescent="0.3">
      <c r="A43" s="10" t="s">
        <v>194</v>
      </c>
      <c r="B43" s="13" t="s">
        <v>73</v>
      </c>
      <c r="C43" s="13" t="s">
        <v>195</v>
      </c>
      <c r="D43" s="13" t="s">
        <v>98</v>
      </c>
      <c r="E43" s="13" t="s">
        <v>98</v>
      </c>
      <c r="F43" s="13" t="s">
        <v>44</v>
      </c>
      <c r="G43" s="13" t="s">
        <v>45</v>
      </c>
      <c r="H43" s="14">
        <v>80</v>
      </c>
      <c r="I43" s="15">
        <v>26</v>
      </c>
      <c r="J43" s="16">
        <f t="shared" si="7"/>
        <v>2080</v>
      </c>
      <c r="K43" s="17">
        <v>46048</v>
      </c>
      <c r="L43" s="10">
        <v>80</v>
      </c>
      <c r="M43" s="18">
        <f t="shared" si="8"/>
        <v>80</v>
      </c>
      <c r="N43" s="19">
        <f t="shared" si="5"/>
        <v>0</v>
      </c>
      <c r="O43" s="10" t="str">
        <f t="shared" si="6"/>
        <v>COMPLETE</v>
      </c>
      <c r="P43" s="10"/>
      <c r="Q43" s="10" t="str">
        <f t="shared" si="3"/>
        <v>OK</v>
      </c>
    </row>
    <row r="44" spans="1:17" x14ac:dyDescent="0.3">
      <c r="A44" s="31" t="s">
        <v>201</v>
      </c>
      <c r="B44" s="13" t="s">
        <v>34</v>
      </c>
      <c r="C44" s="13" t="s">
        <v>202</v>
      </c>
      <c r="D44" s="13" t="s">
        <v>135</v>
      </c>
      <c r="E44" s="13" t="s">
        <v>135</v>
      </c>
      <c r="F44" s="13" t="s">
        <v>111</v>
      </c>
      <c r="G44" s="13" t="s">
        <v>112</v>
      </c>
      <c r="H44" s="14">
        <v>80</v>
      </c>
      <c r="I44" s="15">
        <v>20</v>
      </c>
      <c r="J44" s="16">
        <f t="shared" si="7"/>
        <v>1600</v>
      </c>
      <c r="K44" s="17">
        <v>46048</v>
      </c>
      <c r="L44" s="10">
        <v>180</v>
      </c>
      <c r="M44" s="18">
        <f t="shared" si="8"/>
        <v>80</v>
      </c>
      <c r="N44" s="19">
        <f t="shared" si="5"/>
        <v>100</v>
      </c>
      <c r="O44" s="10" t="str">
        <f t="shared" si="6"/>
        <v>INCOMPLETE</v>
      </c>
      <c r="P44" s="10"/>
      <c r="Q44" s="10" t="str">
        <f t="shared" si="3"/>
        <v>OK</v>
      </c>
    </row>
    <row r="45" spans="1:17" x14ac:dyDescent="0.3">
      <c r="A45" s="31" t="s">
        <v>201</v>
      </c>
      <c r="B45" s="13" t="s">
        <v>34</v>
      </c>
      <c r="C45" s="13" t="s">
        <v>202</v>
      </c>
      <c r="D45" s="13" t="s">
        <v>285</v>
      </c>
      <c r="E45" s="13" t="s">
        <v>285</v>
      </c>
      <c r="F45" s="13" t="s">
        <v>111</v>
      </c>
      <c r="G45" s="13" t="s">
        <v>112</v>
      </c>
      <c r="H45" s="14">
        <v>100</v>
      </c>
      <c r="I45" s="15">
        <v>20</v>
      </c>
      <c r="J45" s="16">
        <f t="shared" si="7"/>
        <v>2000</v>
      </c>
      <c r="K45" s="17">
        <v>46078</v>
      </c>
      <c r="L45" s="10">
        <v>100</v>
      </c>
      <c r="M45" s="18">
        <f t="shared" si="8"/>
        <v>100</v>
      </c>
      <c r="N45" s="19">
        <f t="shared" si="5"/>
        <v>0</v>
      </c>
      <c r="O45" s="10" t="str">
        <f t="shared" si="6"/>
        <v>COMPLETE</v>
      </c>
      <c r="P45" s="10"/>
      <c r="Q45" s="10" t="str">
        <f t="shared" si="3"/>
        <v>OK</v>
      </c>
    </row>
    <row r="46" spans="1:17" x14ac:dyDescent="0.3">
      <c r="A46" s="57" t="s">
        <v>203</v>
      </c>
      <c r="B46" s="13" t="s">
        <v>34</v>
      </c>
      <c r="C46" s="13" t="s">
        <v>204</v>
      </c>
      <c r="D46" s="13" t="s">
        <v>134</v>
      </c>
      <c r="E46" s="13" t="s">
        <v>134</v>
      </c>
      <c r="F46" s="13" t="s">
        <v>155</v>
      </c>
      <c r="G46" s="13" t="s">
        <v>154</v>
      </c>
      <c r="H46" s="14">
        <v>40</v>
      </c>
      <c r="I46" s="15">
        <v>20</v>
      </c>
      <c r="J46" s="16">
        <f t="shared" si="7"/>
        <v>800</v>
      </c>
      <c r="K46" s="17">
        <v>46048</v>
      </c>
      <c r="L46" s="10">
        <v>60</v>
      </c>
      <c r="M46" s="18">
        <f t="shared" si="8"/>
        <v>40</v>
      </c>
      <c r="N46" s="19">
        <f t="shared" si="5"/>
        <v>20</v>
      </c>
      <c r="O46" s="10" t="str">
        <f t="shared" si="6"/>
        <v>INCOMPLETE</v>
      </c>
      <c r="P46" s="10"/>
      <c r="Q46" s="10" t="str">
        <f t="shared" si="3"/>
        <v>OK</v>
      </c>
    </row>
    <row r="47" spans="1:17" x14ac:dyDescent="0.3">
      <c r="A47" s="57" t="s">
        <v>203</v>
      </c>
      <c r="B47" s="13" t="s">
        <v>34</v>
      </c>
      <c r="C47" s="13" t="s">
        <v>204</v>
      </c>
      <c r="D47" s="13" t="s">
        <v>165</v>
      </c>
      <c r="E47" s="13" t="s">
        <v>165</v>
      </c>
      <c r="F47" s="13" t="s">
        <v>155</v>
      </c>
      <c r="G47" s="13" t="s">
        <v>154</v>
      </c>
      <c r="H47" s="14">
        <v>20</v>
      </c>
      <c r="I47" s="15">
        <v>20</v>
      </c>
      <c r="J47" s="16">
        <f t="shared" si="7"/>
        <v>400</v>
      </c>
      <c r="K47" s="17">
        <v>46048</v>
      </c>
      <c r="L47" s="10">
        <v>20</v>
      </c>
      <c r="M47" s="18">
        <f t="shared" si="8"/>
        <v>20</v>
      </c>
      <c r="N47" s="19">
        <f t="shared" si="5"/>
        <v>0</v>
      </c>
      <c r="O47" s="10" t="str">
        <f t="shared" si="6"/>
        <v>COMPLETE</v>
      </c>
      <c r="P47" s="10"/>
      <c r="Q47" s="10" t="str">
        <f t="shared" si="3"/>
        <v>OK</v>
      </c>
    </row>
    <row r="48" spans="1:17" x14ac:dyDescent="0.3">
      <c r="A48" s="10" t="s">
        <v>205</v>
      </c>
      <c r="B48" s="13" t="s">
        <v>63</v>
      </c>
      <c r="C48" s="13" t="s">
        <v>206</v>
      </c>
      <c r="D48" s="13" t="s">
        <v>43</v>
      </c>
      <c r="E48" s="13" t="s">
        <v>43</v>
      </c>
      <c r="F48" s="13" t="s">
        <v>111</v>
      </c>
      <c r="G48" s="13" t="s">
        <v>112</v>
      </c>
      <c r="H48" s="14">
        <v>60</v>
      </c>
      <c r="I48" s="15">
        <v>20</v>
      </c>
      <c r="J48" s="16">
        <f t="shared" si="7"/>
        <v>1200</v>
      </c>
      <c r="K48" s="17">
        <v>46048</v>
      </c>
      <c r="L48" s="10">
        <v>60</v>
      </c>
      <c r="M48" s="18">
        <f t="shared" si="8"/>
        <v>60</v>
      </c>
      <c r="N48" s="19">
        <f t="shared" si="5"/>
        <v>0</v>
      </c>
      <c r="O48" s="10" t="str">
        <f t="shared" si="6"/>
        <v>COMPLETE</v>
      </c>
      <c r="P48" s="10"/>
      <c r="Q48" s="10" t="str">
        <f t="shared" si="3"/>
        <v>OK</v>
      </c>
    </row>
    <row r="49" spans="1:17" x14ac:dyDescent="0.3">
      <c r="A49" s="9" t="s">
        <v>210</v>
      </c>
      <c r="B49" s="13" t="s">
        <v>50</v>
      </c>
      <c r="C49" s="13" t="s">
        <v>211</v>
      </c>
      <c r="D49" s="13" t="s">
        <v>207</v>
      </c>
      <c r="E49" s="13" t="s">
        <v>207</v>
      </c>
      <c r="F49" s="13" t="s">
        <v>111</v>
      </c>
      <c r="G49" s="13" t="s">
        <v>112</v>
      </c>
      <c r="H49" s="14">
        <v>5</v>
      </c>
      <c r="I49" s="15">
        <v>19</v>
      </c>
      <c r="J49" s="16">
        <f t="shared" ref="J49:J82" si="9">H49*I49</f>
        <v>95</v>
      </c>
      <c r="K49" s="17">
        <v>46048</v>
      </c>
      <c r="L49" s="10">
        <v>5</v>
      </c>
      <c r="M49" s="18">
        <f t="shared" si="8"/>
        <v>5</v>
      </c>
      <c r="N49" s="19">
        <f t="shared" ref="N49:N82" si="10">L49-M49</f>
        <v>0</v>
      </c>
      <c r="O49" s="10" t="str">
        <f t="shared" si="6"/>
        <v>COMPLETE</v>
      </c>
      <c r="P49" s="10"/>
      <c r="Q49" s="10" t="str">
        <f t="shared" si="3"/>
        <v>OK</v>
      </c>
    </row>
    <row r="50" spans="1:17" x14ac:dyDescent="0.3">
      <c r="A50" s="9" t="s">
        <v>210</v>
      </c>
      <c r="B50" s="13" t="s">
        <v>50</v>
      </c>
      <c r="C50" s="13" t="s">
        <v>211</v>
      </c>
      <c r="D50" s="13" t="s">
        <v>207</v>
      </c>
      <c r="E50" s="13" t="s">
        <v>207</v>
      </c>
      <c r="F50" s="13" t="s">
        <v>48</v>
      </c>
      <c r="G50" s="13" t="s">
        <v>49</v>
      </c>
      <c r="H50" s="14">
        <v>30</v>
      </c>
      <c r="I50" s="15">
        <v>19</v>
      </c>
      <c r="J50" s="16">
        <f t="shared" si="9"/>
        <v>570</v>
      </c>
      <c r="K50" s="17">
        <v>46048</v>
      </c>
      <c r="L50" s="10">
        <v>30</v>
      </c>
      <c r="M50" s="18">
        <f t="shared" si="8"/>
        <v>30</v>
      </c>
      <c r="N50" s="19">
        <f t="shared" si="10"/>
        <v>0</v>
      </c>
      <c r="O50" s="10" t="str">
        <f t="shared" si="6"/>
        <v>COMPLETE</v>
      </c>
      <c r="P50" s="10"/>
      <c r="Q50" s="10" t="str">
        <f t="shared" si="3"/>
        <v>OK</v>
      </c>
    </row>
    <row r="51" spans="1:17" x14ac:dyDescent="0.3">
      <c r="A51" s="10" t="s">
        <v>212</v>
      </c>
      <c r="B51" s="13" t="s">
        <v>109</v>
      </c>
      <c r="C51" s="13" t="s">
        <v>213</v>
      </c>
      <c r="D51" s="13" t="s">
        <v>94</v>
      </c>
      <c r="E51" s="13" t="s">
        <v>94</v>
      </c>
      <c r="F51" s="13" t="s">
        <v>155</v>
      </c>
      <c r="G51" s="13" t="s">
        <v>154</v>
      </c>
      <c r="H51" s="14">
        <v>10</v>
      </c>
      <c r="I51" s="15">
        <v>20</v>
      </c>
      <c r="J51" s="16">
        <f t="shared" si="9"/>
        <v>200</v>
      </c>
      <c r="K51" s="17">
        <v>46048</v>
      </c>
      <c r="L51" s="10">
        <v>10</v>
      </c>
      <c r="M51" s="18">
        <f t="shared" si="8"/>
        <v>10</v>
      </c>
      <c r="N51" s="19">
        <f t="shared" si="10"/>
        <v>0</v>
      </c>
      <c r="O51" s="10" t="str">
        <f t="shared" si="6"/>
        <v>COMPLETE</v>
      </c>
      <c r="P51" s="10"/>
      <c r="Q51" s="10" t="str">
        <f t="shared" si="3"/>
        <v>OK</v>
      </c>
    </row>
    <row r="52" spans="1:17" x14ac:dyDescent="0.3">
      <c r="A52" s="10" t="s">
        <v>214</v>
      </c>
      <c r="B52" s="13" t="s">
        <v>77</v>
      </c>
      <c r="C52" s="13" t="s">
        <v>224</v>
      </c>
      <c r="D52" s="13" t="s">
        <v>43</v>
      </c>
      <c r="E52" s="13" t="s">
        <v>43</v>
      </c>
      <c r="F52" s="13" t="s">
        <v>155</v>
      </c>
      <c r="G52" s="13" t="s">
        <v>154</v>
      </c>
      <c r="H52" s="14">
        <v>25</v>
      </c>
      <c r="I52" s="15">
        <v>20</v>
      </c>
      <c r="J52" s="16">
        <f t="shared" si="9"/>
        <v>500</v>
      </c>
      <c r="K52" s="17">
        <v>46048</v>
      </c>
      <c r="L52" s="10">
        <v>25</v>
      </c>
      <c r="M52" s="18">
        <f t="shared" si="8"/>
        <v>25</v>
      </c>
      <c r="N52" s="19">
        <f t="shared" si="10"/>
        <v>0</v>
      </c>
      <c r="O52" s="10" t="str">
        <f t="shared" si="6"/>
        <v>COMPLETE</v>
      </c>
      <c r="P52" s="10"/>
      <c r="Q52" s="10" t="str">
        <f t="shared" si="3"/>
        <v>OK</v>
      </c>
    </row>
    <row r="53" spans="1:17" x14ac:dyDescent="0.3">
      <c r="A53" s="10" t="s">
        <v>215</v>
      </c>
      <c r="B53" s="13" t="s">
        <v>216</v>
      </c>
      <c r="C53" s="13" t="s">
        <v>217</v>
      </c>
      <c r="D53" s="13" t="s">
        <v>21</v>
      </c>
      <c r="E53" s="13" t="s">
        <v>21</v>
      </c>
      <c r="F53" s="13" t="s">
        <v>52</v>
      </c>
      <c r="G53" s="13" t="s">
        <v>53</v>
      </c>
      <c r="H53" s="14">
        <v>25</v>
      </c>
      <c r="I53" s="15">
        <v>27</v>
      </c>
      <c r="J53" s="16">
        <f t="shared" si="9"/>
        <v>675</v>
      </c>
      <c r="K53" s="17">
        <v>46049</v>
      </c>
      <c r="L53" s="10">
        <v>25</v>
      </c>
      <c r="M53" s="18">
        <f t="shared" si="8"/>
        <v>25</v>
      </c>
      <c r="N53" s="19">
        <f t="shared" si="10"/>
        <v>0</v>
      </c>
      <c r="O53" s="10" t="str">
        <f t="shared" si="6"/>
        <v>COMPLETE</v>
      </c>
      <c r="P53" s="10"/>
      <c r="Q53" s="10" t="str">
        <f t="shared" si="3"/>
        <v>OK</v>
      </c>
    </row>
    <row r="54" spans="1:17" x14ac:dyDescent="0.3">
      <c r="A54" s="10" t="s">
        <v>220</v>
      </c>
      <c r="B54" s="13" t="s">
        <v>67</v>
      </c>
      <c r="C54" s="13" t="s">
        <v>221</v>
      </c>
      <c r="D54" s="13" t="s">
        <v>209</v>
      </c>
      <c r="E54" s="13" t="s">
        <v>222</v>
      </c>
      <c r="F54" s="13" t="s">
        <v>48</v>
      </c>
      <c r="G54" s="13" t="s">
        <v>49</v>
      </c>
      <c r="H54" s="14">
        <v>20</v>
      </c>
      <c r="I54" s="15">
        <v>26</v>
      </c>
      <c r="J54" s="16">
        <f t="shared" si="9"/>
        <v>520</v>
      </c>
      <c r="K54" s="17">
        <v>46049</v>
      </c>
      <c r="L54" s="10">
        <v>20</v>
      </c>
      <c r="M54" s="18">
        <f t="shared" si="8"/>
        <v>20</v>
      </c>
      <c r="N54" s="19">
        <f t="shared" si="10"/>
        <v>0</v>
      </c>
      <c r="O54" s="10" t="str">
        <f t="shared" si="6"/>
        <v>COMPLETE</v>
      </c>
      <c r="P54" s="10"/>
      <c r="Q54" s="10" t="str">
        <f t="shared" si="3"/>
        <v>OK</v>
      </c>
    </row>
    <row r="55" spans="1:17" x14ac:dyDescent="0.3">
      <c r="A55" s="36" t="s">
        <v>227</v>
      </c>
      <c r="B55" s="13" t="s">
        <v>77</v>
      </c>
      <c r="C55" s="13" t="s">
        <v>228</v>
      </c>
      <c r="D55" s="13" t="s">
        <v>47</v>
      </c>
      <c r="E55" s="13" t="s">
        <v>47</v>
      </c>
      <c r="F55" s="13" t="s">
        <v>117</v>
      </c>
      <c r="G55" s="13" t="s">
        <v>118</v>
      </c>
      <c r="H55" s="14">
        <v>40</v>
      </c>
      <c r="I55" s="15">
        <v>20</v>
      </c>
      <c r="J55" s="16">
        <f t="shared" si="9"/>
        <v>800</v>
      </c>
      <c r="K55" s="17">
        <v>46050</v>
      </c>
      <c r="L55" s="14">
        <v>40</v>
      </c>
      <c r="M55" s="18">
        <f t="shared" si="8"/>
        <v>40</v>
      </c>
      <c r="N55" s="19">
        <f t="shared" si="10"/>
        <v>0</v>
      </c>
      <c r="O55" s="10" t="str">
        <f t="shared" si="6"/>
        <v>COMPLETE</v>
      </c>
      <c r="P55" s="10"/>
      <c r="Q55" s="10" t="str">
        <f t="shared" si="3"/>
        <v>OK</v>
      </c>
    </row>
    <row r="56" spans="1:17" x14ac:dyDescent="0.3">
      <c r="A56" s="36" t="s">
        <v>227</v>
      </c>
      <c r="B56" s="13" t="s">
        <v>77</v>
      </c>
      <c r="C56" s="13" t="s">
        <v>228</v>
      </c>
      <c r="D56" s="13" t="s">
        <v>47</v>
      </c>
      <c r="E56" s="13" t="s">
        <v>47</v>
      </c>
      <c r="F56" s="13" t="s">
        <v>52</v>
      </c>
      <c r="G56" s="13" t="s">
        <v>53</v>
      </c>
      <c r="H56" s="14">
        <v>40</v>
      </c>
      <c r="I56" s="15">
        <v>20</v>
      </c>
      <c r="J56" s="16">
        <f t="shared" si="9"/>
        <v>800</v>
      </c>
      <c r="K56" s="17">
        <v>46050</v>
      </c>
      <c r="L56" s="14">
        <v>40</v>
      </c>
      <c r="M56" s="18">
        <f t="shared" si="8"/>
        <v>40</v>
      </c>
      <c r="N56" s="19">
        <f t="shared" si="10"/>
        <v>0</v>
      </c>
      <c r="O56" s="10" t="str">
        <f t="shared" si="6"/>
        <v>COMPLETE</v>
      </c>
      <c r="P56" s="10"/>
      <c r="Q56" s="10" t="str">
        <f t="shared" si="3"/>
        <v>OK</v>
      </c>
    </row>
    <row r="57" spans="1:17" x14ac:dyDescent="0.3">
      <c r="A57" s="10" t="s">
        <v>230</v>
      </c>
      <c r="B57" s="13" t="s">
        <v>63</v>
      </c>
      <c r="C57" s="13" t="s">
        <v>231</v>
      </c>
      <c r="D57" s="13" t="s">
        <v>47</v>
      </c>
      <c r="E57" s="13" t="s">
        <v>47</v>
      </c>
      <c r="F57" s="13" t="s">
        <v>44</v>
      </c>
      <c r="G57" s="13" t="s">
        <v>45</v>
      </c>
      <c r="H57" s="14">
        <v>400</v>
      </c>
      <c r="I57" s="15">
        <v>20</v>
      </c>
      <c r="J57" s="16">
        <f t="shared" si="9"/>
        <v>8000</v>
      </c>
      <c r="K57" s="17">
        <v>46050</v>
      </c>
      <c r="L57" s="10">
        <v>400</v>
      </c>
      <c r="M57" s="18">
        <f t="shared" si="8"/>
        <v>400</v>
      </c>
      <c r="N57" s="19">
        <f t="shared" si="10"/>
        <v>0</v>
      </c>
      <c r="O57" s="10" t="str">
        <f t="shared" si="6"/>
        <v>COMPLETE</v>
      </c>
      <c r="P57" s="10"/>
      <c r="Q57" s="10" t="str">
        <f t="shared" si="3"/>
        <v>OK</v>
      </c>
    </row>
    <row r="58" spans="1:17" x14ac:dyDescent="0.3">
      <c r="A58" s="10" t="s">
        <v>233</v>
      </c>
      <c r="B58" s="13" t="s">
        <v>234</v>
      </c>
      <c r="C58" s="13" t="s">
        <v>235</v>
      </c>
      <c r="D58" s="13" t="s">
        <v>21</v>
      </c>
      <c r="E58" s="13" t="s">
        <v>21</v>
      </c>
      <c r="F58" s="13" t="s">
        <v>44</v>
      </c>
      <c r="G58" s="13" t="s">
        <v>45</v>
      </c>
      <c r="H58" s="14">
        <v>80</v>
      </c>
      <c r="I58" s="15">
        <v>28</v>
      </c>
      <c r="J58" s="16">
        <f t="shared" si="9"/>
        <v>2240</v>
      </c>
      <c r="K58" s="17">
        <v>46050</v>
      </c>
      <c r="L58" s="10">
        <v>80</v>
      </c>
      <c r="M58" s="18">
        <f t="shared" ref="M58:M134" si="11">H58</f>
        <v>80</v>
      </c>
      <c r="N58" s="19">
        <f t="shared" si="10"/>
        <v>0</v>
      </c>
      <c r="O58" s="10" t="str">
        <f t="shared" si="6"/>
        <v>COMPLETE</v>
      </c>
      <c r="P58" s="10"/>
      <c r="Q58" s="10" t="str">
        <f t="shared" si="3"/>
        <v>OK</v>
      </c>
    </row>
    <row r="59" spans="1:17" x14ac:dyDescent="0.3">
      <c r="A59" s="10" t="s">
        <v>239</v>
      </c>
      <c r="B59" s="13" t="s">
        <v>102</v>
      </c>
      <c r="C59" s="13" t="s">
        <v>240</v>
      </c>
      <c r="D59" s="13" t="s">
        <v>43</v>
      </c>
      <c r="E59" s="13" t="s">
        <v>43</v>
      </c>
      <c r="F59" s="13" t="s">
        <v>44</v>
      </c>
      <c r="G59" s="13" t="s">
        <v>45</v>
      </c>
      <c r="H59" s="14">
        <v>30</v>
      </c>
      <c r="I59" s="15">
        <v>22</v>
      </c>
      <c r="J59" s="16">
        <f t="shared" si="9"/>
        <v>660</v>
      </c>
      <c r="K59" s="17">
        <v>46051</v>
      </c>
      <c r="L59" s="10">
        <v>30</v>
      </c>
      <c r="M59" s="18">
        <f t="shared" si="11"/>
        <v>30</v>
      </c>
      <c r="N59" s="19">
        <f t="shared" si="10"/>
        <v>0</v>
      </c>
      <c r="O59" s="10" t="str">
        <f t="shared" si="6"/>
        <v>COMPLETE</v>
      </c>
      <c r="P59" s="10"/>
      <c r="Q59" s="10" t="str">
        <f t="shared" si="3"/>
        <v>OK</v>
      </c>
    </row>
    <row r="60" spans="1:17" x14ac:dyDescent="0.3">
      <c r="A60" s="10" t="s">
        <v>249</v>
      </c>
      <c r="B60" s="13" t="s">
        <v>50</v>
      </c>
      <c r="C60" s="13" t="s">
        <v>250</v>
      </c>
      <c r="D60" s="13" t="s">
        <v>209</v>
      </c>
      <c r="E60" s="13" t="s">
        <v>209</v>
      </c>
      <c r="F60" s="13" t="s">
        <v>52</v>
      </c>
      <c r="G60" s="13" t="s">
        <v>53</v>
      </c>
      <c r="H60" s="14">
        <v>260</v>
      </c>
      <c r="I60" s="15">
        <v>19</v>
      </c>
      <c r="J60" s="16">
        <f t="shared" si="9"/>
        <v>4940</v>
      </c>
      <c r="K60" s="17">
        <v>46056</v>
      </c>
      <c r="L60" s="10">
        <v>400</v>
      </c>
      <c r="M60" s="18">
        <f t="shared" si="11"/>
        <v>260</v>
      </c>
      <c r="N60" s="19">
        <f t="shared" si="10"/>
        <v>140</v>
      </c>
      <c r="O60" s="10" t="str">
        <f t="shared" si="6"/>
        <v>INCOMPLETE</v>
      </c>
      <c r="P60" s="10"/>
      <c r="Q60" s="10" t="str">
        <f t="shared" si="3"/>
        <v>OK</v>
      </c>
    </row>
    <row r="61" spans="1:17" x14ac:dyDescent="0.3">
      <c r="A61" s="10" t="s">
        <v>253</v>
      </c>
      <c r="B61" s="13" t="s">
        <v>77</v>
      </c>
      <c r="C61" s="13" t="s">
        <v>254</v>
      </c>
      <c r="D61" s="13" t="s">
        <v>94</v>
      </c>
      <c r="E61" s="13" t="s">
        <v>94</v>
      </c>
      <c r="F61" s="13" t="s">
        <v>255</v>
      </c>
      <c r="G61" s="13" t="s">
        <v>256</v>
      </c>
      <c r="H61" s="14">
        <v>40</v>
      </c>
      <c r="I61" s="15">
        <v>20</v>
      </c>
      <c r="J61" s="16">
        <f t="shared" si="9"/>
        <v>800</v>
      </c>
      <c r="K61" s="17">
        <v>46056</v>
      </c>
      <c r="L61" s="10">
        <v>40</v>
      </c>
      <c r="M61" s="18">
        <f t="shared" si="11"/>
        <v>40</v>
      </c>
      <c r="N61" s="19">
        <f t="shared" si="10"/>
        <v>0</v>
      </c>
      <c r="O61" s="10" t="str">
        <f t="shared" si="6"/>
        <v>COMPLETE</v>
      </c>
      <c r="P61" s="10"/>
      <c r="Q61" s="10" t="str">
        <f t="shared" si="3"/>
        <v>OK</v>
      </c>
    </row>
    <row r="62" spans="1:17" x14ac:dyDescent="0.3">
      <c r="A62" s="10" t="s">
        <v>260</v>
      </c>
      <c r="B62" s="13" t="s">
        <v>77</v>
      </c>
      <c r="C62" s="13" t="s">
        <v>261</v>
      </c>
      <c r="D62" s="13" t="s">
        <v>98</v>
      </c>
      <c r="E62" s="13" t="s">
        <v>98</v>
      </c>
      <c r="F62" s="13" t="s">
        <v>255</v>
      </c>
      <c r="G62" s="13" t="s">
        <v>256</v>
      </c>
      <c r="H62" s="14">
        <v>40</v>
      </c>
      <c r="I62" s="15">
        <v>20</v>
      </c>
      <c r="J62" s="16">
        <f t="shared" si="9"/>
        <v>800</v>
      </c>
      <c r="K62" s="17">
        <v>46058</v>
      </c>
      <c r="L62" s="10">
        <v>40</v>
      </c>
      <c r="M62" s="18">
        <f t="shared" si="11"/>
        <v>40</v>
      </c>
      <c r="N62" s="19">
        <f t="shared" si="10"/>
        <v>0</v>
      </c>
      <c r="O62" s="10" t="str">
        <f t="shared" si="6"/>
        <v>COMPLETE</v>
      </c>
      <c r="P62" s="10"/>
      <c r="Q62" s="10" t="str">
        <f t="shared" si="3"/>
        <v>OK</v>
      </c>
    </row>
    <row r="63" spans="1:17" x14ac:dyDescent="0.3">
      <c r="A63" s="10" t="s">
        <v>265</v>
      </c>
      <c r="B63" s="13" t="s">
        <v>77</v>
      </c>
      <c r="C63" s="13" t="s">
        <v>266</v>
      </c>
      <c r="D63" s="13" t="s">
        <v>135</v>
      </c>
      <c r="E63" s="13" t="s">
        <v>135</v>
      </c>
      <c r="F63" s="13" t="s">
        <v>52</v>
      </c>
      <c r="G63" s="13" t="s">
        <v>53</v>
      </c>
      <c r="H63" s="14">
        <v>40</v>
      </c>
      <c r="I63" s="15">
        <v>20</v>
      </c>
      <c r="J63" s="16">
        <f t="shared" si="9"/>
        <v>800</v>
      </c>
      <c r="K63" s="17">
        <v>46058</v>
      </c>
      <c r="L63" s="10">
        <v>40</v>
      </c>
      <c r="M63" s="18">
        <f t="shared" si="11"/>
        <v>40</v>
      </c>
      <c r="N63" s="19">
        <f t="shared" si="10"/>
        <v>0</v>
      </c>
      <c r="O63" s="10" t="str">
        <f t="shared" si="6"/>
        <v>COMPLETE</v>
      </c>
      <c r="P63" s="10"/>
      <c r="Q63" s="10" t="str">
        <f t="shared" si="3"/>
        <v>OK</v>
      </c>
    </row>
    <row r="64" spans="1:17" x14ac:dyDescent="0.3">
      <c r="A64" s="10" t="s">
        <v>267</v>
      </c>
      <c r="B64" s="13" t="s">
        <v>73</v>
      </c>
      <c r="C64" s="13" t="s">
        <v>268</v>
      </c>
      <c r="D64" s="13" t="s">
        <v>133</v>
      </c>
      <c r="E64" s="13" t="s">
        <v>133</v>
      </c>
      <c r="F64" s="13" t="s">
        <v>44</v>
      </c>
      <c r="G64" s="13" t="s">
        <v>45</v>
      </c>
      <c r="H64" s="14">
        <v>80</v>
      </c>
      <c r="I64" s="15">
        <v>26</v>
      </c>
      <c r="J64" s="16">
        <f t="shared" si="9"/>
        <v>2080</v>
      </c>
      <c r="K64" s="17">
        <v>46059</v>
      </c>
      <c r="L64" s="10">
        <v>80</v>
      </c>
      <c r="M64" s="18">
        <f t="shared" si="11"/>
        <v>80</v>
      </c>
      <c r="N64" s="19">
        <f t="shared" si="10"/>
        <v>0</v>
      </c>
      <c r="O64" s="10" t="str">
        <f t="shared" si="6"/>
        <v>COMPLETE</v>
      </c>
      <c r="P64" s="10"/>
      <c r="Q64" s="10" t="str">
        <f t="shared" si="3"/>
        <v>OK</v>
      </c>
    </row>
    <row r="65" spans="1:17" x14ac:dyDescent="0.3">
      <c r="A65" s="10" t="s">
        <v>277</v>
      </c>
      <c r="B65" s="13" t="s">
        <v>216</v>
      </c>
      <c r="C65" s="13" t="s">
        <v>278</v>
      </c>
      <c r="D65" s="13" t="s">
        <v>39</v>
      </c>
      <c r="E65" s="13" t="s">
        <v>39</v>
      </c>
      <c r="F65" s="13" t="s">
        <v>52</v>
      </c>
      <c r="G65" s="13" t="s">
        <v>53</v>
      </c>
      <c r="H65" s="14">
        <v>5</v>
      </c>
      <c r="I65" s="15">
        <v>27</v>
      </c>
      <c r="J65" s="16">
        <f t="shared" si="9"/>
        <v>135</v>
      </c>
      <c r="K65" s="17">
        <v>46059</v>
      </c>
      <c r="L65" s="10">
        <v>5</v>
      </c>
      <c r="M65" s="18">
        <f t="shared" si="11"/>
        <v>5</v>
      </c>
      <c r="N65" s="19">
        <f t="shared" si="10"/>
        <v>0</v>
      </c>
      <c r="O65" s="10" t="str">
        <f t="shared" si="6"/>
        <v>COMPLETE</v>
      </c>
      <c r="P65" s="10"/>
      <c r="Q65" s="10" t="str">
        <f t="shared" si="3"/>
        <v>OK</v>
      </c>
    </row>
    <row r="66" spans="1:17" x14ac:dyDescent="0.3">
      <c r="A66" s="10" t="s">
        <v>279</v>
      </c>
      <c r="B66" s="13" t="s">
        <v>73</v>
      </c>
      <c r="C66" s="13" t="s">
        <v>280</v>
      </c>
      <c r="D66" s="13" t="s">
        <v>165</v>
      </c>
      <c r="E66" s="13" t="s">
        <v>165</v>
      </c>
      <c r="F66" s="13" t="s">
        <v>44</v>
      </c>
      <c r="G66" s="13" t="s">
        <v>45</v>
      </c>
      <c r="H66" s="14">
        <v>80</v>
      </c>
      <c r="I66" s="15">
        <v>26</v>
      </c>
      <c r="J66" s="16">
        <f t="shared" si="9"/>
        <v>2080</v>
      </c>
      <c r="K66" s="17">
        <v>46062</v>
      </c>
      <c r="L66" s="10">
        <v>80</v>
      </c>
      <c r="M66" s="18">
        <f t="shared" si="11"/>
        <v>80</v>
      </c>
      <c r="N66" s="19">
        <f t="shared" si="10"/>
        <v>0</v>
      </c>
      <c r="O66" s="10" t="str">
        <f t="shared" si="6"/>
        <v>COMPLETE</v>
      </c>
      <c r="P66" s="10"/>
      <c r="Q66" s="10" t="str">
        <f t="shared" si="3"/>
        <v>OK</v>
      </c>
    </row>
    <row r="67" spans="1:17" x14ac:dyDescent="0.3">
      <c r="A67" s="10" t="s">
        <v>287</v>
      </c>
      <c r="B67" s="13" t="s">
        <v>67</v>
      </c>
      <c r="C67" s="13" t="s">
        <v>288</v>
      </c>
      <c r="D67" s="13" t="s">
        <v>275</v>
      </c>
      <c r="E67" s="13" t="s">
        <v>286</v>
      </c>
      <c r="F67" s="13" t="s">
        <v>117</v>
      </c>
      <c r="G67" s="13" t="s">
        <v>118</v>
      </c>
      <c r="H67" s="14">
        <v>20</v>
      </c>
      <c r="I67" s="15">
        <v>26</v>
      </c>
      <c r="J67" s="16">
        <f t="shared" si="9"/>
        <v>520</v>
      </c>
      <c r="K67" s="17">
        <v>46063</v>
      </c>
      <c r="L67" s="10">
        <v>20</v>
      </c>
      <c r="M67" s="18">
        <f t="shared" si="11"/>
        <v>20</v>
      </c>
      <c r="N67" s="19">
        <f t="shared" si="10"/>
        <v>0</v>
      </c>
      <c r="O67" s="10" t="str">
        <f t="shared" si="6"/>
        <v>COMPLETE</v>
      </c>
      <c r="P67" s="10"/>
      <c r="Q67" s="10" t="str">
        <f t="shared" si="3"/>
        <v>OK</v>
      </c>
    </row>
    <row r="68" spans="1:17" x14ac:dyDescent="0.3">
      <c r="A68" s="31" t="s">
        <v>289</v>
      </c>
      <c r="B68" s="13" t="s">
        <v>67</v>
      </c>
      <c r="C68" s="13" t="s">
        <v>290</v>
      </c>
      <c r="D68" s="13" t="s">
        <v>274</v>
      </c>
      <c r="E68" s="13" t="s">
        <v>275</v>
      </c>
      <c r="F68" s="13" t="s">
        <v>52</v>
      </c>
      <c r="G68" s="13" t="s">
        <v>53</v>
      </c>
      <c r="H68" s="14">
        <v>30</v>
      </c>
      <c r="I68" s="15">
        <v>26</v>
      </c>
      <c r="J68" s="16">
        <f t="shared" si="9"/>
        <v>780</v>
      </c>
      <c r="K68" s="17">
        <v>46063</v>
      </c>
      <c r="L68" s="10">
        <v>30</v>
      </c>
      <c r="M68" s="18">
        <f t="shared" si="11"/>
        <v>30</v>
      </c>
      <c r="N68" s="19">
        <f t="shared" si="10"/>
        <v>0</v>
      </c>
      <c r="O68" s="10" t="str">
        <f t="shared" si="6"/>
        <v>COMPLETE</v>
      </c>
      <c r="P68" s="10"/>
      <c r="Q68" s="10" t="str">
        <f t="shared" si="3"/>
        <v>OK</v>
      </c>
    </row>
    <row r="69" spans="1:17" x14ac:dyDescent="0.3">
      <c r="A69" s="31" t="s">
        <v>289</v>
      </c>
      <c r="B69" s="13" t="s">
        <v>67</v>
      </c>
      <c r="C69" s="13" t="s">
        <v>290</v>
      </c>
      <c r="D69" s="13" t="s">
        <v>274</v>
      </c>
      <c r="E69" s="13" t="s">
        <v>275</v>
      </c>
      <c r="F69" s="13" t="s">
        <v>155</v>
      </c>
      <c r="G69" s="13" t="s">
        <v>154</v>
      </c>
      <c r="H69" s="14">
        <v>30</v>
      </c>
      <c r="I69" s="15">
        <v>26</v>
      </c>
      <c r="J69" s="16">
        <f t="shared" si="9"/>
        <v>780</v>
      </c>
      <c r="K69" s="17">
        <v>46063</v>
      </c>
      <c r="L69" s="10">
        <v>30</v>
      </c>
      <c r="M69" s="18">
        <f t="shared" si="11"/>
        <v>30</v>
      </c>
      <c r="N69" s="19">
        <f t="shared" si="10"/>
        <v>0</v>
      </c>
      <c r="O69" s="10" t="str">
        <f t="shared" si="6"/>
        <v>COMPLETE</v>
      </c>
      <c r="P69" s="10"/>
      <c r="Q69" s="10" t="str">
        <f t="shared" si="3"/>
        <v>OK</v>
      </c>
    </row>
    <row r="70" spans="1:17" x14ac:dyDescent="0.3">
      <c r="A70" s="10" t="s">
        <v>294</v>
      </c>
      <c r="B70" s="13" t="s">
        <v>67</v>
      </c>
      <c r="C70" s="13" t="s">
        <v>295</v>
      </c>
      <c r="D70" s="13" t="s">
        <v>259</v>
      </c>
      <c r="E70" s="13" t="s">
        <v>269</v>
      </c>
      <c r="F70" s="13" t="s">
        <v>117</v>
      </c>
      <c r="G70" s="13" t="s">
        <v>118</v>
      </c>
      <c r="H70" s="14">
        <v>10</v>
      </c>
      <c r="I70" s="15">
        <v>26</v>
      </c>
      <c r="J70" s="16">
        <f t="shared" si="9"/>
        <v>260</v>
      </c>
      <c r="K70" s="17">
        <v>46063</v>
      </c>
      <c r="L70" s="10">
        <v>10</v>
      </c>
      <c r="M70" s="18">
        <f t="shared" si="11"/>
        <v>10</v>
      </c>
      <c r="N70" s="19">
        <f t="shared" si="10"/>
        <v>0</v>
      </c>
      <c r="O70" s="10" t="str">
        <f t="shared" si="6"/>
        <v>COMPLETE</v>
      </c>
      <c r="P70" s="10"/>
      <c r="Q70" s="10" t="str">
        <f t="shared" si="3"/>
        <v>OK</v>
      </c>
    </row>
    <row r="71" spans="1:17" x14ac:dyDescent="0.3">
      <c r="A71" s="66" t="s">
        <v>297</v>
      </c>
      <c r="B71" s="13" t="s">
        <v>218</v>
      </c>
      <c r="C71" s="13" t="s">
        <v>298</v>
      </c>
      <c r="D71" s="13" t="s">
        <v>39</v>
      </c>
      <c r="E71" s="13" t="s">
        <v>39</v>
      </c>
      <c r="F71" s="13" t="s">
        <v>52</v>
      </c>
      <c r="G71" s="13" t="s">
        <v>53</v>
      </c>
      <c r="H71" s="14">
        <v>30</v>
      </c>
      <c r="I71" s="15">
        <v>23</v>
      </c>
      <c r="J71" s="16">
        <f t="shared" si="9"/>
        <v>690</v>
      </c>
      <c r="K71" s="17">
        <v>46064</v>
      </c>
      <c r="L71" s="10">
        <v>100</v>
      </c>
      <c r="M71" s="19">
        <f t="shared" si="11"/>
        <v>30</v>
      </c>
      <c r="N71" s="19">
        <f t="shared" si="10"/>
        <v>70</v>
      </c>
      <c r="O71" s="10" t="str">
        <f t="shared" si="6"/>
        <v>INCOMPLETE</v>
      </c>
      <c r="P71" s="10"/>
      <c r="Q71" s="10" t="str">
        <f t="shared" si="3"/>
        <v>OK</v>
      </c>
    </row>
    <row r="72" spans="1:17" x14ac:dyDescent="0.3">
      <c r="A72" s="66" t="s">
        <v>297</v>
      </c>
      <c r="B72" s="13" t="s">
        <v>218</v>
      </c>
      <c r="C72" s="13" t="s">
        <v>298</v>
      </c>
      <c r="D72" s="13" t="s">
        <v>39</v>
      </c>
      <c r="E72" s="13" t="s">
        <v>39</v>
      </c>
      <c r="F72" s="13" t="s">
        <v>44</v>
      </c>
      <c r="G72" s="13" t="s">
        <v>45</v>
      </c>
      <c r="H72" s="14">
        <v>30</v>
      </c>
      <c r="I72" s="15">
        <v>23</v>
      </c>
      <c r="J72" s="16">
        <f t="shared" si="9"/>
        <v>690</v>
      </c>
      <c r="K72" s="17">
        <v>46064</v>
      </c>
      <c r="L72" s="10">
        <v>100</v>
      </c>
      <c r="M72" s="19">
        <f t="shared" si="11"/>
        <v>30</v>
      </c>
      <c r="N72" s="19">
        <f t="shared" si="10"/>
        <v>70</v>
      </c>
      <c r="O72" s="10" t="str">
        <f t="shared" si="6"/>
        <v>INCOMPLETE</v>
      </c>
      <c r="P72" s="10"/>
      <c r="Q72" s="10" t="str">
        <f t="shared" si="3"/>
        <v>OK</v>
      </c>
    </row>
    <row r="73" spans="1:17" x14ac:dyDescent="0.3">
      <c r="A73" s="66" t="s">
        <v>297</v>
      </c>
      <c r="B73" s="13" t="s">
        <v>218</v>
      </c>
      <c r="C73" s="13" t="s">
        <v>298</v>
      </c>
      <c r="D73" s="13" t="s">
        <v>94</v>
      </c>
      <c r="E73" s="13" t="s">
        <v>94</v>
      </c>
      <c r="F73" s="13" t="s">
        <v>117</v>
      </c>
      <c r="G73" s="13" t="s">
        <v>118</v>
      </c>
      <c r="H73" s="14">
        <v>40</v>
      </c>
      <c r="I73" s="15">
        <v>23</v>
      </c>
      <c r="J73" s="16">
        <f t="shared" si="9"/>
        <v>920</v>
      </c>
      <c r="K73" s="17">
        <v>46119</v>
      </c>
      <c r="L73" s="10">
        <v>100</v>
      </c>
      <c r="M73" s="19">
        <f t="shared" si="11"/>
        <v>40</v>
      </c>
      <c r="N73" s="19">
        <f t="shared" si="10"/>
        <v>60</v>
      </c>
      <c r="O73" s="10" t="str">
        <f t="shared" si="6"/>
        <v>INCOMPLETE</v>
      </c>
      <c r="P73" s="10"/>
      <c r="Q73" s="10" t="str">
        <f t="shared" si="3"/>
        <v>OK</v>
      </c>
    </row>
    <row r="74" spans="1:17" x14ac:dyDescent="0.3">
      <c r="A74" s="66" t="s">
        <v>297</v>
      </c>
      <c r="B74" s="13" t="s">
        <v>218</v>
      </c>
      <c r="C74" s="13" t="s">
        <v>298</v>
      </c>
      <c r="D74" s="13" t="s">
        <v>94</v>
      </c>
      <c r="E74" s="13" t="s">
        <v>94</v>
      </c>
      <c r="F74" s="13" t="s">
        <v>52</v>
      </c>
      <c r="G74" s="13" t="s">
        <v>53</v>
      </c>
      <c r="H74" s="14">
        <v>20</v>
      </c>
      <c r="I74" s="15">
        <v>23</v>
      </c>
      <c r="J74" s="16">
        <f t="shared" si="9"/>
        <v>460</v>
      </c>
      <c r="K74" s="17">
        <v>46119</v>
      </c>
      <c r="L74" s="10">
        <v>70</v>
      </c>
      <c r="M74" s="19">
        <f t="shared" si="11"/>
        <v>20</v>
      </c>
      <c r="N74" s="19">
        <f t="shared" si="10"/>
        <v>50</v>
      </c>
      <c r="O74" s="10" t="str">
        <f t="shared" si="6"/>
        <v>INCOMPLETE</v>
      </c>
      <c r="P74" s="10"/>
      <c r="Q74" s="10" t="str">
        <f t="shared" si="3"/>
        <v>OK</v>
      </c>
    </row>
    <row r="75" spans="1:17" x14ac:dyDescent="0.3">
      <c r="A75" s="66" t="s">
        <v>297</v>
      </c>
      <c r="B75" s="13" t="s">
        <v>218</v>
      </c>
      <c r="C75" s="13" t="s">
        <v>298</v>
      </c>
      <c r="D75" s="13" t="s">
        <v>94</v>
      </c>
      <c r="E75" s="13" t="s">
        <v>94</v>
      </c>
      <c r="F75" s="13" t="s">
        <v>44</v>
      </c>
      <c r="G75" s="13" t="s">
        <v>45</v>
      </c>
      <c r="H75" s="14">
        <v>70</v>
      </c>
      <c r="I75" s="15">
        <v>23</v>
      </c>
      <c r="J75" s="16">
        <f t="shared" si="9"/>
        <v>1610</v>
      </c>
      <c r="K75" s="17">
        <v>46119</v>
      </c>
      <c r="L75" s="10">
        <v>70</v>
      </c>
      <c r="M75" s="19">
        <f t="shared" si="11"/>
        <v>70</v>
      </c>
      <c r="N75" s="19">
        <f t="shared" si="10"/>
        <v>0</v>
      </c>
      <c r="O75" s="10" t="str">
        <f t="shared" si="6"/>
        <v>COMPLETE</v>
      </c>
      <c r="P75" s="10"/>
      <c r="Q75" s="10" t="str">
        <f t="shared" si="3"/>
        <v>OK</v>
      </c>
    </row>
    <row r="76" spans="1:17" x14ac:dyDescent="0.3">
      <c r="A76" s="66" t="s">
        <v>297</v>
      </c>
      <c r="B76" s="13" t="s">
        <v>218</v>
      </c>
      <c r="C76" s="13" t="s">
        <v>298</v>
      </c>
      <c r="D76" s="13" t="s">
        <v>222</v>
      </c>
      <c r="E76" s="13" t="s">
        <v>222</v>
      </c>
      <c r="F76" s="13" t="s">
        <v>117</v>
      </c>
      <c r="G76" s="13" t="s">
        <v>118</v>
      </c>
      <c r="H76" s="14">
        <v>25</v>
      </c>
      <c r="I76" s="15">
        <v>23</v>
      </c>
      <c r="J76" s="16">
        <f t="shared" si="9"/>
        <v>575</v>
      </c>
      <c r="K76" s="17">
        <v>46132</v>
      </c>
      <c r="L76" s="10">
        <v>60</v>
      </c>
      <c r="M76" s="19">
        <f t="shared" si="11"/>
        <v>25</v>
      </c>
      <c r="N76" s="19">
        <f t="shared" si="10"/>
        <v>35</v>
      </c>
      <c r="O76" s="10" t="str">
        <f t="shared" si="6"/>
        <v>INCOMPLETE</v>
      </c>
      <c r="P76" s="10"/>
      <c r="Q76" s="10" t="str">
        <f t="shared" si="3"/>
        <v>OK</v>
      </c>
    </row>
    <row r="77" spans="1:17" x14ac:dyDescent="0.3">
      <c r="A77" s="66">
        <v>46</v>
      </c>
      <c r="B77" s="13" t="s">
        <v>218</v>
      </c>
      <c r="C77" s="13" t="s">
        <v>298</v>
      </c>
      <c r="D77" s="13" t="s">
        <v>285</v>
      </c>
      <c r="E77" s="13" t="s">
        <v>285</v>
      </c>
      <c r="F77" s="13" t="s">
        <v>52</v>
      </c>
      <c r="G77" s="13" t="s">
        <v>53</v>
      </c>
      <c r="H77" s="14">
        <v>50</v>
      </c>
      <c r="I77" s="15">
        <v>23</v>
      </c>
      <c r="J77" s="16">
        <f t="shared" si="9"/>
        <v>1150</v>
      </c>
      <c r="K77" s="17">
        <v>46151</v>
      </c>
      <c r="L77" s="10">
        <v>50</v>
      </c>
      <c r="M77" s="19">
        <f t="shared" si="11"/>
        <v>50</v>
      </c>
      <c r="N77" s="19">
        <f t="shared" si="10"/>
        <v>0</v>
      </c>
      <c r="O77" s="10" t="str">
        <f t="shared" si="6"/>
        <v>COMPLETE</v>
      </c>
      <c r="P77" s="10"/>
      <c r="Q77" s="10" t="str">
        <f t="shared" si="3"/>
        <v>OK</v>
      </c>
    </row>
    <row r="78" spans="1:17" x14ac:dyDescent="0.3">
      <c r="A78" s="50" t="s">
        <v>299</v>
      </c>
      <c r="B78" s="13" t="s">
        <v>67</v>
      </c>
      <c r="C78" s="13" t="s">
        <v>300</v>
      </c>
      <c r="D78" s="13" t="s">
        <v>286</v>
      </c>
      <c r="E78" s="13" t="s">
        <v>285</v>
      </c>
      <c r="F78" s="13" t="s">
        <v>117</v>
      </c>
      <c r="G78" s="13" t="s">
        <v>118</v>
      </c>
      <c r="H78" s="14">
        <v>10</v>
      </c>
      <c r="I78" s="15">
        <v>26</v>
      </c>
      <c r="J78" s="16">
        <f t="shared" si="9"/>
        <v>260</v>
      </c>
      <c r="K78" s="17">
        <v>46064</v>
      </c>
      <c r="L78" s="10">
        <v>10</v>
      </c>
      <c r="M78" s="19">
        <f t="shared" si="11"/>
        <v>10</v>
      </c>
      <c r="N78" s="19">
        <f t="shared" si="10"/>
        <v>0</v>
      </c>
      <c r="O78" s="10" t="str">
        <f t="shared" si="6"/>
        <v>COMPLETE</v>
      </c>
      <c r="P78" s="10"/>
      <c r="Q78" s="10" t="str">
        <f t="shared" si="3"/>
        <v>OK</v>
      </c>
    </row>
    <row r="79" spans="1:17" x14ac:dyDescent="0.3">
      <c r="A79" s="50" t="s">
        <v>299</v>
      </c>
      <c r="B79" s="13" t="s">
        <v>67</v>
      </c>
      <c r="C79" s="13" t="s">
        <v>300</v>
      </c>
      <c r="D79" s="13" t="s">
        <v>286</v>
      </c>
      <c r="E79" s="13" t="s">
        <v>285</v>
      </c>
      <c r="F79" s="13" t="s">
        <v>44</v>
      </c>
      <c r="G79" s="13" t="s">
        <v>45</v>
      </c>
      <c r="H79" s="14">
        <v>10</v>
      </c>
      <c r="I79" s="15">
        <v>26</v>
      </c>
      <c r="J79" s="16">
        <f t="shared" si="9"/>
        <v>260</v>
      </c>
      <c r="K79" s="17">
        <v>46064</v>
      </c>
      <c r="L79" s="10">
        <v>10</v>
      </c>
      <c r="M79" s="19">
        <f t="shared" si="11"/>
        <v>10</v>
      </c>
      <c r="N79" s="19">
        <f t="shared" si="10"/>
        <v>0</v>
      </c>
      <c r="O79" s="10" t="str">
        <f t="shared" si="6"/>
        <v>COMPLETE</v>
      </c>
      <c r="P79" s="10"/>
      <c r="Q79" s="10" t="str">
        <f t="shared" ref="Q79:Q82" si="12">IF(M79=H79,"OK","X")</f>
        <v>OK</v>
      </c>
    </row>
    <row r="80" spans="1:17" x14ac:dyDescent="0.3">
      <c r="A80" s="67" t="s">
        <v>304</v>
      </c>
      <c r="B80" s="13" t="s">
        <v>67</v>
      </c>
      <c r="C80" s="13" t="s">
        <v>305</v>
      </c>
      <c r="D80" s="13" t="s">
        <v>284</v>
      </c>
      <c r="E80" s="13" t="s">
        <v>306</v>
      </c>
      <c r="F80" s="13" t="s">
        <v>52</v>
      </c>
      <c r="G80" s="13" t="s">
        <v>53</v>
      </c>
      <c r="H80" s="14">
        <v>20</v>
      </c>
      <c r="I80" s="15">
        <v>26</v>
      </c>
      <c r="J80" s="16">
        <f t="shared" si="9"/>
        <v>520</v>
      </c>
      <c r="K80" s="17">
        <v>46066</v>
      </c>
      <c r="L80" s="10">
        <v>20</v>
      </c>
      <c r="M80" s="19">
        <f t="shared" si="11"/>
        <v>20</v>
      </c>
      <c r="N80" s="19">
        <f t="shared" si="10"/>
        <v>0</v>
      </c>
      <c r="O80" s="10" t="str">
        <f t="shared" si="6"/>
        <v>COMPLETE</v>
      </c>
      <c r="P80" s="10"/>
      <c r="Q80" s="10" t="str">
        <f t="shared" si="12"/>
        <v>OK</v>
      </c>
    </row>
    <row r="81" spans="1:17" x14ac:dyDescent="0.3">
      <c r="A81" s="67" t="s">
        <v>304</v>
      </c>
      <c r="B81" s="13" t="s">
        <v>67</v>
      </c>
      <c r="C81" s="13" t="s">
        <v>305</v>
      </c>
      <c r="D81" s="13" t="s">
        <v>284</v>
      </c>
      <c r="E81" s="13" t="s">
        <v>306</v>
      </c>
      <c r="F81" s="13" t="s">
        <v>155</v>
      </c>
      <c r="G81" s="13" t="s">
        <v>154</v>
      </c>
      <c r="H81" s="14">
        <v>30</v>
      </c>
      <c r="I81" s="15">
        <v>26</v>
      </c>
      <c r="J81" s="16">
        <f t="shared" si="9"/>
        <v>780</v>
      </c>
      <c r="K81" s="17">
        <v>46066</v>
      </c>
      <c r="L81" s="10">
        <v>30</v>
      </c>
      <c r="M81" s="19">
        <f t="shared" si="11"/>
        <v>30</v>
      </c>
      <c r="N81" s="19">
        <f t="shared" si="10"/>
        <v>0</v>
      </c>
      <c r="O81" s="10" t="str">
        <f t="shared" ref="O81:O82" si="13">IF(N81=0,"COMPLETE","INCOMPLETE")</f>
        <v>COMPLETE</v>
      </c>
      <c r="P81" s="10"/>
      <c r="Q81" s="10" t="str">
        <f t="shared" si="12"/>
        <v>OK</v>
      </c>
    </row>
    <row r="82" spans="1:17" x14ac:dyDescent="0.3">
      <c r="A82" s="10" t="s">
        <v>307</v>
      </c>
      <c r="B82" s="13" t="s">
        <v>73</v>
      </c>
      <c r="C82" s="13" t="s">
        <v>308</v>
      </c>
      <c r="D82" s="13" t="s">
        <v>189</v>
      </c>
      <c r="E82" s="13" t="s">
        <v>189</v>
      </c>
      <c r="F82" s="13" t="s">
        <v>44</v>
      </c>
      <c r="G82" s="13" t="s">
        <v>45</v>
      </c>
      <c r="H82" s="14">
        <v>120</v>
      </c>
      <c r="I82" s="15">
        <v>26</v>
      </c>
      <c r="J82" s="16">
        <f t="shared" si="9"/>
        <v>3120</v>
      </c>
      <c r="K82" s="17">
        <v>46066</v>
      </c>
      <c r="L82" s="10">
        <v>120</v>
      </c>
      <c r="M82" s="19">
        <f t="shared" si="11"/>
        <v>120</v>
      </c>
      <c r="N82" s="19">
        <f t="shared" si="10"/>
        <v>0</v>
      </c>
      <c r="O82" s="10" t="str">
        <f t="shared" si="13"/>
        <v>COMPLETE</v>
      </c>
      <c r="P82" s="10"/>
      <c r="Q82" s="10" t="str">
        <f t="shared" si="12"/>
        <v>OK</v>
      </c>
    </row>
    <row r="83" spans="1:17" x14ac:dyDescent="0.3">
      <c r="A83" s="32" t="s">
        <v>311</v>
      </c>
      <c r="B83" s="13" t="s">
        <v>77</v>
      </c>
      <c r="C83" s="13" t="s">
        <v>312</v>
      </c>
      <c r="D83" s="13" t="s">
        <v>134</v>
      </c>
      <c r="E83" s="13" t="s">
        <v>134</v>
      </c>
      <c r="F83" s="13" t="s">
        <v>117</v>
      </c>
      <c r="G83" s="13" t="s">
        <v>118</v>
      </c>
      <c r="H83" s="14">
        <v>40</v>
      </c>
      <c r="I83" s="15">
        <v>20</v>
      </c>
      <c r="J83" s="16">
        <f t="shared" ref="J83:J134" si="14">H83*I83</f>
        <v>800</v>
      </c>
      <c r="K83" s="17">
        <v>46068</v>
      </c>
      <c r="L83" s="10">
        <v>40</v>
      </c>
      <c r="M83" s="19">
        <f t="shared" si="11"/>
        <v>40</v>
      </c>
      <c r="N83" s="19">
        <f t="shared" ref="N83:N134" si="15">L83-M83</f>
        <v>0</v>
      </c>
      <c r="O83" s="10" t="str">
        <f t="shared" ref="O83:O134" si="16">IF(N83=0,"COMPLETE","INCOMPLETE")</f>
        <v>COMPLETE</v>
      </c>
      <c r="P83" s="10"/>
      <c r="Q83" s="10" t="str">
        <f t="shared" ref="Q83:Q134" si="17">IF(M83=H83,"OK","X")</f>
        <v>OK</v>
      </c>
    </row>
    <row r="84" spans="1:17" x14ac:dyDescent="0.3">
      <c r="A84" s="32" t="s">
        <v>311</v>
      </c>
      <c r="B84" s="13" t="s">
        <v>77</v>
      </c>
      <c r="C84" s="13" t="s">
        <v>312</v>
      </c>
      <c r="D84" s="13" t="s">
        <v>134</v>
      </c>
      <c r="E84" s="13" t="s">
        <v>134</v>
      </c>
      <c r="F84" s="13" t="s">
        <v>52</v>
      </c>
      <c r="G84" s="13" t="s">
        <v>53</v>
      </c>
      <c r="H84" s="14">
        <v>40</v>
      </c>
      <c r="I84" s="15">
        <v>20</v>
      </c>
      <c r="J84" s="16">
        <f t="shared" si="14"/>
        <v>800</v>
      </c>
      <c r="K84" s="17">
        <v>46068</v>
      </c>
      <c r="L84" s="10">
        <v>40</v>
      </c>
      <c r="M84" s="19">
        <f t="shared" si="11"/>
        <v>40</v>
      </c>
      <c r="N84" s="19">
        <f t="shared" si="15"/>
        <v>0</v>
      </c>
      <c r="O84" s="10" t="str">
        <f t="shared" si="16"/>
        <v>COMPLETE</v>
      </c>
      <c r="P84" s="10"/>
      <c r="Q84" s="10" t="str">
        <f t="shared" si="17"/>
        <v>OK</v>
      </c>
    </row>
    <row r="85" spans="1:17" x14ac:dyDescent="0.3">
      <c r="A85" s="10" t="s">
        <v>313</v>
      </c>
      <c r="B85" s="13" t="s">
        <v>234</v>
      </c>
      <c r="C85" s="13" t="s">
        <v>314</v>
      </c>
      <c r="D85" s="13" t="s">
        <v>39</v>
      </c>
      <c r="E85" s="13" t="s">
        <v>39</v>
      </c>
      <c r="F85" s="13" t="s">
        <v>44</v>
      </c>
      <c r="G85" s="13" t="s">
        <v>45</v>
      </c>
      <c r="H85" s="14">
        <v>120</v>
      </c>
      <c r="I85" s="15">
        <v>28</v>
      </c>
      <c r="J85" s="16">
        <f t="shared" si="14"/>
        <v>3360</v>
      </c>
      <c r="K85" s="17">
        <v>46069</v>
      </c>
      <c r="L85" s="10">
        <v>120</v>
      </c>
      <c r="M85" s="19">
        <f t="shared" si="11"/>
        <v>120</v>
      </c>
      <c r="N85" s="19">
        <f t="shared" si="15"/>
        <v>0</v>
      </c>
      <c r="O85" s="10" t="str">
        <f t="shared" si="16"/>
        <v>COMPLETE</v>
      </c>
      <c r="P85" s="10"/>
      <c r="Q85" s="10" t="str">
        <f t="shared" si="17"/>
        <v>OK</v>
      </c>
    </row>
    <row r="86" spans="1:17" x14ac:dyDescent="0.3">
      <c r="A86" s="10" t="s">
        <v>315</v>
      </c>
      <c r="B86" s="13" t="s">
        <v>67</v>
      </c>
      <c r="C86" s="13" t="s">
        <v>316</v>
      </c>
      <c r="D86" s="13" t="s">
        <v>282</v>
      </c>
      <c r="E86" s="13" t="s">
        <v>317</v>
      </c>
      <c r="F86" s="13" t="s">
        <v>48</v>
      </c>
      <c r="G86" s="13" t="s">
        <v>49</v>
      </c>
      <c r="H86" s="14">
        <v>20</v>
      </c>
      <c r="I86" s="15">
        <v>26</v>
      </c>
      <c r="J86" s="16">
        <f t="shared" si="14"/>
        <v>520</v>
      </c>
      <c r="K86" s="17">
        <v>46070</v>
      </c>
      <c r="L86" s="10">
        <v>20</v>
      </c>
      <c r="M86" s="19">
        <f t="shared" si="11"/>
        <v>20</v>
      </c>
      <c r="N86" s="19">
        <f t="shared" si="15"/>
        <v>0</v>
      </c>
      <c r="O86" s="10" t="str">
        <f t="shared" si="16"/>
        <v>COMPLETE</v>
      </c>
      <c r="P86" s="10"/>
      <c r="Q86" s="10" t="str">
        <f t="shared" si="17"/>
        <v>OK</v>
      </c>
    </row>
    <row r="87" spans="1:17" x14ac:dyDescent="0.3">
      <c r="A87" s="10" t="s">
        <v>323</v>
      </c>
      <c r="B87" s="13" t="s">
        <v>67</v>
      </c>
      <c r="C87" s="13" t="s">
        <v>324</v>
      </c>
      <c r="D87" s="13" t="s">
        <v>306</v>
      </c>
      <c r="E87" s="13" t="s">
        <v>325</v>
      </c>
      <c r="F87" s="13" t="s">
        <v>117</v>
      </c>
      <c r="G87" s="13" t="s">
        <v>118</v>
      </c>
      <c r="H87" s="14">
        <v>20</v>
      </c>
      <c r="I87" s="15">
        <v>26</v>
      </c>
      <c r="J87" s="16">
        <f t="shared" si="14"/>
        <v>520</v>
      </c>
      <c r="K87" s="17">
        <v>46073</v>
      </c>
      <c r="L87" s="10">
        <v>20</v>
      </c>
      <c r="M87" s="19">
        <f t="shared" si="11"/>
        <v>20</v>
      </c>
      <c r="N87" s="19">
        <f t="shared" si="15"/>
        <v>0</v>
      </c>
      <c r="O87" s="10" t="str">
        <f t="shared" si="16"/>
        <v>COMPLETE</v>
      </c>
      <c r="P87" s="10"/>
      <c r="Q87" s="10" t="str">
        <f t="shared" si="17"/>
        <v>OK</v>
      </c>
    </row>
    <row r="88" spans="1:17" x14ac:dyDescent="0.3">
      <c r="A88" s="10" t="s">
        <v>331</v>
      </c>
      <c r="B88" s="13" t="s">
        <v>67</v>
      </c>
      <c r="C88" s="13" t="s">
        <v>332</v>
      </c>
      <c r="D88" s="13" t="s">
        <v>317</v>
      </c>
      <c r="E88" s="13" t="s">
        <v>333</v>
      </c>
      <c r="F88" s="13" t="s">
        <v>117</v>
      </c>
      <c r="G88" s="13" t="s">
        <v>118</v>
      </c>
      <c r="H88" s="14">
        <v>10</v>
      </c>
      <c r="I88" s="15">
        <v>26</v>
      </c>
      <c r="J88" s="16">
        <f t="shared" si="14"/>
        <v>260</v>
      </c>
      <c r="K88" s="17">
        <v>46077</v>
      </c>
      <c r="L88" s="10">
        <v>10</v>
      </c>
      <c r="M88" s="19">
        <f t="shared" si="11"/>
        <v>10</v>
      </c>
      <c r="N88" s="19">
        <f t="shared" si="15"/>
        <v>0</v>
      </c>
      <c r="O88" s="10" t="str">
        <f t="shared" si="16"/>
        <v>COMPLETE</v>
      </c>
      <c r="P88" s="10"/>
      <c r="Q88" s="10" t="str">
        <f t="shared" si="17"/>
        <v>OK</v>
      </c>
    </row>
    <row r="89" spans="1:17" x14ac:dyDescent="0.3">
      <c r="A89" s="9" t="s">
        <v>340</v>
      </c>
      <c r="B89" s="13" t="s">
        <v>34</v>
      </c>
      <c r="C89" s="13" t="s">
        <v>341</v>
      </c>
      <c r="D89" s="13" t="s">
        <v>284</v>
      </c>
      <c r="E89" s="13" t="s">
        <v>284</v>
      </c>
      <c r="F89" s="13" t="s">
        <v>44</v>
      </c>
      <c r="G89" s="13" t="s">
        <v>45</v>
      </c>
      <c r="H89" s="14">
        <v>120</v>
      </c>
      <c r="I89" s="15">
        <v>20</v>
      </c>
      <c r="J89" s="16">
        <f t="shared" si="14"/>
        <v>2400</v>
      </c>
      <c r="K89" s="17">
        <v>46078</v>
      </c>
      <c r="L89" s="10">
        <v>4000</v>
      </c>
      <c r="M89" s="19">
        <f t="shared" si="11"/>
        <v>120</v>
      </c>
      <c r="N89" s="19">
        <f t="shared" si="15"/>
        <v>3880</v>
      </c>
      <c r="O89" s="10" t="str">
        <f t="shared" si="16"/>
        <v>INCOMPLETE</v>
      </c>
      <c r="P89" s="10"/>
      <c r="Q89" s="10" t="str">
        <f t="shared" si="17"/>
        <v>OK</v>
      </c>
    </row>
    <row r="90" spans="1:17" x14ac:dyDescent="0.3">
      <c r="A90" s="9" t="s">
        <v>340</v>
      </c>
      <c r="B90" s="13" t="s">
        <v>34</v>
      </c>
      <c r="C90" s="13" t="s">
        <v>341</v>
      </c>
      <c r="D90" s="13" t="s">
        <v>353</v>
      </c>
      <c r="E90" s="13" t="s">
        <v>353</v>
      </c>
      <c r="F90" s="13" t="s">
        <v>44</v>
      </c>
      <c r="G90" s="13" t="s">
        <v>45</v>
      </c>
      <c r="H90" s="14">
        <v>800</v>
      </c>
      <c r="I90" s="15">
        <v>20</v>
      </c>
      <c r="J90" s="16">
        <f t="shared" si="14"/>
        <v>16000</v>
      </c>
      <c r="K90" s="17">
        <v>46087</v>
      </c>
      <c r="L90" s="10">
        <v>3880</v>
      </c>
      <c r="M90" s="19">
        <f t="shared" si="11"/>
        <v>800</v>
      </c>
      <c r="N90" s="19">
        <f t="shared" si="15"/>
        <v>3080</v>
      </c>
      <c r="O90" s="10" t="str">
        <f t="shared" si="16"/>
        <v>INCOMPLETE</v>
      </c>
      <c r="P90" s="10"/>
      <c r="Q90" s="10" t="str">
        <f t="shared" si="17"/>
        <v>OK</v>
      </c>
    </row>
    <row r="91" spans="1:17" x14ac:dyDescent="0.3">
      <c r="A91" s="9" t="s">
        <v>340</v>
      </c>
      <c r="B91" s="13" t="s">
        <v>34</v>
      </c>
      <c r="C91" s="13" t="s">
        <v>341</v>
      </c>
      <c r="D91" s="13" t="s">
        <v>353</v>
      </c>
      <c r="E91" s="13" t="s">
        <v>353</v>
      </c>
      <c r="F91" s="13" t="s">
        <v>388</v>
      </c>
      <c r="G91" s="13" t="s">
        <v>387</v>
      </c>
      <c r="H91" s="14">
        <v>120</v>
      </c>
      <c r="I91" s="15">
        <v>20</v>
      </c>
      <c r="J91" s="16">
        <f t="shared" si="14"/>
        <v>2400</v>
      </c>
      <c r="K91" s="17">
        <v>46087</v>
      </c>
      <c r="L91" s="10">
        <v>200</v>
      </c>
      <c r="M91" s="19">
        <f t="shared" si="11"/>
        <v>120</v>
      </c>
      <c r="N91" s="19">
        <f t="shared" si="15"/>
        <v>80</v>
      </c>
      <c r="O91" s="10" t="str">
        <f t="shared" si="16"/>
        <v>INCOMPLETE</v>
      </c>
      <c r="P91" s="10"/>
      <c r="Q91" s="10" t="str">
        <f t="shared" si="17"/>
        <v>OK</v>
      </c>
    </row>
    <row r="92" spans="1:17" x14ac:dyDescent="0.3">
      <c r="A92" s="9" t="s">
        <v>340</v>
      </c>
      <c r="B92" s="13" t="s">
        <v>34</v>
      </c>
      <c r="C92" s="13" t="s">
        <v>341</v>
      </c>
      <c r="D92" s="13" t="s">
        <v>564</v>
      </c>
      <c r="E92" s="13" t="s">
        <v>564</v>
      </c>
      <c r="F92" s="13" t="s">
        <v>44</v>
      </c>
      <c r="G92" s="13" t="s">
        <v>45</v>
      </c>
      <c r="H92" s="14">
        <v>120</v>
      </c>
      <c r="I92" s="15">
        <v>20</v>
      </c>
      <c r="J92" s="16">
        <f t="shared" si="14"/>
        <v>2400</v>
      </c>
      <c r="K92" s="17">
        <v>46128</v>
      </c>
      <c r="L92" s="10">
        <v>3080</v>
      </c>
      <c r="M92" s="19">
        <f t="shared" si="11"/>
        <v>120</v>
      </c>
      <c r="N92" s="19">
        <f t="shared" si="15"/>
        <v>2960</v>
      </c>
      <c r="O92" s="10" t="str">
        <f t="shared" si="16"/>
        <v>INCOMPLETE</v>
      </c>
      <c r="P92" s="10"/>
      <c r="Q92" s="10" t="str">
        <f t="shared" si="17"/>
        <v>OK</v>
      </c>
    </row>
    <row r="93" spans="1:17" x14ac:dyDescent="0.3">
      <c r="A93" s="9" t="s">
        <v>340</v>
      </c>
      <c r="B93" s="13" t="s">
        <v>34</v>
      </c>
      <c r="C93" s="13" t="s">
        <v>341</v>
      </c>
      <c r="D93" s="13" t="s">
        <v>567</v>
      </c>
      <c r="E93" s="13" t="s">
        <v>567</v>
      </c>
      <c r="F93" s="13" t="s">
        <v>44</v>
      </c>
      <c r="G93" s="13" t="s">
        <v>45</v>
      </c>
      <c r="H93" s="14">
        <v>160</v>
      </c>
      <c r="I93" s="15">
        <v>20</v>
      </c>
      <c r="J93" s="16">
        <f t="shared" si="14"/>
        <v>3200</v>
      </c>
      <c r="K93" s="17">
        <v>46128</v>
      </c>
      <c r="L93" s="10">
        <v>2960</v>
      </c>
      <c r="M93" s="19">
        <f t="shared" si="11"/>
        <v>160</v>
      </c>
      <c r="N93" s="19">
        <f t="shared" si="15"/>
        <v>2800</v>
      </c>
      <c r="O93" s="10" t="str">
        <f t="shared" si="16"/>
        <v>INCOMPLETE</v>
      </c>
      <c r="P93" s="10"/>
      <c r="Q93" s="10" t="str">
        <f t="shared" si="17"/>
        <v>OK</v>
      </c>
    </row>
    <row r="94" spans="1:17" x14ac:dyDescent="0.3">
      <c r="A94" s="9" t="s">
        <v>340</v>
      </c>
      <c r="B94" s="13" t="s">
        <v>34</v>
      </c>
      <c r="C94" s="13" t="s">
        <v>341</v>
      </c>
      <c r="D94" s="13" t="s">
        <v>575</v>
      </c>
      <c r="E94" s="13" t="s">
        <v>575</v>
      </c>
      <c r="F94" s="13" t="s">
        <v>44</v>
      </c>
      <c r="G94" s="13" t="s">
        <v>45</v>
      </c>
      <c r="H94" s="14">
        <v>80</v>
      </c>
      <c r="I94" s="15">
        <v>20</v>
      </c>
      <c r="J94" s="16">
        <f t="shared" si="14"/>
        <v>1600</v>
      </c>
      <c r="K94" s="17">
        <v>46132</v>
      </c>
      <c r="L94" s="10">
        <v>2800</v>
      </c>
      <c r="M94" s="19">
        <f t="shared" si="11"/>
        <v>80</v>
      </c>
      <c r="N94" s="19">
        <f t="shared" si="15"/>
        <v>2720</v>
      </c>
      <c r="O94" s="10" t="str">
        <f t="shared" si="16"/>
        <v>INCOMPLETE</v>
      </c>
      <c r="P94" s="10"/>
      <c r="Q94" s="10" t="str">
        <f t="shared" si="17"/>
        <v>OK</v>
      </c>
    </row>
    <row r="95" spans="1:17" x14ac:dyDescent="0.3">
      <c r="A95" s="9" t="s">
        <v>340</v>
      </c>
      <c r="B95" s="13" t="s">
        <v>34</v>
      </c>
      <c r="C95" s="13" t="s">
        <v>341</v>
      </c>
      <c r="D95" s="13" t="s">
        <v>585</v>
      </c>
      <c r="E95" s="13" t="s">
        <v>585</v>
      </c>
      <c r="F95" s="13" t="s">
        <v>44</v>
      </c>
      <c r="G95" s="13" t="s">
        <v>45</v>
      </c>
      <c r="H95" s="14">
        <v>320</v>
      </c>
      <c r="I95" s="15">
        <v>20</v>
      </c>
      <c r="J95" s="16">
        <f t="shared" si="14"/>
        <v>6400</v>
      </c>
      <c r="K95" s="17">
        <v>46134</v>
      </c>
      <c r="L95" s="10">
        <v>2720</v>
      </c>
      <c r="M95" s="19">
        <f t="shared" si="11"/>
        <v>320</v>
      </c>
      <c r="N95" s="19">
        <f t="shared" si="15"/>
        <v>2400</v>
      </c>
      <c r="O95" s="10" t="str">
        <f t="shared" si="16"/>
        <v>INCOMPLETE</v>
      </c>
      <c r="P95" s="10"/>
      <c r="Q95" s="10" t="str">
        <f t="shared" si="17"/>
        <v>OK</v>
      </c>
    </row>
    <row r="96" spans="1:17" x14ac:dyDescent="0.3">
      <c r="A96" s="9" t="s">
        <v>340</v>
      </c>
      <c r="B96" s="13" t="s">
        <v>34</v>
      </c>
      <c r="C96" s="13" t="s">
        <v>341</v>
      </c>
      <c r="D96" s="13" t="s">
        <v>590</v>
      </c>
      <c r="E96" s="13" t="s">
        <v>590</v>
      </c>
      <c r="F96" s="13" t="s">
        <v>44</v>
      </c>
      <c r="G96" s="13" t="s">
        <v>45</v>
      </c>
      <c r="H96" s="14">
        <v>120</v>
      </c>
      <c r="I96" s="15">
        <v>20</v>
      </c>
      <c r="J96" s="16">
        <f t="shared" si="14"/>
        <v>2400</v>
      </c>
      <c r="K96" s="17">
        <v>46135</v>
      </c>
      <c r="L96" s="10">
        <v>2400</v>
      </c>
      <c r="M96" s="19">
        <f t="shared" si="11"/>
        <v>120</v>
      </c>
      <c r="N96" s="19">
        <f t="shared" si="15"/>
        <v>2280</v>
      </c>
      <c r="O96" s="10" t="str">
        <f t="shared" si="16"/>
        <v>INCOMPLETE</v>
      </c>
      <c r="P96" s="10"/>
      <c r="Q96" s="10" t="str">
        <f t="shared" si="17"/>
        <v>OK</v>
      </c>
    </row>
    <row r="97" spans="1:17" x14ac:dyDescent="0.3">
      <c r="A97" s="9">
        <v>55</v>
      </c>
      <c r="B97" s="13" t="s">
        <v>34</v>
      </c>
      <c r="C97" s="13" t="s">
        <v>341</v>
      </c>
      <c r="D97" s="13" t="s">
        <v>602</v>
      </c>
      <c r="E97" s="13" t="s">
        <v>602</v>
      </c>
      <c r="F97" s="13" t="s">
        <v>44</v>
      </c>
      <c r="G97" s="13" t="s">
        <v>45</v>
      </c>
      <c r="H97" s="14">
        <v>160</v>
      </c>
      <c r="I97" s="15">
        <v>20</v>
      </c>
      <c r="J97" s="16">
        <f t="shared" si="14"/>
        <v>3200</v>
      </c>
      <c r="K97" s="17">
        <v>46141</v>
      </c>
      <c r="L97" s="10">
        <v>2280</v>
      </c>
      <c r="M97" s="19">
        <f t="shared" si="11"/>
        <v>160</v>
      </c>
      <c r="N97" s="19">
        <f t="shared" si="15"/>
        <v>2120</v>
      </c>
      <c r="O97" s="10" t="str">
        <f t="shared" si="16"/>
        <v>INCOMPLETE</v>
      </c>
      <c r="P97" s="10"/>
      <c r="Q97" s="10" t="str">
        <f t="shared" si="17"/>
        <v>OK</v>
      </c>
    </row>
    <row r="98" spans="1:17" x14ac:dyDescent="0.3">
      <c r="A98" s="9">
        <v>55</v>
      </c>
      <c r="B98" s="13" t="s">
        <v>34</v>
      </c>
      <c r="C98" s="13" t="s">
        <v>341</v>
      </c>
      <c r="D98" s="13" t="s">
        <v>606</v>
      </c>
      <c r="E98" s="13" t="s">
        <v>606</v>
      </c>
      <c r="F98" s="13" t="s">
        <v>44</v>
      </c>
      <c r="G98" s="13" t="s">
        <v>45</v>
      </c>
      <c r="H98" s="14">
        <v>120</v>
      </c>
      <c r="I98" s="15">
        <v>20</v>
      </c>
      <c r="J98" s="16">
        <f t="shared" si="14"/>
        <v>2400</v>
      </c>
      <c r="K98" s="17">
        <v>46142</v>
      </c>
      <c r="L98" s="10">
        <v>2120</v>
      </c>
      <c r="M98" s="19">
        <f t="shared" si="11"/>
        <v>120</v>
      </c>
      <c r="N98" s="19">
        <f t="shared" si="15"/>
        <v>2000</v>
      </c>
      <c r="O98" s="10" t="str">
        <f t="shared" si="16"/>
        <v>INCOMPLETE</v>
      </c>
      <c r="P98" s="10"/>
      <c r="Q98" s="10" t="str">
        <f t="shared" si="17"/>
        <v>OK</v>
      </c>
    </row>
    <row r="99" spans="1:17" x14ac:dyDescent="0.3">
      <c r="A99" s="9">
        <v>55</v>
      </c>
      <c r="B99" s="13" t="s">
        <v>34</v>
      </c>
      <c r="C99" s="13" t="s">
        <v>341</v>
      </c>
      <c r="D99" s="13" t="s">
        <v>639</v>
      </c>
      <c r="E99" s="13" t="s">
        <v>639</v>
      </c>
      <c r="F99" s="13" t="s">
        <v>44</v>
      </c>
      <c r="G99" s="13" t="s">
        <v>45</v>
      </c>
      <c r="H99" s="14">
        <v>880</v>
      </c>
      <c r="I99" s="15">
        <v>20</v>
      </c>
      <c r="J99" s="16">
        <f t="shared" si="14"/>
        <v>17600</v>
      </c>
      <c r="K99" s="17">
        <v>46151</v>
      </c>
      <c r="L99" s="10">
        <v>2000</v>
      </c>
      <c r="M99" s="19">
        <f t="shared" si="11"/>
        <v>880</v>
      </c>
      <c r="N99" s="19">
        <f t="shared" si="15"/>
        <v>1120</v>
      </c>
      <c r="O99" s="10" t="str">
        <f t="shared" si="16"/>
        <v>INCOMPLETE</v>
      </c>
      <c r="P99" s="10"/>
      <c r="Q99" s="10" t="str">
        <f t="shared" si="17"/>
        <v>OK</v>
      </c>
    </row>
    <row r="100" spans="1:17" x14ac:dyDescent="0.3">
      <c r="A100" s="9">
        <v>55</v>
      </c>
      <c r="B100" s="13" t="s">
        <v>34</v>
      </c>
      <c r="C100" s="13" t="s">
        <v>341</v>
      </c>
      <c r="D100" s="13" t="s">
        <v>640</v>
      </c>
      <c r="E100" s="13" t="s">
        <v>640</v>
      </c>
      <c r="F100" s="13" t="s">
        <v>44</v>
      </c>
      <c r="G100" s="13" t="s">
        <v>45</v>
      </c>
      <c r="H100" s="14">
        <v>320</v>
      </c>
      <c r="I100" s="15">
        <v>20</v>
      </c>
      <c r="J100" s="16">
        <f t="shared" si="14"/>
        <v>6400</v>
      </c>
      <c r="K100" s="17">
        <v>46151</v>
      </c>
      <c r="L100" s="10">
        <v>1120</v>
      </c>
      <c r="M100" s="19">
        <f t="shared" si="11"/>
        <v>320</v>
      </c>
      <c r="N100" s="19">
        <f t="shared" si="15"/>
        <v>800</v>
      </c>
      <c r="O100" s="10" t="str">
        <f t="shared" si="16"/>
        <v>INCOMPLETE</v>
      </c>
      <c r="P100" s="10"/>
      <c r="Q100" s="10" t="str">
        <f t="shared" si="17"/>
        <v>OK</v>
      </c>
    </row>
    <row r="101" spans="1:17" x14ac:dyDescent="0.3">
      <c r="A101" s="9">
        <v>55</v>
      </c>
      <c r="B101" s="13" t="s">
        <v>34</v>
      </c>
      <c r="C101" s="13" t="s">
        <v>341</v>
      </c>
      <c r="D101" s="13" t="s">
        <v>665</v>
      </c>
      <c r="E101" s="13" t="s">
        <v>665</v>
      </c>
      <c r="F101" s="13" t="s">
        <v>44</v>
      </c>
      <c r="G101" s="13" t="s">
        <v>45</v>
      </c>
      <c r="H101" s="14">
        <v>320</v>
      </c>
      <c r="I101" s="15">
        <v>20</v>
      </c>
      <c r="J101" s="16">
        <f t="shared" si="14"/>
        <v>6400</v>
      </c>
      <c r="K101" s="17">
        <v>46160</v>
      </c>
      <c r="L101" s="10">
        <v>800</v>
      </c>
      <c r="M101" s="19">
        <f t="shared" si="11"/>
        <v>320</v>
      </c>
      <c r="N101" s="19">
        <f t="shared" si="15"/>
        <v>480</v>
      </c>
      <c r="O101" s="10" t="str">
        <f t="shared" si="16"/>
        <v>INCOMPLETE</v>
      </c>
      <c r="P101" s="10"/>
      <c r="Q101" s="10" t="str">
        <f t="shared" si="17"/>
        <v>OK</v>
      </c>
    </row>
    <row r="102" spans="1:17" x14ac:dyDescent="0.3">
      <c r="A102" s="9">
        <v>55</v>
      </c>
      <c r="B102" s="13" t="s">
        <v>34</v>
      </c>
      <c r="C102" s="13" t="s">
        <v>341</v>
      </c>
      <c r="D102" s="13" t="s">
        <v>690</v>
      </c>
      <c r="E102" s="13" t="s">
        <v>690</v>
      </c>
      <c r="F102" s="13" t="s">
        <v>44</v>
      </c>
      <c r="G102" s="13" t="s">
        <v>45</v>
      </c>
      <c r="H102" s="14">
        <v>160</v>
      </c>
      <c r="I102" s="15">
        <v>20</v>
      </c>
      <c r="J102" s="16">
        <f t="shared" ref="J102" si="18">H102*I102</f>
        <v>3200</v>
      </c>
      <c r="K102" s="17">
        <v>46174</v>
      </c>
      <c r="L102" s="10">
        <v>480</v>
      </c>
      <c r="M102" s="19">
        <f t="shared" ref="M102" si="19">H102</f>
        <v>160</v>
      </c>
      <c r="N102" s="19">
        <f t="shared" ref="N102" si="20">L102-M102</f>
        <v>320</v>
      </c>
      <c r="O102" s="10" t="str">
        <f t="shared" ref="O102" si="21">IF(N102=0,"COMPLETE","INCOMPLETE")</f>
        <v>INCOMPLETE</v>
      </c>
      <c r="P102" s="10"/>
      <c r="Q102" s="10" t="str">
        <f t="shared" ref="Q102" si="22">IF(M102=H102,"OK","X")</f>
        <v>OK</v>
      </c>
    </row>
    <row r="103" spans="1:17" x14ac:dyDescent="0.3">
      <c r="A103" s="9">
        <v>55</v>
      </c>
      <c r="B103" s="13" t="s">
        <v>34</v>
      </c>
      <c r="C103" s="13" t="s">
        <v>341</v>
      </c>
      <c r="D103" s="13" t="s">
        <v>689</v>
      </c>
      <c r="E103" s="13" t="s">
        <v>689</v>
      </c>
      <c r="F103" s="13" t="s">
        <v>44</v>
      </c>
      <c r="G103" s="13" t="s">
        <v>45</v>
      </c>
      <c r="H103" s="14">
        <v>200</v>
      </c>
      <c r="I103" s="15">
        <v>20</v>
      </c>
      <c r="J103" s="16">
        <f t="shared" ref="J103:J104" si="23">H103*I103</f>
        <v>4000</v>
      </c>
      <c r="K103" s="17">
        <v>46174</v>
      </c>
      <c r="L103" s="10">
        <v>320</v>
      </c>
      <c r="M103" s="19">
        <f t="shared" ref="M103:M104" si="24">H103</f>
        <v>200</v>
      </c>
      <c r="N103" s="19">
        <f t="shared" ref="N103:N104" si="25">L103-M103</f>
        <v>120</v>
      </c>
      <c r="O103" s="10" t="str">
        <f t="shared" ref="O103:O104" si="26">IF(N103=0,"COMPLETE","INCOMPLETE")</f>
        <v>INCOMPLETE</v>
      </c>
      <c r="P103" s="10"/>
      <c r="Q103" s="10" t="str">
        <f t="shared" ref="Q103:Q104" si="27">IF(M103=H103,"OK","X")</f>
        <v>OK</v>
      </c>
    </row>
    <row r="104" spans="1:17" x14ac:dyDescent="0.3">
      <c r="A104" s="9">
        <v>55</v>
      </c>
      <c r="B104" s="13" t="s">
        <v>34</v>
      </c>
      <c r="C104" s="13" t="s">
        <v>341</v>
      </c>
      <c r="D104" s="13" t="s">
        <v>694</v>
      </c>
      <c r="E104" s="13" t="s">
        <v>694</v>
      </c>
      <c r="F104" s="13" t="s">
        <v>44</v>
      </c>
      <c r="G104" s="13" t="s">
        <v>45</v>
      </c>
      <c r="H104" s="14">
        <v>120</v>
      </c>
      <c r="I104" s="15">
        <v>20</v>
      </c>
      <c r="J104" s="16">
        <f t="shared" si="23"/>
        <v>2400</v>
      </c>
      <c r="K104" s="17">
        <v>46175</v>
      </c>
      <c r="L104" s="10">
        <v>120</v>
      </c>
      <c r="M104" s="19">
        <f t="shared" si="24"/>
        <v>120</v>
      </c>
      <c r="N104" s="19">
        <f t="shared" si="25"/>
        <v>0</v>
      </c>
      <c r="O104" s="10" t="str">
        <f t="shared" si="26"/>
        <v>COMPLETE</v>
      </c>
      <c r="P104" s="10"/>
      <c r="Q104" s="10" t="str">
        <f t="shared" si="27"/>
        <v>OK</v>
      </c>
    </row>
    <row r="105" spans="1:17" x14ac:dyDescent="0.3">
      <c r="A105" s="40" t="s">
        <v>345</v>
      </c>
      <c r="B105" s="13" t="s">
        <v>109</v>
      </c>
      <c r="C105" s="13" t="s">
        <v>346</v>
      </c>
      <c r="D105" s="13" t="s">
        <v>135</v>
      </c>
      <c r="E105" s="13" t="s">
        <v>135</v>
      </c>
      <c r="F105" s="13" t="s">
        <v>117</v>
      </c>
      <c r="G105" s="13" t="s">
        <v>118</v>
      </c>
      <c r="H105" s="14">
        <v>10</v>
      </c>
      <c r="I105" s="15">
        <v>20</v>
      </c>
      <c r="J105" s="16">
        <f t="shared" si="14"/>
        <v>200</v>
      </c>
      <c r="K105" s="17">
        <v>46079</v>
      </c>
      <c r="L105" s="14">
        <v>20</v>
      </c>
      <c r="M105" s="19">
        <f t="shared" si="11"/>
        <v>10</v>
      </c>
      <c r="N105" s="19">
        <f t="shared" si="15"/>
        <v>10</v>
      </c>
      <c r="O105" s="10" t="str">
        <f t="shared" si="16"/>
        <v>INCOMPLETE</v>
      </c>
      <c r="P105" s="10"/>
      <c r="Q105" s="10" t="str">
        <f t="shared" si="17"/>
        <v>OK</v>
      </c>
    </row>
    <row r="106" spans="1:17" x14ac:dyDescent="0.3">
      <c r="A106" s="40" t="s">
        <v>345</v>
      </c>
      <c r="B106" s="13" t="s">
        <v>109</v>
      </c>
      <c r="C106" s="13" t="s">
        <v>346</v>
      </c>
      <c r="D106" s="13" t="s">
        <v>135</v>
      </c>
      <c r="E106" s="13" t="s">
        <v>135</v>
      </c>
      <c r="F106" s="13" t="s">
        <v>52</v>
      </c>
      <c r="G106" s="13" t="s">
        <v>53</v>
      </c>
      <c r="H106" s="14">
        <v>30</v>
      </c>
      <c r="I106" s="15">
        <v>20</v>
      </c>
      <c r="J106" s="16">
        <f t="shared" si="14"/>
        <v>600</v>
      </c>
      <c r="K106" s="17">
        <v>46079</v>
      </c>
      <c r="L106" s="14">
        <v>150</v>
      </c>
      <c r="M106" s="19">
        <f t="shared" si="11"/>
        <v>30</v>
      </c>
      <c r="N106" s="19">
        <f t="shared" si="15"/>
        <v>120</v>
      </c>
      <c r="O106" s="10" t="str">
        <f t="shared" si="16"/>
        <v>INCOMPLETE</v>
      </c>
      <c r="P106" s="10"/>
      <c r="Q106" s="10" t="str">
        <f t="shared" si="17"/>
        <v>OK</v>
      </c>
    </row>
    <row r="107" spans="1:17" x14ac:dyDescent="0.3">
      <c r="A107" s="40" t="s">
        <v>345</v>
      </c>
      <c r="B107" s="13" t="s">
        <v>109</v>
      </c>
      <c r="C107" s="13" t="s">
        <v>346</v>
      </c>
      <c r="D107" s="13" t="s">
        <v>135</v>
      </c>
      <c r="E107" s="13" t="s">
        <v>135</v>
      </c>
      <c r="F107" s="13" t="s">
        <v>44</v>
      </c>
      <c r="G107" s="13" t="s">
        <v>45</v>
      </c>
      <c r="H107" s="14">
        <v>10</v>
      </c>
      <c r="I107" s="15">
        <v>20</v>
      </c>
      <c r="J107" s="16">
        <f t="shared" si="14"/>
        <v>200</v>
      </c>
      <c r="K107" s="17">
        <v>46079</v>
      </c>
      <c r="L107" s="14">
        <v>30</v>
      </c>
      <c r="M107" s="19">
        <f t="shared" si="11"/>
        <v>10</v>
      </c>
      <c r="N107" s="19">
        <f t="shared" si="15"/>
        <v>20</v>
      </c>
      <c r="O107" s="10" t="str">
        <f t="shared" si="16"/>
        <v>INCOMPLETE</v>
      </c>
      <c r="P107" s="10"/>
      <c r="Q107" s="10" t="str">
        <f t="shared" si="17"/>
        <v>OK</v>
      </c>
    </row>
    <row r="108" spans="1:17" x14ac:dyDescent="0.3">
      <c r="A108" s="40" t="s">
        <v>345</v>
      </c>
      <c r="B108" s="13" t="s">
        <v>109</v>
      </c>
      <c r="C108" s="13" t="s">
        <v>346</v>
      </c>
      <c r="D108" s="13" t="s">
        <v>135</v>
      </c>
      <c r="E108" s="13" t="s">
        <v>135</v>
      </c>
      <c r="F108" s="13" t="s">
        <v>111</v>
      </c>
      <c r="G108" s="13" t="s">
        <v>112</v>
      </c>
      <c r="H108" s="14">
        <v>10</v>
      </c>
      <c r="I108" s="15">
        <v>20</v>
      </c>
      <c r="J108" s="16">
        <f t="shared" si="14"/>
        <v>200</v>
      </c>
      <c r="K108" s="17">
        <v>46079</v>
      </c>
      <c r="L108" s="14">
        <v>20</v>
      </c>
      <c r="M108" s="19">
        <f t="shared" si="11"/>
        <v>10</v>
      </c>
      <c r="N108" s="19">
        <f t="shared" si="15"/>
        <v>10</v>
      </c>
      <c r="O108" s="10" t="str">
        <f t="shared" si="16"/>
        <v>INCOMPLETE</v>
      </c>
      <c r="P108" s="10"/>
      <c r="Q108" s="10" t="str">
        <f t="shared" si="17"/>
        <v>OK</v>
      </c>
    </row>
    <row r="109" spans="1:17" x14ac:dyDescent="0.3">
      <c r="A109" s="40" t="s">
        <v>345</v>
      </c>
      <c r="B109" s="13" t="s">
        <v>109</v>
      </c>
      <c r="C109" s="13" t="s">
        <v>346</v>
      </c>
      <c r="D109" s="13" t="s">
        <v>135</v>
      </c>
      <c r="E109" s="13" t="s">
        <v>135</v>
      </c>
      <c r="F109" s="13" t="s">
        <v>48</v>
      </c>
      <c r="G109" s="13" t="s">
        <v>49</v>
      </c>
      <c r="H109" s="14">
        <v>10</v>
      </c>
      <c r="I109" s="15">
        <v>20</v>
      </c>
      <c r="J109" s="16">
        <f t="shared" si="14"/>
        <v>200</v>
      </c>
      <c r="K109" s="17">
        <v>46079</v>
      </c>
      <c r="L109" s="14">
        <v>20</v>
      </c>
      <c r="M109" s="19">
        <f t="shared" si="11"/>
        <v>10</v>
      </c>
      <c r="N109" s="19">
        <f t="shared" si="15"/>
        <v>10</v>
      </c>
      <c r="O109" s="10" t="str">
        <f t="shared" si="16"/>
        <v>INCOMPLETE</v>
      </c>
      <c r="P109" s="10"/>
      <c r="Q109" s="10" t="str">
        <f t="shared" si="17"/>
        <v>OK</v>
      </c>
    </row>
    <row r="110" spans="1:17" x14ac:dyDescent="0.3">
      <c r="A110" s="40" t="s">
        <v>345</v>
      </c>
      <c r="B110" s="13" t="s">
        <v>109</v>
      </c>
      <c r="C110" s="13" t="s">
        <v>346</v>
      </c>
      <c r="D110" s="13" t="s">
        <v>165</v>
      </c>
      <c r="E110" s="13" t="s">
        <v>165</v>
      </c>
      <c r="F110" s="13" t="s">
        <v>117</v>
      </c>
      <c r="G110" s="13" t="s">
        <v>118</v>
      </c>
      <c r="H110" s="14">
        <v>10</v>
      </c>
      <c r="I110" s="15">
        <v>20</v>
      </c>
      <c r="J110" s="16">
        <f t="shared" si="14"/>
        <v>200</v>
      </c>
      <c r="K110" s="17">
        <v>46112</v>
      </c>
      <c r="L110" s="14">
        <v>10</v>
      </c>
      <c r="M110" s="19">
        <f t="shared" si="11"/>
        <v>10</v>
      </c>
      <c r="N110" s="19">
        <f t="shared" si="15"/>
        <v>0</v>
      </c>
      <c r="O110" s="10" t="str">
        <f t="shared" si="16"/>
        <v>COMPLETE</v>
      </c>
      <c r="P110" s="10"/>
      <c r="Q110" s="10" t="str">
        <f t="shared" si="17"/>
        <v>OK</v>
      </c>
    </row>
    <row r="111" spans="1:17" x14ac:dyDescent="0.3">
      <c r="A111" s="40" t="s">
        <v>345</v>
      </c>
      <c r="B111" s="13" t="s">
        <v>109</v>
      </c>
      <c r="C111" s="13" t="s">
        <v>346</v>
      </c>
      <c r="D111" s="13" t="s">
        <v>165</v>
      </c>
      <c r="E111" s="13" t="s">
        <v>165</v>
      </c>
      <c r="F111" s="13" t="s">
        <v>52</v>
      </c>
      <c r="G111" s="13" t="s">
        <v>53</v>
      </c>
      <c r="H111" s="14">
        <v>30</v>
      </c>
      <c r="I111" s="15">
        <v>20</v>
      </c>
      <c r="J111" s="16">
        <f t="shared" si="14"/>
        <v>600</v>
      </c>
      <c r="K111" s="17">
        <v>46112</v>
      </c>
      <c r="L111" s="14">
        <v>120</v>
      </c>
      <c r="M111" s="19">
        <f t="shared" si="11"/>
        <v>30</v>
      </c>
      <c r="N111" s="19">
        <f t="shared" si="15"/>
        <v>90</v>
      </c>
      <c r="O111" s="10" t="str">
        <f t="shared" si="16"/>
        <v>INCOMPLETE</v>
      </c>
      <c r="P111" s="10"/>
      <c r="Q111" s="10" t="str">
        <f t="shared" si="17"/>
        <v>OK</v>
      </c>
    </row>
    <row r="112" spans="1:17" x14ac:dyDescent="0.3">
      <c r="A112" s="40" t="s">
        <v>345</v>
      </c>
      <c r="B112" s="13" t="s">
        <v>109</v>
      </c>
      <c r="C112" s="13" t="s">
        <v>346</v>
      </c>
      <c r="D112" s="13" t="s">
        <v>165</v>
      </c>
      <c r="E112" s="13" t="s">
        <v>165</v>
      </c>
      <c r="F112" s="13" t="s">
        <v>44</v>
      </c>
      <c r="G112" s="13" t="s">
        <v>45</v>
      </c>
      <c r="H112" s="14">
        <v>10</v>
      </c>
      <c r="I112" s="15">
        <v>20</v>
      </c>
      <c r="J112" s="16">
        <f t="shared" si="14"/>
        <v>200</v>
      </c>
      <c r="K112" s="17">
        <v>46112</v>
      </c>
      <c r="L112" s="14">
        <v>20</v>
      </c>
      <c r="M112" s="19">
        <f t="shared" si="11"/>
        <v>10</v>
      </c>
      <c r="N112" s="19">
        <f t="shared" si="15"/>
        <v>10</v>
      </c>
      <c r="O112" s="10" t="str">
        <f t="shared" si="16"/>
        <v>INCOMPLETE</v>
      </c>
      <c r="P112" s="10"/>
      <c r="Q112" s="10" t="str">
        <f t="shared" si="17"/>
        <v>OK</v>
      </c>
    </row>
    <row r="113" spans="1:17" x14ac:dyDescent="0.3">
      <c r="A113" s="40" t="s">
        <v>345</v>
      </c>
      <c r="B113" s="13" t="s">
        <v>109</v>
      </c>
      <c r="C113" s="13" t="s">
        <v>346</v>
      </c>
      <c r="D113" s="13" t="s">
        <v>165</v>
      </c>
      <c r="E113" s="13" t="s">
        <v>165</v>
      </c>
      <c r="F113" s="13" t="s">
        <v>111</v>
      </c>
      <c r="G113" s="13" t="s">
        <v>112</v>
      </c>
      <c r="H113" s="14">
        <v>10</v>
      </c>
      <c r="I113" s="15">
        <v>20</v>
      </c>
      <c r="J113" s="16">
        <f t="shared" si="14"/>
        <v>200</v>
      </c>
      <c r="K113" s="17">
        <v>46112</v>
      </c>
      <c r="L113" s="14">
        <v>10</v>
      </c>
      <c r="M113" s="19">
        <f t="shared" si="11"/>
        <v>10</v>
      </c>
      <c r="N113" s="19">
        <f t="shared" si="15"/>
        <v>0</v>
      </c>
      <c r="O113" s="10" t="str">
        <f t="shared" si="16"/>
        <v>COMPLETE</v>
      </c>
      <c r="P113" s="10"/>
      <c r="Q113" s="10" t="str">
        <f t="shared" si="17"/>
        <v>OK</v>
      </c>
    </row>
    <row r="114" spans="1:17" x14ac:dyDescent="0.3">
      <c r="A114" s="40" t="s">
        <v>345</v>
      </c>
      <c r="B114" s="13" t="s">
        <v>109</v>
      </c>
      <c r="C114" s="13" t="s">
        <v>346</v>
      </c>
      <c r="D114" s="13" t="s">
        <v>165</v>
      </c>
      <c r="E114" s="13" t="s">
        <v>165</v>
      </c>
      <c r="F114" s="13" t="s">
        <v>48</v>
      </c>
      <c r="G114" s="13" t="s">
        <v>49</v>
      </c>
      <c r="H114" s="14">
        <v>10</v>
      </c>
      <c r="I114" s="15">
        <v>20</v>
      </c>
      <c r="J114" s="16">
        <f t="shared" si="14"/>
        <v>200</v>
      </c>
      <c r="K114" s="17">
        <v>46112</v>
      </c>
      <c r="L114" s="14">
        <v>10</v>
      </c>
      <c r="M114" s="19">
        <f t="shared" si="11"/>
        <v>10</v>
      </c>
      <c r="N114" s="19">
        <f t="shared" si="15"/>
        <v>0</v>
      </c>
      <c r="O114" s="10" t="str">
        <f t="shared" si="16"/>
        <v>COMPLETE</v>
      </c>
      <c r="P114" s="10"/>
      <c r="Q114" s="10" t="str">
        <f t="shared" si="17"/>
        <v>OK</v>
      </c>
    </row>
    <row r="115" spans="1:17" x14ac:dyDescent="0.3">
      <c r="A115" s="40" t="s">
        <v>345</v>
      </c>
      <c r="B115" s="13" t="s">
        <v>109</v>
      </c>
      <c r="C115" s="13" t="s">
        <v>346</v>
      </c>
      <c r="D115" s="13" t="s">
        <v>189</v>
      </c>
      <c r="E115" s="13" t="s">
        <v>189</v>
      </c>
      <c r="F115" s="13" t="s">
        <v>52</v>
      </c>
      <c r="G115" s="13" t="s">
        <v>53</v>
      </c>
      <c r="H115" s="14">
        <v>30</v>
      </c>
      <c r="I115" s="15">
        <v>20</v>
      </c>
      <c r="J115" s="16">
        <f t="shared" si="14"/>
        <v>600</v>
      </c>
      <c r="K115" s="17">
        <v>46118</v>
      </c>
      <c r="L115" s="14">
        <v>90</v>
      </c>
      <c r="M115" s="19">
        <f t="shared" si="11"/>
        <v>30</v>
      </c>
      <c r="N115" s="19">
        <f t="shared" si="15"/>
        <v>60</v>
      </c>
      <c r="O115" s="10" t="str">
        <f t="shared" si="16"/>
        <v>INCOMPLETE</v>
      </c>
      <c r="P115" s="10"/>
      <c r="Q115" s="10" t="str">
        <f t="shared" si="17"/>
        <v>OK</v>
      </c>
    </row>
    <row r="116" spans="1:17" x14ac:dyDescent="0.3">
      <c r="A116" s="40" t="s">
        <v>345</v>
      </c>
      <c r="B116" s="13" t="s">
        <v>109</v>
      </c>
      <c r="C116" s="13" t="s">
        <v>346</v>
      </c>
      <c r="D116" s="13" t="s">
        <v>189</v>
      </c>
      <c r="E116" s="13" t="s">
        <v>189</v>
      </c>
      <c r="F116" s="13" t="s">
        <v>44</v>
      </c>
      <c r="G116" s="13" t="s">
        <v>45</v>
      </c>
      <c r="H116" s="14">
        <v>10</v>
      </c>
      <c r="I116" s="15">
        <v>20</v>
      </c>
      <c r="J116" s="16">
        <f t="shared" si="14"/>
        <v>200</v>
      </c>
      <c r="K116" s="17">
        <v>46118</v>
      </c>
      <c r="L116" s="14">
        <v>10</v>
      </c>
      <c r="M116" s="19">
        <f t="shared" si="11"/>
        <v>10</v>
      </c>
      <c r="N116" s="19">
        <f t="shared" si="15"/>
        <v>0</v>
      </c>
      <c r="O116" s="10" t="str">
        <f t="shared" si="16"/>
        <v>COMPLETE</v>
      </c>
      <c r="P116" s="10"/>
      <c r="Q116" s="10" t="str">
        <f t="shared" si="17"/>
        <v>OK</v>
      </c>
    </row>
    <row r="117" spans="1:17" x14ac:dyDescent="0.3">
      <c r="A117" s="40" t="s">
        <v>345</v>
      </c>
      <c r="B117" s="13" t="s">
        <v>109</v>
      </c>
      <c r="C117" s="13" t="s">
        <v>346</v>
      </c>
      <c r="D117" s="13" t="s">
        <v>222</v>
      </c>
      <c r="E117" s="13" t="s">
        <v>222</v>
      </c>
      <c r="F117" s="13" t="s">
        <v>52</v>
      </c>
      <c r="G117" s="13" t="s">
        <v>53</v>
      </c>
      <c r="H117" s="14">
        <v>10</v>
      </c>
      <c r="I117" s="15">
        <v>20</v>
      </c>
      <c r="J117" s="16">
        <f t="shared" si="14"/>
        <v>200</v>
      </c>
      <c r="K117" s="17">
        <v>46135</v>
      </c>
      <c r="L117" s="14">
        <v>60</v>
      </c>
      <c r="M117" s="19">
        <f t="shared" si="11"/>
        <v>10</v>
      </c>
      <c r="N117" s="19">
        <f t="shared" si="15"/>
        <v>50</v>
      </c>
      <c r="O117" s="10" t="str">
        <f t="shared" si="16"/>
        <v>INCOMPLETE</v>
      </c>
      <c r="P117" s="10"/>
      <c r="Q117" s="10" t="str">
        <f t="shared" si="17"/>
        <v>OK</v>
      </c>
    </row>
    <row r="118" spans="1:17" x14ac:dyDescent="0.3">
      <c r="A118" s="40">
        <v>56</v>
      </c>
      <c r="B118" s="13" t="s">
        <v>109</v>
      </c>
      <c r="C118" s="13" t="s">
        <v>346</v>
      </c>
      <c r="D118" s="13" t="s">
        <v>259</v>
      </c>
      <c r="E118" s="13" t="s">
        <v>259</v>
      </c>
      <c r="F118" s="13" t="s">
        <v>52</v>
      </c>
      <c r="G118" s="13" t="s">
        <v>53</v>
      </c>
      <c r="H118" s="14">
        <v>50</v>
      </c>
      <c r="I118" s="15">
        <v>20</v>
      </c>
      <c r="J118" s="16">
        <f t="shared" si="14"/>
        <v>1000</v>
      </c>
      <c r="K118" s="17">
        <v>46151</v>
      </c>
      <c r="L118" s="14">
        <v>50</v>
      </c>
      <c r="M118" s="19">
        <f t="shared" si="11"/>
        <v>50</v>
      </c>
      <c r="N118" s="19">
        <f t="shared" si="15"/>
        <v>0</v>
      </c>
      <c r="O118" s="10" t="str">
        <f t="shared" si="16"/>
        <v>COMPLETE</v>
      </c>
      <c r="P118" s="10"/>
      <c r="Q118" s="10" t="str">
        <f t="shared" si="17"/>
        <v>OK</v>
      </c>
    </row>
    <row r="119" spans="1:17" x14ac:dyDescent="0.3">
      <c r="A119" s="10" t="s">
        <v>348</v>
      </c>
      <c r="B119" s="13" t="s">
        <v>50</v>
      </c>
      <c r="C119" s="13" t="s">
        <v>349</v>
      </c>
      <c r="D119" s="13" t="s">
        <v>317</v>
      </c>
      <c r="E119" s="13" t="s">
        <v>317</v>
      </c>
      <c r="F119" s="13" t="s">
        <v>52</v>
      </c>
      <c r="G119" s="13" t="s">
        <v>53</v>
      </c>
      <c r="H119" s="14">
        <v>50</v>
      </c>
      <c r="I119" s="15">
        <v>19</v>
      </c>
      <c r="J119" s="16">
        <f t="shared" si="14"/>
        <v>950</v>
      </c>
      <c r="K119" s="17">
        <v>46079</v>
      </c>
      <c r="L119" s="10">
        <v>50</v>
      </c>
      <c r="M119" s="19">
        <f t="shared" si="11"/>
        <v>50</v>
      </c>
      <c r="N119" s="19">
        <f t="shared" si="15"/>
        <v>0</v>
      </c>
      <c r="O119" s="10" t="str">
        <f t="shared" si="16"/>
        <v>COMPLETE</v>
      </c>
      <c r="P119" s="10"/>
      <c r="Q119" s="10" t="str">
        <f t="shared" si="17"/>
        <v>OK</v>
      </c>
    </row>
    <row r="120" spans="1:17" x14ac:dyDescent="0.3">
      <c r="A120" s="10" t="s">
        <v>350</v>
      </c>
      <c r="B120" s="13" t="s">
        <v>73</v>
      </c>
      <c r="C120" s="13" t="s">
        <v>351</v>
      </c>
      <c r="D120" s="13" t="s">
        <v>222</v>
      </c>
      <c r="E120" s="13" t="s">
        <v>222</v>
      </c>
      <c r="F120" s="13" t="s">
        <v>44</v>
      </c>
      <c r="G120" s="13" t="s">
        <v>45</v>
      </c>
      <c r="H120" s="14">
        <v>80</v>
      </c>
      <c r="I120" s="15">
        <v>26</v>
      </c>
      <c r="J120" s="16">
        <f t="shared" si="14"/>
        <v>2080</v>
      </c>
      <c r="K120" s="17">
        <v>46079</v>
      </c>
      <c r="L120" s="10">
        <v>80</v>
      </c>
      <c r="M120" s="19">
        <f t="shared" si="11"/>
        <v>80</v>
      </c>
      <c r="N120" s="19">
        <f t="shared" si="15"/>
        <v>0</v>
      </c>
      <c r="O120" s="10" t="str">
        <f t="shared" si="16"/>
        <v>COMPLETE</v>
      </c>
      <c r="P120" s="10"/>
      <c r="Q120" s="10" t="str">
        <f t="shared" si="17"/>
        <v>OK</v>
      </c>
    </row>
    <row r="121" spans="1:17" x14ac:dyDescent="0.3">
      <c r="A121" s="56" t="s">
        <v>354</v>
      </c>
      <c r="B121" s="13" t="s">
        <v>67</v>
      </c>
      <c r="C121" s="13" t="s">
        <v>355</v>
      </c>
      <c r="D121" s="13" t="s">
        <v>343</v>
      </c>
      <c r="E121" s="13" t="s">
        <v>356</v>
      </c>
      <c r="F121" s="13" t="s">
        <v>52</v>
      </c>
      <c r="G121" s="13" t="s">
        <v>53</v>
      </c>
      <c r="H121" s="14">
        <v>20</v>
      </c>
      <c r="I121" s="15">
        <v>26</v>
      </c>
      <c r="J121" s="16">
        <f t="shared" si="14"/>
        <v>520</v>
      </c>
      <c r="K121" s="17">
        <v>46080</v>
      </c>
      <c r="L121" s="10">
        <v>20</v>
      </c>
      <c r="M121" s="19">
        <f t="shared" si="11"/>
        <v>20</v>
      </c>
      <c r="N121" s="19">
        <f t="shared" si="15"/>
        <v>0</v>
      </c>
      <c r="O121" s="10" t="str">
        <f t="shared" si="16"/>
        <v>COMPLETE</v>
      </c>
      <c r="P121" s="10"/>
      <c r="Q121" s="10" t="str">
        <f t="shared" si="17"/>
        <v>OK</v>
      </c>
    </row>
    <row r="122" spans="1:17" x14ac:dyDescent="0.3">
      <c r="A122" s="56" t="s">
        <v>354</v>
      </c>
      <c r="B122" s="13" t="s">
        <v>67</v>
      </c>
      <c r="C122" s="13" t="s">
        <v>355</v>
      </c>
      <c r="D122" s="13" t="s">
        <v>343</v>
      </c>
      <c r="E122" s="13" t="s">
        <v>356</v>
      </c>
      <c r="F122" s="13" t="s">
        <v>155</v>
      </c>
      <c r="G122" s="13" t="s">
        <v>154</v>
      </c>
      <c r="H122" s="14">
        <v>30</v>
      </c>
      <c r="I122" s="15">
        <v>26</v>
      </c>
      <c r="J122" s="16">
        <f t="shared" si="14"/>
        <v>780</v>
      </c>
      <c r="K122" s="17">
        <v>46080</v>
      </c>
      <c r="L122" s="10">
        <v>30</v>
      </c>
      <c r="M122" s="19">
        <f t="shared" si="11"/>
        <v>30</v>
      </c>
      <c r="N122" s="19">
        <f t="shared" si="15"/>
        <v>0</v>
      </c>
      <c r="O122" s="10" t="str">
        <f t="shared" si="16"/>
        <v>COMPLETE</v>
      </c>
      <c r="P122" s="10"/>
      <c r="Q122" s="10" t="str">
        <f t="shared" si="17"/>
        <v>OK</v>
      </c>
    </row>
    <row r="123" spans="1:17" x14ac:dyDescent="0.3">
      <c r="A123" s="56" t="s">
        <v>354</v>
      </c>
      <c r="B123" s="13" t="s">
        <v>67</v>
      </c>
      <c r="C123" s="13" t="s">
        <v>355</v>
      </c>
      <c r="D123" s="13" t="s">
        <v>343</v>
      </c>
      <c r="E123" s="13" t="s">
        <v>356</v>
      </c>
      <c r="F123" s="13" t="s">
        <v>48</v>
      </c>
      <c r="G123" s="13" t="s">
        <v>49</v>
      </c>
      <c r="H123" s="14">
        <v>20</v>
      </c>
      <c r="I123" s="15">
        <v>26</v>
      </c>
      <c r="J123" s="16">
        <f t="shared" si="14"/>
        <v>520</v>
      </c>
      <c r="K123" s="17">
        <v>46080</v>
      </c>
      <c r="L123" s="10">
        <v>20</v>
      </c>
      <c r="M123" s="19">
        <f t="shared" si="11"/>
        <v>20</v>
      </c>
      <c r="N123" s="19">
        <f t="shared" si="15"/>
        <v>0</v>
      </c>
      <c r="O123" s="10" t="str">
        <f t="shared" si="16"/>
        <v>COMPLETE</v>
      </c>
      <c r="P123" s="10"/>
      <c r="Q123" s="10" t="str">
        <f t="shared" si="17"/>
        <v>OK</v>
      </c>
    </row>
    <row r="124" spans="1:17" x14ac:dyDescent="0.3">
      <c r="A124" s="10" t="s">
        <v>357</v>
      </c>
      <c r="B124" s="13" t="s">
        <v>236</v>
      </c>
      <c r="C124" s="13" t="s">
        <v>358</v>
      </c>
      <c r="D124" s="13" t="s">
        <v>43</v>
      </c>
      <c r="E124" s="13" t="s">
        <v>43</v>
      </c>
      <c r="F124" s="13" t="s">
        <v>44</v>
      </c>
      <c r="G124" s="13" t="s">
        <v>45</v>
      </c>
      <c r="H124" s="14">
        <v>20</v>
      </c>
      <c r="I124" s="15">
        <v>21</v>
      </c>
      <c r="J124" s="16">
        <f t="shared" si="14"/>
        <v>420</v>
      </c>
      <c r="K124" s="17">
        <v>46083</v>
      </c>
      <c r="L124" s="10">
        <v>50</v>
      </c>
      <c r="M124" s="19">
        <f t="shared" si="11"/>
        <v>20</v>
      </c>
      <c r="N124" s="19">
        <f t="shared" si="15"/>
        <v>30</v>
      </c>
      <c r="O124" s="10" t="str">
        <f t="shared" si="16"/>
        <v>INCOMPLETE</v>
      </c>
      <c r="P124" s="10"/>
      <c r="Q124" s="10" t="str">
        <f t="shared" si="17"/>
        <v>OK</v>
      </c>
    </row>
    <row r="125" spans="1:17" x14ac:dyDescent="0.3">
      <c r="A125" s="10" t="s">
        <v>364</v>
      </c>
      <c r="B125" s="13" t="s">
        <v>234</v>
      </c>
      <c r="C125" s="13" t="s">
        <v>365</v>
      </c>
      <c r="D125" s="13" t="s">
        <v>43</v>
      </c>
      <c r="E125" s="13" t="s">
        <v>43</v>
      </c>
      <c r="F125" s="13" t="s">
        <v>44</v>
      </c>
      <c r="G125" s="13" t="s">
        <v>45</v>
      </c>
      <c r="H125" s="14">
        <v>100</v>
      </c>
      <c r="I125" s="15">
        <v>28</v>
      </c>
      <c r="J125" s="16">
        <f t="shared" si="14"/>
        <v>2800</v>
      </c>
      <c r="K125" s="17">
        <v>46084</v>
      </c>
      <c r="L125" s="10">
        <v>100</v>
      </c>
      <c r="M125" s="19">
        <f t="shared" si="11"/>
        <v>100</v>
      </c>
      <c r="N125" s="19">
        <f t="shared" si="15"/>
        <v>0</v>
      </c>
      <c r="O125" s="10" t="str">
        <f t="shared" si="16"/>
        <v>COMPLETE</v>
      </c>
      <c r="P125" s="10"/>
      <c r="Q125" s="10" t="str">
        <f t="shared" si="17"/>
        <v>OK</v>
      </c>
    </row>
    <row r="126" spans="1:17" x14ac:dyDescent="0.3">
      <c r="A126" s="10" t="s">
        <v>367</v>
      </c>
      <c r="B126" s="13" t="s">
        <v>86</v>
      </c>
      <c r="C126" s="13" t="s">
        <v>368</v>
      </c>
      <c r="D126" s="13" t="s">
        <v>43</v>
      </c>
      <c r="E126" s="13" t="s">
        <v>43</v>
      </c>
      <c r="F126" s="13" t="s">
        <v>44</v>
      </c>
      <c r="G126" s="13" t="s">
        <v>45</v>
      </c>
      <c r="H126" s="14">
        <v>100</v>
      </c>
      <c r="I126" s="15">
        <v>28</v>
      </c>
      <c r="J126" s="16">
        <f t="shared" si="14"/>
        <v>2800</v>
      </c>
      <c r="K126" s="17">
        <v>46085</v>
      </c>
      <c r="L126" s="10">
        <v>100</v>
      </c>
      <c r="M126" s="19">
        <f t="shared" si="11"/>
        <v>100</v>
      </c>
      <c r="N126" s="19">
        <f t="shared" si="15"/>
        <v>0</v>
      </c>
      <c r="O126" s="10" t="str">
        <f t="shared" si="16"/>
        <v>COMPLETE</v>
      </c>
      <c r="P126" s="10"/>
      <c r="Q126" s="10" t="str">
        <f t="shared" si="17"/>
        <v>OK</v>
      </c>
    </row>
    <row r="127" spans="1:17" x14ac:dyDescent="0.3">
      <c r="A127" s="10" t="s">
        <v>378</v>
      </c>
      <c r="B127" s="13" t="s">
        <v>380</v>
      </c>
      <c r="C127" s="13" t="s">
        <v>379</v>
      </c>
      <c r="D127" s="13" t="s">
        <v>21</v>
      </c>
      <c r="E127" s="13" t="s">
        <v>21</v>
      </c>
      <c r="F127" s="13" t="s">
        <v>44</v>
      </c>
      <c r="G127" s="13" t="s">
        <v>45</v>
      </c>
      <c r="H127" s="14">
        <v>80</v>
      </c>
      <c r="I127" s="15">
        <v>24</v>
      </c>
      <c r="J127" s="16">
        <f t="shared" si="14"/>
        <v>1920</v>
      </c>
      <c r="K127" s="17">
        <v>46086</v>
      </c>
      <c r="L127" s="10">
        <v>80</v>
      </c>
      <c r="M127" s="19">
        <f t="shared" si="11"/>
        <v>80</v>
      </c>
      <c r="N127" s="19">
        <f t="shared" si="15"/>
        <v>0</v>
      </c>
      <c r="O127" s="10" t="str">
        <f t="shared" si="16"/>
        <v>COMPLETE</v>
      </c>
      <c r="P127" s="10"/>
      <c r="Q127" s="10" t="str">
        <f t="shared" si="17"/>
        <v>OK</v>
      </c>
    </row>
    <row r="128" spans="1:17" x14ac:dyDescent="0.3">
      <c r="A128" s="10" t="s">
        <v>392</v>
      </c>
      <c r="B128" s="13" t="s">
        <v>73</v>
      </c>
      <c r="C128" s="13" t="s">
        <v>393</v>
      </c>
      <c r="D128" s="13" t="s">
        <v>248</v>
      </c>
      <c r="E128" s="13" t="s">
        <v>248</v>
      </c>
      <c r="F128" s="13" t="s">
        <v>44</v>
      </c>
      <c r="G128" s="13" t="s">
        <v>45</v>
      </c>
      <c r="H128" s="14">
        <v>120</v>
      </c>
      <c r="I128" s="15">
        <v>26</v>
      </c>
      <c r="J128" s="16">
        <f t="shared" si="14"/>
        <v>3120</v>
      </c>
      <c r="K128" s="17">
        <v>46088</v>
      </c>
      <c r="L128" s="10">
        <v>120</v>
      </c>
      <c r="M128" s="19">
        <f t="shared" si="11"/>
        <v>120</v>
      </c>
      <c r="N128" s="19">
        <f t="shared" si="15"/>
        <v>0</v>
      </c>
      <c r="O128" s="10" t="str">
        <f t="shared" si="16"/>
        <v>COMPLETE</v>
      </c>
      <c r="P128" s="10"/>
      <c r="Q128" s="10" t="str">
        <f t="shared" si="17"/>
        <v>OK</v>
      </c>
    </row>
    <row r="129" spans="1:17" x14ac:dyDescent="0.3">
      <c r="A129" s="44" t="s">
        <v>403</v>
      </c>
      <c r="B129" s="13" t="s">
        <v>50</v>
      </c>
      <c r="C129" s="13" t="s">
        <v>404</v>
      </c>
      <c r="D129" s="13" t="s">
        <v>325</v>
      </c>
      <c r="E129" s="13" t="s">
        <v>325</v>
      </c>
      <c r="F129" s="13" t="s">
        <v>52</v>
      </c>
      <c r="G129" s="13" t="s">
        <v>53</v>
      </c>
      <c r="H129" s="14">
        <v>160</v>
      </c>
      <c r="I129" s="15">
        <v>19</v>
      </c>
      <c r="J129" s="16">
        <f t="shared" si="14"/>
        <v>3040</v>
      </c>
      <c r="K129" s="17">
        <v>46091</v>
      </c>
      <c r="L129" s="10">
        <v>260</v>
      </c>
      <c r="M129" s="19">
        <f t="shared" si="11"/>
        <v>160</v>
      </c>
      <c r="N129" s="19">
        <f t="shared" si="15"/>
        <v>100</v>
      </c>
      <c r="O129" s="10" t="str">
        <f t="shared" si="16"/>
        <v>INCOMPLETE</v>
      </c>
      <c r="P129" s="10"/>
      <c r="Q129" s="10" t="str">
        <f t="shared" si="17"/>
        <v>OK</v>
      </c>
    </row>
    <row r="130" spans="1:17" x14ac:dyDescent="0.3">
      <c r="A130" s="44" t="s">
        <v>403</v>
      </c>
      <c r="B130" s="13" t="s">
        <v>50</v>
      </c>
      <c r="C130" s="13" t="s">
        <v>404</v>
      </c>
      <c r="D130" s="13" t="s">
        <v>333</v>
      </c>
      <c r="E130" s="13" t="s">
        <v>333</v>
      </c>
      <c r="F130" s="13" t="s">
        <v>52</v>
      </c>
      <c r="G130" s="13" t="s">
        <v>53</v>
      </c>
      <c r="H130" s="14">
        <v>40</v>
      </c>
      <c r="I130" s="15">
        <v>19</v>
      </c>
      <c r="J130" s="16">
        <f t="shared" si="14"/>
        <v>760</v>
      </c>
      <c r="K130" s="17">
        <v>46106</v>
      </c>
      <c r="L130" s="10">
        <v>100</v>
      </c>
      <c r="M130" s="19">
        <f t="shared" si="11"/>
        <v>40</v>
      </c>
      <c r="N130" s="19">
        <f t="shared" si="15"/>
        <v>60</v>
      </c>
      <c r="O130" s="10" t="str">
        <f t="shared" si="16"/>
        <v>INCOMPLETE</v>
      </c>
      <c r="P130" s="10"/>
      <c r="Q130" s="10" t="str">
        <f t="shared" si="17"/>
        <v>OK</v>
      </c>
    </row>
    <row r="131" spans="1:17" x14ac:dyDescent="0.3">
      <c r="A131" s="44" t="s">
        <v>403</v>
      </c>
      <c r="B131" s="13" t="s">
        <v>50</v>
      </c>
      <c r="C131" s="13" t="s">
        <v>404</v>
      </c>
      <c r="D131" s="13" t="s">
        <v>353</v>
      </c>
      <c r="E131" s="13" t="s">
        <v>353</v>
      </c>
      <c r="F131" s="13" t="s">
        <v>52</v>
      </c>
      <c r="G131" s="13" t="s">
        <v>53</v>
      </c>
      <c r="H131" s="14">
        <v>60</v>
      </c>
      <c r="I131" s="15">
        <v>19</v>
      </c>
      <c r="J131" s="16">
        <f t="shared" si="14"/>
        <v>1140</v>
      </c>
      <c r="K131" s="17">
        <v>46111</v>
      </c>
      <c r="L131" s="10">
        <v>60</v>
      </c>
      <c r="M131" s="19">
        <f t="shared" si="11"/>
        <v>60</v>
      </c>
      <c r="N131" s="19">
        <f t="shared" si="15"/>
        <v>0</v>
      </c>
      <c r="O131" s="10" t="str">
        <f t="shared" si="16"/>
        <v>COMPLETE</v>
      </c>
      <c r="P131" s="10"/>
      <c r="Q131" s="10" t="str">
        <f t="shared" si="17"/>
        <v>OK</v>
      </c>
    </row>
    <row r="132" spans="1:17" x14ac:dyDescent="0.3">
      <c r="A132" s="10" t="s">
        <v>407</v>
      </c>
      <c r="B132" s="13" t="s">
        <v>63</v>
      </c>
      <c r="C132" s="13" t="s">
        <v>408</v>
      </c>
      <c r="D132" s="13" t="s">
        <v>135</v>
      </c>
      <c r="E132" s="13" t="s">
        <v>135</v>
      </c>
      <c r="F132" s="13" t="s">
        <v>44</v>
      </c>
      <c r="G132" s="13" t="s">
        <v>45</v>
      </c>
      <c r="H132" s="14">
        <v>400</v>
      </c>
      <c r="I132" s="15">
        <v>20</v>
      </c>
      <c r="J132" s="16">
        <f t="shared" si="14"/>
        <v>8000</v>
      </c>
      <c r="K132" s="17">
        <v>46092</v>
      </c>
      <c r="L132" s="10">
        <v>400</v>
      </c>
      <c r="M132" s="19">
        <f t="shared" si="11"/>
        <v>400</v>
      </c>
      <c r="N132" s="19">
        <f t="shared" si="15"/>
        <v>0</v>
      </c>
      <c r="O132" s="10" t="str">
        <f t="shared" si="16"/>
        <v>COMPLETE</v>
      </c>
      <c r="P132" s="10"/>
      <c r="Q132" s="10" t="str">
        <f t="shared" si="17"/>
        <v>OK</v>
      </c>
    </row>
    <row r="133" spans="1:17" x14ac:dyDescent="0.3">
      <c r="A133" s="10" t="s">
        <v>409</v>
      </c>
      <c r="B133" s="13" t="s">
        <v>91</v>
      </c>
      <c r="C133" s="13" t="s">
        <v>101</v>
      </c>
      <c r="D133" s="13" t="s">
        <v>43</v>
      </c>
      <c r="E133" s="13" t="s">
        <v>43</v>
      </c>
      <c r="F133" s="13" t="s">
        <v>44</v>
      </c>
      <c r="G133" s="13" t="s">
        <v>45</v>
      </c>
      <c r="H133" s="14">
        <v>160</v>
      </c>
      <c r="I133" s="15">
        <v>21</v>
      </c>
      <c r="J133" s="16">
        <f t="shared" si="14"/>
        <v>3360</v>
      </c>
      <c r="K133" s="17">
        <v>46092</v>
      </c>
      <c r="L133" s="10">
        <v>160</v>
      </c>
      <c r="M133" s="19">
        <f t="shared" si="11"/>
        <v>160</v>
      </c>
      <c r="N133" s="19">
        <f t="shared" si="15"/>
        <v>0</v>
      </c>
      <c r="O133" s="10" t="str">
        <f t="shared" si="16"/>
        <v>COMPLETE</v>
      </c>
      <c r="P133" s="10"/>
      <c r="Q133" s="10" t="str">
        <f t="shared" si="17"/>
        <v>OK</v>
      </c>
    </row>
    <row r="134" spans="1:17" x14ac:dyDescent="0.3">
      <c r="A134" s="10" t="s">
        <v>410</v>
      </c>
      <c r="B134" s="13" t="s">
        <v>67</v>
      </c>
      <c r="C134" s="13" t="s">
        <v>411</v>
      </c>
      <c r="D134" s="13" t="s">
        <v>382</v>
      </c>
      <c r="E134" s="13" t="s">
        <v>412</v>
      </c>
      <c r="F134" s="13" t="s">
        <v>111</v>
      </c>
      <c r="G134" s="13" t="s">
        <v>112</v>
      </c>
      <c r="H134" s="14">
        <v>5</v>
      </c>
      <c r="I134" s="15">
        <v>26</v>
      </c>
      <c r="J134" s="16">
        <f t="shared" si="14"/>
        <v>130</v>
      </c>
      <c r="K134" s="17">
        <v>46092</v>
      </c>
      <c r="L134" s="10">
        <v>5</v>
      </c>
      <c r="M134" s="19">
        <f t="shared" si="11"/>
        <v>5</v>
      </c>
      <c r="N134" s="19">
        <f t="shared" si="15"/>
        <v>0</v>
      </c>
      <c r="O134" s="10" t="str">
        <f t="shared" si="16"/>
        <v>COMPLETE</v>
      </c>
      <c r="P134" s="10"/>
      <c r="Q134" s="10" t="str">
        <f t="shared" si="17"/>
        <v>OK</v>
      </c>
    </row>
    <row r="135" spans="1:17" x14ac:dyDescent="0.3">
      <c r="A135" s="31" t="s">
        <v>414</v>
      </c>
      <c r="B135" s="13" t="s">
        <v>77</v>
      </c>
      <c r="C135" s="13" t="s">
        <v>415</v>
      </c>
      <c r="D135" s="13" t="s">
        <v>165</v>
      </c>
      <c r="E135" s="13" t="s">
        <v>165</v>
      </c>
      <c r="F135" s="13" t="s">
        <v>117</v>
      </c>
      <c r="G135" s="13" t="s">
        <v>118</v>
      </c>
      <c r="H135" s="14">
        <v>40</v>
      </c>
      <c r="I135" s="15">
        <v>20</v>
      </c>
      <c r="J135" s="16">
        <f t="shared" ref="J135:J144" si="28">H135*I135</f>
        <v>800</v>
      </c>
      <c r="K135" s="17">
        <v>46093</v>
      </c>
      <c r="L135" s="10">
        <v>40</v>
      </c>
      <c r="M135" s="19">
        <f t="shared" ref="M135:M144" si="29">H135</f>
        <v>40</v>
      </c>
      <c r="N135" s="19">
        <f t="shared" ref="N135:N144" si="30">L135-M135</f>
        <v>0</v>
      </c>
      <c r="O135" s="10" t="str">
        <f t="shared" ref="O135:O144" si="31">IF(N135=0,"COMPLETE","INCOMPLETE")</f>
        <v>COMPLETE</v>
      </c>
      <c r="P135" s="10"/>
      <c r="Q135" s="10" t="str">
        <f t="shared" ref="Q135:Q144" si="32">IF(M135=H135,"OK","X")</f>
        <v>OK</v>
      </c>
    </row>
    <row r="136" spans="1:17" x14ac:dyDescent="0.3">
      <c r="A136" s="31" t="s">
        <v>414</v>
      </c>
      <c r="B136" s="13" t="s">
        <v>77</v>
      </c>
      <c r="C136" s="13" t="s">
        <v>415</v>
      </c>
      <c r="D136" s="13" t="s">
        <v>165</v>
      </c>
      <c r="E136" s="13" t="s">
        <v>165</v>
      </c>
      <c r="F136" s="13" t="s">
        <v>52</v>
      </c>
      <c r="G136" s="13" t="s">
        <v>53</v>
      </c>
      <c r="H136" s="14">
        <v>40</v>
      </c>
      <c r="I136" s="15">
        <v>20</v>
      </c>
      <c r="J136" s="16">
        <f t="shared" si="28"/>
        <v>800</v>
      </c>
      <c r="K136" s="17">
        <v>46093</v>
      </c>
      <c r="L136" s="10">
        <v>40</v>
      </c>
      <c r="M136" s="19">
        <f t="shared" si="29"/>
        <v>40</v>
      </c>
      <c r="N136" s="19">
        <f t="shared" si="30"/>
        <v>0</v>
      </c>
      <c r="O136" s="10" t="str">
        <f t="shared" si="31"/>
        <v>COMPLETE</v>
      </c>
      <c r="P136" s="10"/>
      <c r="Q136" s="10" t="str">
        <f t="shared" si="32"/>
        <v>OK</v>
      </c>
    </row>
    <row r="137" spans="1:17" x14ac:dyDescent="0.3">
      <c r="A137" s="43" t="s">
        <v>425</v>
      </c>
      <c r="B137" s="13" t="s">
        <v>67</v>
      </c>
      <c r="C137" s="13" t="s">
        <v>426</v>
      </c>
      <c r="D137" s="13" t="s">
        <v>397</v>
      </c>
      <c r="E137" s="13" t="s">
        <v>427</v>
      </c>
      <c r="F137" s="13" t="s">
        <v>117</v>
      </c>
      <c r="G137" s="13" t="s">
        <v>118</v>
      </c>
      <c r="H137" s="14">
        <v>30</v>
      </c>
      <c r="I137" s="15">
        <v>26</v>
      </c>
      <c r="J137" s="16">
        <f t="shared" si="28"/>
        <v>780</v>
      </c>
      <c r="K137" s="17">
        <v>46094</v>
      </c>
      <c r="L137" s="10">
        <v>30</v>
      </c>
      <c r="M137" s="19">
        <f t="shared" si="29"/>
        <v>30</v>
      </c>
      <c r="N137" s="19">
        <f t="shared" si="30"/>
        <v>0</v>
      </c>
      <c r="O137" s="10" t="str">
        <f t="shared" si="31"/>
        <v>COMPLETE</v>
      </c>
      <c r="P137" s="10"/>
      <c r="Q137" s="10" t="str">
        <f t="shared" si="32"/>
        <v>OK</v>
      </c>
    </row>
    <row r="138" spans="1:17" x14ac:dyDescent="0.2">
      <c r="A138" s="43" t="s">
        <v>425</v>
      </c>
      <c r="B138" s="13" t="s">
        <v>67</v>
      </c>
      <c r="C138" s="13" t="s">
        <v>426</v>
      </c>
      <c r="D138" s="13" t="s">
        <v>397</v>
      </c>
      <c r="E138" s="13" t="s">
        <v>427</v>
      </c>
      <c r="F138" s="13" t="s">
        <v>428</v>
      </c>
      <c r="G138" s="22" t="s">
        <v>429</v>
      </c>
      <c r="H138" s="14">
        <v>5</v>
      </c>
      <c r="I138" s="15">
        <v>26</v>
      </c>
      <c r="J138" s="16">
        <f t="shared" si="28"/>
        <v>130</v>
      </c>
      <c r="K138" s="17">
        <v>46094</v>
      </c>
      <c r="L138" s="10">
        <v>5</v>
      </c>
      <c r="M138" s="19">
        <f t="shared" si="29"/>
        <v>5</v>
      </c>
      <c r="N138" s="19">
        <f t="shared" si="30"/>
        <v>0</v>
      </c>
      <c r="O138" s="10" t="str">
        <f t="shared" si="31"/>
        <v>COMPLETE</v>
      </c>
      <c r="P138" s="10"/>
      <c r="Q138" s="10" t="str">
        <f t="shared" si="32"/>
        <v>OK</v>
      </c>
    </row>
    <row r="139" spans="1:17" x14ac:dyDescent="0.3">
      <c r="A139" s="43" t="s">
        <v>425</v>
      </c>
      <c r="B139" s="13" t="s">
        <v>67</v>
      </c>
      <c r="C139" s="13" t="s">
        <v>426</v>
      </c>
      <c r="D139" s="13" t="s">
        <v>397</v>
      </c>
      <c r="E139" s="13" t="s">
        <v>427</v>
      </c>
      <c r="F139" s="13" t="s">
        <v>155</v>
      </c>
      <c r="G139" s="13" t="s">
        <v>154</v>
      </c>
      <c r="H139" s="14">
        <v>30</v>
      </c>
      <c r="I139" s="15">
        <v>26</v>
      </c>
      <c r="J139" s="16">
        <f t="shared" si="28"/>
        <v>780</v>
      </c>
      <c r="K139" s="17">
        <v>46094</v>
      </c>
      <c r="L139" s="10">
        <v>30</v>
      </c>
      <c r="M139" s="19">
        <f t="shared" si="29"/>
        <v>30</v>
      </c>
      <c r="N139" s="19">
        <f t="shared" si="30"/>
        <v>0</v>
      </c>
      <c r="O139" s="10" t="str">
        <f t="shared" si="31"/>
        <v>COMPLETE</v>
      </c>
      <c r="P139" s="10"/>
      <c r="Q139" s="10" t="str">
        <f t="shared" si="32"/>
        <v>OK</v>
      </c>
    </row>
    <row r="140" spans="1:17" x14ac:dyDescent="0.3">
      <c r="A140" s="10" t="s">
        <v>430</v>
      </c>
      <c r="B140" s="13" t="s">
        <v>234</v>
      </c>
      <c r="C140" s="13" t="s">
        <v>431</v>
      </c>
      <c r="D140" s="13" t="s">
        <v>47</v>
      </c>
      <c r="E140" s="13" t="s">
        <v>47</v>
      </c>
      <c r="F140" s="13" t="s">
        <v>44</v>
      </c>
      <c r="G140" s="13" t="s">
        <v>45</v>
      </c>
      <c r="H140" s="14">
        <v>240</v>
      </c>
      <c r="I140" s="15">
        <v>28</v>
      </c>
      <c r="J140" s="16">
        <f t="shared" si="28"/>
        <v>6720</v>
      </c>
      <c r="K140" s="17">
        <v>46097</v>
      </c>
      <c r="L140" s="10">
        <v>240</v>
      </c>
      <c r="M140" s="19">
        <f t="shared" si="29"/>
        <v>240</v>
      </c>
      <c r="N140" s="19">
        <f t="shared" si="30"/>
        <v>0</v>
      </c>
      <c r="O140" s="10" t="str">
        <f t="shared" si="31"/>
        <v>COMPLETE</v>
      </c>
      <c r="P140" s="10"/>
      <c r="Q140" s="10" t="str">
        <f t="shared" si="32"/>
        <v>OK</v>
      </c>
    </row>
    <row r="141" spans="1:17" x14ac:dyDescent="0.3">
      <c r="A141" s="44" t="s">
        <v>432</v>
      </c>
      <c r="B141" s="13" t="s">
        <v>91</v>
      </c>
      <c r="C141" s="13" t="s">
        <v>433</v>
      </c>
      <c r="D141" s="13" t="s">
        <v>94</v>
      </c>
      <c r="E141" s="13" t="s">
        <v>94</v>
      </c>
      <c r="F141" s="13" t="s">
        <v>44</v>
      </c>
      <c r="G141" s="13" t="s">
        <v>45</v>
      </c>
      <c r="H141" s="14">
        <v>60</v>
      </c>
      <c r="I141" s="15">
        <v>21</v>
      </c>
      <c r="J141" s="16">
        <f t="shared" si="28"/>
        <v>1260</v>
      </c>
      <c r="K141" s="17">
        <v>46097</v>
      </c>
      <c r="L141" s="10">
        <v>200</v>
      </c>
      <c r="M141" s="19">
        <f t="shared" si="29"/>
        <v>60</v>
      </c>
      <c r="N141" s="19">
        <f t="shared" si="30"/>
        <v>140</v>
      </c>
      <c r="O141" s="10" t="str">
        <f t="shared" si="31"/>
        <v>INCOMPLETE</v>
      </c>
      <c r="P141" s="10"/>
      <c r="Q141" s="10" t="str">
        <f t="shared" si="32"/>
        <v>OK</v>
      </c>
    </row>
    <row r="142" spans="1:17" x14ac:dyDescent="0.3">
      <c r="A142" s="44" t="s">
        <v>432</v>
      </c>
      <c r="B142" s="13" t="s">
        <v>91</v>
      </c>
      <c r="C142" s="13" t="s">
        <v>433</v>
      </c>
      <c r="D142" s="13" t="s">
        <v>135</v>
      </c>
      <c r="E142" s="13" t="s">
        <v>135</v>
      </c>
      <c r="F142" s="13" t="s">
        <v>44</v>
      </c>
      <c r="G142" s="13" t="s">
        <v>45</v>
      </c>
      <c r="H142" s="14">
        <v>40</v>
      </c>
      <c r="I142" s="15">
        <v>21</v>
      </c>
      <c r="J142" s="16">
        <f t="shared" si="28"/>
        <v>840</v>
      </c>
      <c r="K142" s="17">
        <v>46104</v>
      </c>
      <c r="L142" s="10">
        <v>140</v>
      </c>
      <c r="M142" s="19">
        <f t="shared" si="29"/>
        <v>40</v>
      </c>
      <c r="N142" s="19">
        <f t="shared" si="30"/>
        <v>100</v>
      </c>
      <c r="O142" s="10" t="str">
        <f t="shared" si="31"/>
        <v>INCOMPLETE</v>
      </c>
      <c r="P142" s="10"/>
      <c r="Q142" s="10" t="str">
        <f t="shared" si="32"/>
        <v>OK</v>
      </c>
    </row>
    <row r="143" spans="1:17" x14ac:dyDescent="0.3">
      <c r="A143" s="44" t="s">
        <v>432</v>
      </c>
      <c r="B143" s="13" t="s">
        <v>91</v>
      </c>
      <c r="C143" s="13" t="s">
        <v>433</v>
      </c>
      <c r="D143" s="13" t="s">
        <v>133</v>
      </c>
      <c r="E143" s="13" t="s">
        <v>133</v>
      </c>
      <c r="F143" s="13" t="s">
        <v>44</v>
      </c>
      <c r="G143" s="13" t="s">
        <v>45</v>
      </c>
      <c r="H143" s="14">
        <v>100</v>
      </c>
      <c r="I143" s="15">
        <v>21</v>
      </c>
      <c r="J143" s="16">
        <f t="shared" si="28"/>
        <v>2100</v>
      </c>
      <c r="K143" s="17">
        <v>46108</v>
      </c>
      <c r="L143" s="10">
        <v>100</v>
      </c>
      <c r="M143" s="19">
        <f t="shared" si="29"/>
        <v>100</v>
      </c>
      <c r="N143" s="19">
        <f t="shared" si="30"/>
        <v>0</v>
      </c>
      <c r="O143" s="10" t="str">
        <f t="shared" si="31"/>
        <v>COMPLETE</v>
      </c>
      <c r="P143" s="10"/>
      <c r="Q143" s="10" t="str">
        <f t="shared" si="32"/>
        <v>OK</v>
      </c>
    </row>
    <row r="144" spans="1:17" x14ac:dyDescent="0.3">
      <c r="A144" s="10" t="s">
        <v>441</v>
      </c>
      <c r="B144" s="13" t="s">
        <v>73</v>
      </c>
      <c r="C144" s="13" t="s">
        <v>442</v>
      </c>
      <c r="D144" s="13" t="s">
        <v>269</v>
      </c>
      <c r="E144" s="13" t="s">
        <v>269</v>
      </c>
      <c r="F144" s="13" t="s">
        <v>44</v>
      </c>
      <c r="G144" s="13" t="s">
        <v>45</v>
      </c>
      <c r="H144" s="14">
        <v>120</v>
      </c>
      <c r="I144" s="15">
        <v>26</v>
      </c>
      <c r="J144" s="16">
        <f t="shared" si="28"/>
        <v>3120</v>
      </c>
      <c r="K144" s="17">
        <v>46098</v>
      </c>
      <c r="L144" s="10">
        <v>120</v>
      </c>
      <c r="M144" s="19">
        <f t="shared" si="29"/>
        <v>120</v>
      </c>
      <c r="N144" s="19">
        <f t="shared" si="30"/>
        <v>0</v>
      </c>
      <c r="O144" s="10" t="str">
        <f t="shared" si="31"/>
        <v>COMPLETE</v>
      </c>
      <c r="P144" s="10"/>
      <c r="Q144" s="10" t="str">
        <f t="shared" si="32"/>
        <v>OK</v>
      </c>
    </row>
    <row r="145" spans="1:17" x14ac:dyDescent="0.3">
      <c r="A145" s="10" t="s">
        <v>443</v>
      </c>
      <c r="B145" s="13" t="s">
        <v>63</v>
      </c>
      <c r="C145" s="13" t="s">
        <v>444</v>
      </c>
      <c r="D145" s="13" t="s">
        <v>133</v>
      </c>
      <c r="E145" s="13" t="s">
        <v>133</v>
      </c>
      <c r="F145" s="13" t="s">
        <v>111</v>
      </c>
      <c r="G145" s="13" t="s">
        <v>112</v>
      </c>
      <c r="H145" s="14">
        <v>100</v>
      </c>
      <c r="I145" s="15">
        <v>20</v>
      </c>
      <c r="J145" s="16">
        <f t="shared" ref="J145:J196" si="33">H145*I145</f>
        <v>2000</v>
      </c>
      <c r="K145" s="17">
        <v>46099</v>
      </c>
      <c r="L145" s="10">
        <v>100</v>
      </c>
      <c r="M145" s="19">
        <f t="shared" ref="M145:M196" si="34">H145</f>
        <v>100</v>
      </c>
      <c r="N145" s="19">
        <f t="shared" ref="N145:N196" si="35">L145-M145</f>
        <v>0</v>
      </c>
      <c r="O145" s="10" t="str">
        <f t="shared" ref="O145:O196" si="36">IF(N145=0,"COMPLETE","INCOMPLETE")</f>
        <v>COMPLETE</v>
      </c>
      <c r="P145" s="10"/>
      <c r="Q145" s="10" t="str">
        <f t="shared" ref="Q145:Q196" si="37">IF(M145=H145,"OK","X")</f>
        <v>OK</v>
      </c>
    </row>
    <row r="146" spans="1:17" x14ac:dyDescent="0.3">
      <c r="A146" s="9" t="s">
        <v>445</v>
      </c>
      <c r="B146" s="13" t="s">
        <v>67</v>
      </c>
      <c r="C146" s="13" t="s">
        <v>446</v>
      </c>
      <c r="D146" s="13" t="s">
        <v>436</v>
      </c>
      <c r="E146" s="13" t="s">
        <v>447</v>
      </c>
      <c r="F146" s="13" t="s">
        <v>52</v>
      </c>
      <c r="G146" s="13" t="s">
        <v>53</v>
      </c>
      <c r="H146" s="14">
        <v>30</v>
      </c>
      <c r="I146" s="15">
        <v>26</v>
      </c>
      <c r="J146" s="16">
        <f t="shared" si="33"/>
        <v>780</v>
      </c>
      <c r="K146" s="17">
        <v>46099</v>
      </c>
      <c r="L146" s="10">
        <v>30</v>
      </c>
      <c r="M146" s="19">
        <f t="shared" si="34"/>
        <v>30</v>
      </c>
      <c r="N146" s="19">
        <f t="shared" si="35"/>
        <v>0</v>
      </c>
      <c r="O146" s="10" t="str">
        <f t="shared" si="36"/>
        <v>COMPLETE</v>
      </c>
      <c r="P146" s="10"/>
      <c r="Q146" s="10" t="str">
        <f t="shared" si="37"/>
        <v>OK</v>
      </c>
    </row>
    <row r="147" spans="1:17" x14ac:dyDescent="0.3">
      <c r="A147" s="9" t="s">
        <v>445</v>
      </c>
      <c r="B147" s="13" t="s">
        <v>67</v>
      </c>
      <c r="C147" s="13" t="s">
        <v>446</v>
      </c>
      <c r="D147" s="13" t="s">
        <v>436</v>
      </c>
      <c r="E147" s="13" t="s">
        <v>447</v>
      </c>
      <c r="F147" s="13" t="s">
        <v>155</v>
      </c>
      <c r="G147" s="13" t="s">
        <v>154</v>
      </c>
      <c r="H147" s="14">
        <v>30</v>
      </c>
      <c r="I147" s="15">
        <v>26</v>
      </c>
      <c r="J147" s="16">
        <f t="shared" si="33"/>
        <v>780</v>
      </c>
      <c r="K147" s="17">
        <v>46099</v>
      </c>
      <c r="L147" s="10">
        <v>30</v>
      </c>
      <c r="M147" s="19">
        <f t="shared" si="34"/>
        <v>30</v>
      </c>
      <c r="N147" s="19">
        <f t="shared" si="35"/>
        <v>0</v>
      </c>
      <c r="O147" s="10" t="str">
        <f t="shared" si="36"/>
        <v>COMPLETE</v>
      </c>
      <c r="P147" s="10"/>
      <c r="Q147" s="10" t="str">
        <f t="shared" si="37"/>
        <v>OK</v>
      </c>
    </row>
    <row r="148" spans="1:17" x14ac:dyDescent="0.3">
      <c r="A148" s="9" t="s">
        <v>445</v>
      </c>
      <c r="B148" s="13" t="s">
        <v>67</v>
      </c>
      <c r="C148" s="13" t="s">
        <v>446</v>
      </c>
      <c r="D148" s="13" t="s">
        <v>436</v>
      </c>
      <c r="E148" s="13" t="s">
        <v>447</v>
      </c>
      <c r="F148" s="13" t="s">
        <v>48</v>
      </c>
      <c r="G148" s="13" t="s">
        <v>49</v>
      </c>
      <c r="H148" s="14">
        <v>20</v>
      </c>
      <c r="I148" s="15">
        <v>26</v>
      </c>
      <c r="J148" s="16">
        <f t="shared" si="33"/>
        <v>520</v>
      </c>
      <c r="K148" s="17">
        <v>46099</v>
      </c>
      <c r="L148" s="10">
        <v>20</v>
      </c>
      <c r="M148" s="19">
        <f t="shared" si="34"/>
        <v>20</v>
      </c>
      <c r="N148" s="19">
        <f t="shared" si="35"/>
        <v>0</v>
      </c>
      <c r="O148" s="10" t="str">
        <f t="shared" si="36"/>
        <v>COMPLETE</v>
      </c>
      <c r="P148" s="10"/>
      <c r="Q148" s="10" t="str">
        <f t="shared" si="37"/>
        <v>OK</v>
      </c>
    </row>
    <row r="149" spans="1:17" x14ac:dyDescent="0.3">
      <c r="A149" s="10" t="s">
        <v>448</v>
      </c>
      <c r="B149" s="13" t="s">
        <v>67</v>
      </c>
      <c r="C149" s="13" t="s">
        <v>449</v>
      </c>
      <c r="D149" s="13" t="s">
        <v>447</v>
      </c>
      <c r="E149" s="13" t="s">
        <v>450</v>
      </c>
      <c r="F149" s="13" t="s">
        <v>111</v>
      </c>
      <c r="G149" s="13" t="s">
        <v>112</v>
      </c>
      <c r="H149" s="14">
        <v>5</v>
      </c>
      <c r="I149" s="15">
        <v>26</v>
      </c>
      <c r="J149" s="16">
        <f t="shared" si="33"/>
        <v>130</v>
      </c>
      <c r="K149" s="17">
        <v>46099</v>
      </c>
      <c r="L149" s="10">
        <v>5</v>
      </c>
      <c r="M149" s="19">
        <f t="shared" si="34"/>
        <v>5</v>
      </c>
      <c r="N149" s="19">
        <f t="shared" si="35"/>
        <v>0</v>
      </c>
      <c r="O149" s="10" t="str">
        <f t="shared" si="36"/>
        <v>COMPLETE</v>
      </c>
      <c r="P149" s="10"/>
      <c r="Q149" s="10" t="str">
        <f t="shared" si="37"/>
        <v>OK</v>
      </c>
    </row>
    <row r="150" spans="1:17" x14ac:dyDescent="0.3">
      <c r="A150" s="10" t="s">
        <v>451</v>
      </c>
      <c r="B150" s="13" t="s">
        <v>67</v>
      </c>
      <c r="C150" s="13" t="s">
        <v>452</v>
      </c>
      <c r="D150" s="13" t="s">
        <v>207</v>
      </c>
      <c r="E150" s="13" t="s">
        <v>207</v>
      </c>
      <c r="F150" s="13" t="s">
        <v>255</v>
      </c>
      <c r="G150" s="13" t="s">
        <v>256</v>
      </c>
      <c r="H150" s="14">
        <v>40</v>
      </c>
      <c r="I150" s="15">
        <v>20</v>
      </c>
      <c r="J150" s="16">
        <f t="shared" si="33"/>
        <v>800</v>
      </c>
      <c r="K150" s="17">
        <v>46104</v>
      </c>
      <c r="L150" s="10">
        <v>40</v>
      </c>
      <c r="M150" s="19">
        <f t="shared" si="34"/>
        <v>40</v>
      </c>
      <c r="N150" s="19">
        <f t="shared" si="35"/>
        <v>0</v>
      </c>
      <c r="O150" s="10" t="str">
        <f t="shared" si="36"/>
        <v>COMPLETE</v>
      </c>
      <c r="P150" s="10"/>
      <c r="Q150" s="10" t="str">
        <f t="shared" si="37"/>
        <v>OK</v>
      </c>
    </row>
    <row r="151" spans="1:17" x14ac:dyDescent="0.3">
      <c r="A151" s="37" t="s">
        <v>455</v>
      </c>
      <c r="B151" s="13" t="s">
        <v>63</v>
      </c>
      <c r="C151" s="13" t="s">
        <v>456</v>
      </c>
      <c r="D151" s="13" t="s">
        <v>165</v>
      </c>
      <c r="E151" s="13" t="s">
        <v>165</v>
      </c>
      <c r="F151" s="13" t="s">
        <v>44</v>
      </c>
      <c r="G151" s="13" t="s">
        <v>45</v>
      </c>
      <c r="H151" s="14">
        <v>120</v>
      </c>
      <c r="I151" s="15">
        <v>20</v>
      </c>
      <c r="J151" s="16">
        <f t="shared" si="33"/>
        <v>2400</v>
      </c>
      <c r="K151" s="17">
        <v>46104</v>
      </c>
      <c r="L151" s="10">
        <v>1000</v>
      </c>
      <c r="M151" s="19">
        <f t="shared" si="34"/>
        <v>120</v>
      </c>
      <c r="N151" s="19">
        <f t="shared" si="35"/>
        <v>880</v>
      </c>
      <c r="O151" s="10" t="str">
        <f t="shared" si="36"/>
        <v>INCOMPLETE</v>
      </c>
      <c r="P151" s="10"/>
      <c r="Q151" s="10" t="str">
        <f t="shared" si="37"/>
        <v>OK</v>
      </c>
    </row>
    <row r="152" spans="1:17" x14ac:dyDescent="0.3">
      <c r="A152" s="37" t="s">
        <v>455</v>
      </c>
      <c r="B152" s="13" t="s">
        <v>63</v>
      </c>
      <c r="C152" s="13" t="s">
        <v>456</v>
      </c>
      <c r="D152" s="13" t="s">
        <v>189</v>
      </c>
      <c r="E152" s="13" t="s">
        <v>189</v>
      </c>
      <c r="F152" s="13" t="s">
        <v>44</v>
      </c>
      <c r="G152" s="13" t="s">
        <v>45</v>
      </c>
      <c r="H152" s="14">
        <v>80</v>
      </c>
      <c r="I152" s="15">
        <v>20</v>
      </c>
      <c r="J152" s="16">
        <f t="shared" si="33"/>
        <v>1600</v>
      </c>
      <c r="K152" s="17">
        <v>46115</v>
      </c>
      <c r="L152" s="10">
        <v>880</v>
      </c>
      <c r="M152" s="19">
        <f t="shared" si="34"/>
        <v>80</v>
      </c>
      <c r="N152" s="19">
        <f t="shared" si="35"/>
        <v>800</v>
      </c>
      <c r="O152" s="10" t="str">
        <f t="shared" si="36"/>
        <v>INCOMPLETE</v>
      </c>
      <c r="P152" s="10"/>
      <c r="Q152" s="10" t="str">
        <f t="shared" si="37"/>
        <v>OK</v>
      </c>
    </row>
    <row r="153" spans="1:17" x14ac:dyDescent="0.3">
      <c r="A153" s="37" t="s">
        <v>455</v>
      </c>
      <c r="B153" s="13" t="s">
        <v>63</v>
      </c>
      <c r="C153" s="13" t="s">
        <v>456</v>
      </c>
      <c r="D153" s="13" t="s">
        <v>208</v>
      </c>
      <c r="E153" s="13" t="s">
        <v>208</v>
      </c>
      <c r="F153" s="13" t="s">
        <v>44</v>
      </c>
      <c r="G153" s="13" t="s">
        <v>45</v>
      </c>
      <c r="H153" s="14">
        <v>200</v>
      </c>
      <c r="I153" s="15">
        <v>20</v>
      </c>
      <c r="J153" s="16">
        <f t="shared" si="33"/>
        <v>4000</v>
      </c>
      <c r="K153" s="17">
        <v>46121</v>
      </c>
      <c r="L153" s="10">
        <v>800</v>
      </c>
      <c r="M153" s="19">
        <f t="shared" si="34"/>
        <v>200</v>
      </c>
      <c r="N153" s="19">
        <f t="shared" si="35"/>
        <v>600</v>
      </c>
      <c r="O153" s="10" t="str">
        <f t="shared" si="36"/>
        <v>INCOMPLETE</v>
      </c>
      <c r="P153" s="10"/>
      <c r="Q153" s="10" t="str">
        <f t="shared" si="37"/>
        <v>OK</v>
      </c>
    </row>
    <row r="154" spans="1:17" x14ac:dyDescent="0.3">
      <c r="A154" s="37" t="s">
        <v>455</v>
      </c>
      <c r="B154" s="13" t="s">
        <v>63</v>
      </c>
      <c r="C154" s="13" t="s">
        <v>456</v>
      </c>
      <c r="D154" s="13" t="s">
        <v>209</v>
      </c>
      <c r="E154" s="13" t="s">
        <v>209</v>
      </c>
      <c r="F154" s="13" t="s">
        <v>44</v>
      </c>
      <c r="G154" s="13" t="s">
        <v>45</v>
      </c>
      <c r="H154" s="14">
        <v>120</v>
      </c>
      <c r="I154" s="15">
        <v>20</v>
      </c>
      <c r="J154" s="16">
        <f t="shared" si="33"/>
        <v>2400</v>
      </c>
      <c r="K154" s="17">
        <v>46125</v>
      </c>
      <c r="L154" s="10">
        <v>600</v>
      </c>
      <c r="M154" s="19">
        <f t="shared" si="34"/>
        <v>120</v>
      </c>
      <c r="N154" s="19">
        <f t="shared" si="35"/>
        <v>480</v>
      </c>
      <c r="O154" s="10" t="str">
        <f t="shared" si="36"/>
        <v>INCOMPLETE</v>
      </c>
      <c r="P154" s="10"/>
      <c r="Q154" s="10" t="str">
        <f t="shared" si="37"/>
        <v>OK</v>
      </c>
    </row>
    <row r="155" spans="1:17" x14ac:dyDescent="0.3">
      <c r="A155" s="37" t="s">
        <v>455</v>
      </c>
      <c r="B155" s="13" t="s">
        <v>63</v>
      </c>
      <c r="C155" s="13" t="s">
        <v>456</v>
      </c>
      <c r="D155" s="13" t="s">
        <v>222</v>
      </c>
      <c r="E155" s="13" t="s">
        <v>222</v>
      </c>
      <c r="F155" s="13" t="s">
        <v>44</v>
      </c>
      <c r="G155" s="13" t="s">
        <v>45</v>
      </c>
      <c r="H155" s="14">
        <v>160</v>
      </c>
      <c r="I155" s="15">
        <v>20</v>
      </c>
      <c r="J155" s="16">
        <f t="shared" si="33"/>
        <v>3200</v>
      </c>
      <c r="K155" s="17">
        <v>46135</v>
      </c>
      <c r="L155" s="10">
        <v>480</v>
      </c>
      <c r="M155" s="19">
        <f t="shared" si="34"/>
        <v>160</v>
      </c>
      <c r="N155" s="19">
        <f t="shared" si="35"/>
        <v>320</v>
      </c>
      <c r="O155" s="10" t="str">
        <f t="shared" si="36"/>
        <v>INCOMPLETE</v>
      </c>
      <c r="P155" s="10"/>
      <c r="Q155" s="10" t="str">
        <f t="shared" si="37"/>
        <v>OK</v>
      </c>
    </row>
    <row r="156" spans="1:17" x14ac:dyDescent="0.3">
      <c r="A156" s="37">
        <v>78</v>
      </c>
      <c r="B156" s="13" t="s">
        <v>63</v>
      </c>
      <c r="C156" s="13" t="s">
        <v>456</v>
      </c>
      <c r="D156" s="13" t="s">
        <v>248</v>
      </c>
      <c r="E156" s="13" t="s">
        <v>248</v>
      </c>
      <c r="F156" s="13" t="s">
        <v>44</v>
      </c>
      <c r="G156" s="13" t="s">
        <v>45</v>
      </c>
      <c r="H156" s="14">
        <v>320</v>
      </c>
      <c r="I156" s="15">
        <v>20</v>
      </c>
      <c r="J156" s="16">
        <f t="shared" si="33"/>
        <v>6400</v>
      </c>
      <c r="K156" s="17">
        <v>46151</v>
      </c>
      <c r="L156" s="10">
        <v>320</v>
      </c>
      <c r="M156" s="19">
        <f t="shared" si="34"/>
        <v>320</v>
      </c>
      <c r="N156" s="19">
        <f t="shared" si="35"/>
        <v>0</v>
      </c>
      <c r="O156" s="10" t="str">
        <f t="shared" si="36"/>
        <v>COMPLETE</v>
      </c>
      <c r="P156" s="10"/>
      <c r="Q156" s="10" t="str">
        <f t="shared" si="37"/>
        <v>OK</v>
      </c>
    </row>
    <row r="157" spans="1:17" x14ac:dyDescent="0.3">
      <c r="A157" s="68" t="s">
        <v>457</v>
      </c>
      <c r="B157" s="13" t="s">
        <v>86</v>
      </c>
      <c r="C157" s="13" t="s">
        <v>458</v>
      </c>
      <c r="D157" s="13" t="s">
        <v>47</v>
      </c>
      <c r="E157" s="13" t="s">
        <v>47</v>
      </c>
      <c r="F157" s="13" t="s">
        <v>44</v>
      </c>
      <c r="G157" s="13" t="s">
        <v>45</v>
      </c>
      <c r="H157" s="14">
        <v>40</v>
      </c>
      <c r="I157" s="15">
        <v>28</v>
      </c>
      <c r="J157" s="16">
        <f t="shared" si="33"/>
        <v>1120</v>
      </c>
      <c r="K157" s="17">
        <v>46104</v>
      </c>
      <c r="L157" s="10">
        <v>160</v>
      </c>
      <c r="M157" s="19">
        <f t="shared" si="34"/>
        <v>40</v>
      </c>
      <c r="N157" s="19">
        <f t="shared" si="35"/>
        <v>120</v>
      </c>
      <c r="O157" s="10" t="str">
        <f t="shared" si="36"/>
        <v>INCOMPLETE</v>
      </c>
      <c r="P157" s="10"/>
      <c r="Q157" s="10" t="str">
        <f t="shared" si="37"/>
        <v>OK</v>
      </c>
    </row>
    <row r="158" spans="1:17" x14ac:dyDescent="0.3">
      <c r="A158" s="68" t="s">
        <v>457</v>
      </c>
      <c r="B158" s="13" t="s">
        <v>86</v>
      </c>
      <c r="C158" s="13" t="s">
        <v>458</v>
      </c>
      <c r="D158" s="13" t="s">
        <v>94</v>
      </c>
      <c r="E158" s="13" t="s">
        <v>94</v>
      </c>
      <c r="F158" s="13" t="s">
        <v>44</v>
      </c>
      <c r="G158" s="13" t="s">
        <v>45</v>
      </c>
      <c r="H158" s="14">
        <v>120</v>
      </c>
      <c r="I158" s="15">
        <v>28</v>
      </c>
      <c r="J158" s="16">
        <f t="shared" si="33"/>
        <v>3360</v>
      </c>
      <c r="K158" s="17">
        <v>46106</v>
      </c>
      <c r="L158" s="10">
        <v>120</v>
      </c>
      <c r="M158" s="19">
        <f t="shared" si="34"/>
        <v>120</v>
      </c>
      <c r="N158" s="19">
        <f t="shared" si="35"/>
        <v>0</v>
      </c>
      <c r="O158" s="10" t="str">
        <f t="shared" si="36"/>
        <v>COMPLETE</v>
      </c>
      <c r="P158" s="10"/>
      <c r="Q158" s="10" t="str">
        <f t="shared" si="37"/>
        <v>OK</v>
      </c>
    </row>
    <row r="159" spans="1:17" x14ac:dyDescent="0.3">
      <c r="A159" s="69" t="s">
        <v>459</v>
      </c>
      <c r="B159" s="13" t="s">
        <v>234</v>
      </c>
      <c r="C159" s="13" t="s">
        <v>460</v>
      </c>
      <c r="D159" s="13" t="s">
        <v>94</v>
      </c>
      <c r="E159" s="13" t="s">
        <v>94</v>
      </c>
      <c r="F159" s="13" t="s">
        <v>44</v>
      </c>
      <c r="G159" s="13" t="s">
        <v>45</v>
      </c>
      <c r="H159" s="14">
        <v>80</v>
      </c>
      <c r="I159" s="15">
        <v>28</v>
      </c>
      <c r="J159" s="16">
        <f t="shared" si="33"/>
        <v>2240</v>
      </c>
      <c r="K159" s="17">
        <v>46104</v>
      </c>
      <c r="L159" s="10">
        <v>600</v>
      </c>
      <c r="M159" s="19">
        <f t="shared" si="34"/>
        <v>80</v>
      </c>
      <c r="N159" s="19">
        <f t="shared" si="35"/>
        <v>520</v>
      </c>
      <c r="O159" s="10" t="str">
        <f t="shared" si="36"/>
        <v>INCOMPLETE</v>
      </c>
      <c r="P159" s="10"/>
      <c r="Q159" s="10" t="str">
        <f t="shared" si="37"/>
        <v>OK</v>
      </c>
    </row>
    <row r="160" spans="1:17" x14ac:dyDescent="0.3">
      <c r="A160" s="69" t="s">
        <v>459</v>
      </c>
      <c r="B160" s="13" t="s">
        <v>234</v>
      </c>
      <c r="C160" s="13" t="s">
        <v>460</v>
      </c>
      <c r="D160" s="13" t="s">
        <v>98</v>
      </c>
      <c r="E160" s="13" t="s">
        <v>98</v>
      </c>
      <c r="F160" s="13" t="s">
        <v>44</v>
      </c>
      <c r="G160" s="13" t="s">
        <v>45</v>
      </c>
      <c r="H160" s="14">
        <v>80</v>
      </c>
      <c r="I160" s="15">
        <v>28</v>
      </c>
      <c r="J160" s="16">
        <f t="shared" si="33"/>
        <v>2240</v>
      </c>
      <c r="K160" s="17">
        <v>46106</v>
      </c>
      <c r="L160" s="10">
        <v>520</v>
      </c>
      <c r="M160" s="19">
        <f t="shared" si="34"/>
        <v>80</v>
      </c>
      <c r="N160" s="19">
        <f t="shared" si="35"/>
        <v>440</v>
      </c>
      <c r="O160" s="10" t="str">
        <f t="shared" si="36"/>
        <v>INCOMPLETE</v>
      </c>
      <c r="P160" s="10"/>
      <c r="Q160" s="10" t="str">
        <f t="shared" si="37"/>
        <v>OK</v>
      </c>
    </row>
    <row r="161" spans="1:17" x14ac:dyDescent="0.3">
      <c r="A161" s="69" t="s">
        <v>459</v>
      </c>
      <c r="B161" s="13" t="s">
        <v>234</v>
      </c>
      <c r="C161" s="13" t="s">
        <v>460</v>
      </c>
      <c r="D161" s="13" t="s">
        <v>135</v>
      </c>
      <c r="E161" s="13" t="s">
        <v>135</v>
      </c>
      <c r="F161" s="13" t="s">
        <v>44</v>
      </c>
      <c r="G161" s="13" t="s">
        <v>45</v>
      </c>
      <c r="H161" s="14">
        <v>40</v>
      </c>
      <c r="I161" s="15">
        <v>28</v>
      </c>
      <c r="J161" s="16">
        <f t="shared" si="33"/>
        <v>1120</v>
      </c>
      <c r="K161" s="17">
        <v>46113</v>
      </c>
      <c r="L161" s="10">
        <v>440</v>
      </c>
      <c r="M161" s="19">
        <f t="shared" si="34"/>
        <v>40</v>
      </c>
      <c r="N161" s="19">
        <f t="shared" si="35"/>
        <v>400</v>
      </c>
      <c r="O161" s="10" t="str">
        <f t="shared" si="36"/>
        <v>INCOMPLETE</v>
      </c>
      <c r="P161" s="10"/>
      <c r="Q161" s="10" t="str">
        <f t="shared" si="37"/>
        <v>OK</v>
      </c>
    </row>
    <row r="162" spans="1:17" x14ac:dyDescent="0.3">
      <c r="A162" s="69" t="s">
        <v>459</v>
      </c>
      <c r="B162" s="13" t="s">
        <v>234</v>
      </c>
      <c r="C162" s="13" t="s">
        <v>460</v>
      </c>
      <c r="D162" s="13" t="s">
        <v>134</v>
      </c>
      <c r="E162" s="13" t="s">
        <v>134</v>
      </c>
      <c r="F162" s="13" t="s">
        <v>44</v>
      </c>
      <c r="G162" s="13" t="s">
        <v>45</v>
      </c>
      <c r="H162" s="14">
        <v>200</v>
      </c>
      <c r="I162" s="15">
        <v>28</v>
      </c>
      <c r="J162" s="16">
        <f t="shared" si="33"/>
        <v>5600</v>
      </c>
      <c r="K162" s="17">
        <v>46127</v>
      </c>
      <c r="L162" s="10">
        <v>400</v>
      </c>
      <c r="M162" s="19">
        <f t="shared" si="34"/>
        <v>200</v>
      </c>
      <c r="N162" s="19">
        <f t="shared" si="35"/>
        <v>200</v>
      </c>
      <c r="O162" s="10" t="str">
        <f t="shared" si="36"/>
        <v>INCOMPLETE</v>
      </c>
      <c r="P162" s="10"/>
      <c r="Q162" s="10" t="str">
        <f t="shared" si="37"/>
        <v>OK</v>
      </c>
    </row>
    <row r="163" spans="1:17" x14ac:dyDescent="0.3">
      <c r="A163" s="69" t="s">
        <v>459</v>
      </c>
      <c r="B163" s="13" t="s">
        <v>234</v>
      </c>
      <c r="C163" s="13" t="s">
        <v>460</v>
      </c>
      <c r="D163" s="13" t="s">
        <v>133</v>
      </c>
      <c r="E163" s="13" t="s">
        <v>133</v>
      </c>
      <c r="F163" s="13" t="s">
        <v>44</v>
      </c>
      <c r="G163" s="13" t="s">
        <v>45</v>
      </c>
      <c r="H163" s="14">
        <v>80</v>
      </c>
      <c r="I163" s="15">
        <v>28</v>
      </c>
      <c r="J163" s="16">
        <f t="shared" si="33"/>
        <v>2240</v>
      </c>
      <c r="K163" s="17">
        <v>46135</v>
      </c>
      <c r="L163" s="10">
        <v>200</v>
      </c>
      <c r="M163" s="19">
        <f t="shared" si="34"/>
        <v>80</v>
      </c>
      <c r="N163" s="19">
        <f t="shared" si="35"/>
        <v>120</v>
      </c>
      <c r="O163" s="10" t="str">
        <f t="shared" si="36"/>
        <v>INCOMPLETE</v>
      </c>
      <c r="P163" s="10"/>
      <c r="Q163" s="10" t="str">
        <f t="shared" si="37"/>
        <v>OK</v>
      </c>
    </row>
    <row r="164" spans="1:17" x14ac:dyDescent="0.3">
      <c r="A164" s="69">
        <v>80</v>
      </c>
      <c r="B164" s="13" t="s">
        <v>234</v>
      </c>
      <c r="C164" s="13" t="s">
        <v>460</v>
      </c>
      <c r="D164" s="13" t="s">
        <v>165</v>
      </c>
      <c r="E164" s="13" t="s">
        <v>165</v>
      </c>
      <c r="F164" s="13" t="s">
        <v>44</v>
      </c>
      <c r="G164" s="13" t="s">
        <v>45</v>
      </c>
      <c r="H164" s="14">
        <v>120</v>
      </c>
      <c r="I164" s="15">
        <v>28</v>
      </c>
      <c r="J164" s="16">
        <f t="shared" si="33"/>
        <v>3360</v>
      </c>
      <c r="K164" s="17">
        <v>46151</v>
      </c>
      <c r="L164" s="10">
        <v>120</v>
      </c>
      <c r="M164" s="19">
        <f t="shared" si="34"/>
        <v>120</v>
      </c>
      <c r="N164" s="19">
        <f t="shared" si="35"/>
        <v>0</v>
      </c>
      <c r="O164" s="10" t="str">
        <f t="shared" si="36"/>
        <v>COMPLETE</v>
      </c>
      <c r="P164" s="10"/>
      <c r="Q164" s="10" t="str">
        <f t="shared" si="37"/>
        <v>OK</v>
      </c>
    </row>
    <row r="165" spans="1:17" x14ac:dyDescent="0.3">
      <c r="A165" s="53" t="s">
        <v>461</v>
      </c>
      <c r="B165" s="13" t="s">
        <v>216</v>
      </c>
      <c r="C165" s="13" t="s">
        <v>462</v>
      </c>
      <c r="D165" s="13" t="s">
        <v>43</v>
      </c>
      <c r="E165" s="13" t="s">
        <v>43</v>
      </c>
      <c r="F165" s="13" t="s">
        <v>52</v>
      </c>
      <c r="G165" s="13" t="s">
        <v>53</v>
      </c>
      <c r="H165" s="14">
        <v>40</v>
      </c>
      <c r="I165" s="15">
        <v>27</v>
      </c>
      <c r="J165" s="16">
        <f t="shared" si="33"/>
        <v>1080</v>
      </c>
      <c r="K165" s="17">
        <v>46104</v>
      </c>
      <c r="L165" s="10">
        <v>40</v>
      </c>
      <c r="M165" s="19">
        <f t="shared" si="34"/>
        <v>40</v>
      </c>
      <c r="N165" s="19">
        <f t="shared" si="35"/>
        <v>0</v>
      </c>
      <c r="O165" s="10" t="str">
        <f t="shared" si="36"/>
        <v>COMPLETE</v>
      </c>
      <c r="P165" s="10"/>
      <c r="Q165" s="10" t="str">
        <f t="shared" si="37"/>
        <v>OK</v>
      </c>
    </row>
    <row r="166" spans="1:17" x14ac:dyDescent="0.3">
      <c r="A166" s="53" t="s">
        <v>461</v>
      </c>
      <c r="B166" s="13" t="s">
        <v>216</v>
      </c>
      <c r="C166" s="13" t="s">
        <v>462</v>
      </c>
      <c r="D166" s="13" t="s">
        <v>43</v>
      </c>
      <c r="E166" s="13" t="s">
        <v>43</v>
      </c>
      <c r="F166" s="13" t="s">
        <v>255</v>
      </c>
      <c r="G166" s="13" t="s">
        <v>256</v>
      </c>
      <c r="H166" s="14">
        <v>20</v>
      </c>
      <c r="I166" s="15">
        <v>27</v>
      </c>
      <c r="J166" s="16">
        <f t="shared" si="33"/>
        <v>540</v>
      </c>
      <c r="K166" s="17">
        <v>46104</v>
      </c>
      <c r="L166" s="10">
        <v>20</v>
      </c>
      <c r="M166" s="19">
        <f t="shared" si="34"/>
        <v>20</v>
      </c>
      <c r="N166" s="19">
        <f t="shared" si="35"/>
        <v>0</v>
      </c>
      <c r="O166" s="10" t="str">
        <f t="shared" si="36"/>
        <v>COMPLETE</v>
      </c>
      <c r="P166" s="10"/>
      <c r="Q166" s="10" t="str">
        <f t="shared" si="37"/>
        <v>OK</v>
      </c>
    </row>
    <row r="167" spans="1:17" x14ac:dyDescent="0.3">
      <c r="A167" s="42" t="s">
        <v>476</v>
      </c>
      <c r="B167" s="13" t="s">
        <v>50</v>
      </c>
      <c r="C167" s="13" t="s">
        <v>477</v>
      </c>
      <c r="D167" s="13" t="s">
        <v>343</v>
      </c>
      <c r="E167" s="13" t="s">
        <v>343</v>
      </c>
      <c r="F167" s="13" t="s">
        <v>52</v>
      </c>
      <c r="G167" s="13" t="s">
        <v>53</v>
      </c>
      <c r="H167" s="14">
        <v>60</v>
      </c>
      <c r="I167" s="15">
        <v>19</v>
      </c>
      <c r="J167" s="16">
        <f t="shared" si="33"/>
        <v>1140</v>
      </c>
      <c r="K167" s="17">
        <v>46111</v>
      </c>
      <c r="L167" s="10">
        <v>500</v>
      </c>
      <c r="M167" s="19">
        <f t="shared" si="34"/>
        <v>60</v>
      </c>
      <c r="N167" s="19">
        <f t="shared" si="35"/>
        <v>440</v>
      </c>
      <c r="O167" s="10" t="str">
        <f t="shared" si="36"/>
        <v>INCOMPLETE</v>
      </c>
      <c r="P167" s="10"/>
      <c r="Q167" s="10" t="str">
        <f t="shared" si="37"/>
        <v>OK</v>
      </c>
    </row>
    <row r="168" spans="1:17" x14ac:dyDescent="0.3">
      <c r="A168" s="42" t="s">
        <v>476</v>
      </c>
      <c r="B168" s="13" t="s">
        <v>50</v>
      </c>
      <c r="C168" s="13" t="s">
        <v>477</v>
      </c>
      <c r="D168" s="13" t="s">
        <v>382</v>
      </c>
      <c r="E168" s="13" t="s">
        <v>382</v>
      </c>
      <c r="F168" s="13" t="s">
        <v>52</v>
      </c>
      <c r="G168" s="13" t="s">
        <v>53</v>
      </c>
      <c r="H168" s="14">
        <v>10</v>
      </c>
      <c r="I168" s="15">
        <v>19</v>
      </c>
      <c r="J168" s="16">
        <f t="shared" si="33"/>
        <v>190</v>
      </c>
      <c r="K168" s="17">
        <v>46133</v>
      </c>
      <c r="L168" s="10">
        <v>440</v>
      </c>
      <c r="M168" s="19">
        <f t="shared" si="34"/>
        <v>10</v>
      </c>
      <c r="N168" s="19">
        <f t="shared" si="35"/>
        <v>430</v>
      </c>
      <c r="O168" s="10" t="str">
        <f t="shared" si="36"/>
        <v>INCOMPLETE</v>
      </c>
      <c r="P168" s="10"/>
      <c r="Q168" s="10" t="str">
        <f t="shared" si="37"/>
        <v>OK</v>
      </c>
    </row>
    <row r="169" spans="1:17" x14ac:dyDescent="0.3">
      <c r="A169" s="42">
        <v>82</v>
      </c>
      <c r="B169" s="13" t="s">
        <v>50</v>
      </c>
      <c r="C169" s="13" t="s">
        <v>477</v>
      </c>
      <c r="D169" s="13" t="s">
        <v>427</v>
      </c>
      <c r="E169" s="13" t="s">
        <v>427</v>
      </c>
      <c r="F169" s="13" t="s">
        <v>52</v>
      </c>
      <c r="G169" s="13" t="s">
        <v>53</v>
      </c>
      <c r="H169" s="14">
        <v>110</v>
      </c>
      <c r="I169" s="15">
        <v>19</v>
      </c>
      <c r="J169" s="16">
        <f t="shared" si="33"/>
        <v>2090</v>
      </c>
      <c r="K169" s="17">
        <v>46151</v>
      </c>
      <c r="L169" s="10">
        <v>430</v>
      </c>
      <c r="M169" s="19">
        <f t="shared" si="34"/>
        <v>110</v>
      </c>
      <c r="N169" s="19">
        <f t="shared" si="35"/>
        <v>320</v>
      </c>
      <c r="O169" s="10" t="str">
        <f t="shared" si="36"/>
        <v>INCOMPLETE</v>
      </c>
      <c r="P169" s="10"/>
      <c r="Q169" s="10" t="str">
        <f t="shared" si="37"/>
        <v>OK</v>
      </c>
    </row>
    <row r="170" spans="1:17" x14ac:dyDescent="0.3">
      <c r="A170" s="10" t="s">
        <v>481</v>
      </c>
      <c r="B170" s="13" t="s">
        <v>73</v>
      </c>
      <c r="C170" s="13" t="s">
        <v>482</v>
      </c>
      <c r="D170" s="13" t="s">
        <v>272</v>
      </c>
      <c r="E170" s="13" t="s">
        <v>272</v>
      </c>
      <c r="F170" s="13" t="s">
        <v>44</v>
      </c>
      <c r="G170" s="13" t="s">
        <v>45</v>
      </c>
      <c r="H170" s="14">
        <v>80</v>
      </c>
      <c r="I170" s="15">
        <v>26</v>
      </c>
      <c r="J170" s="16">
        <f t="shared" si="33"/>
        <v>2080</v>
      </c>
      <c r="K170" s="17">
        <v>46112</v>
      </c>
      <c r="L170" s="10">
        <v>80</v>
      </c>
      <c r="M170" s="19">
        <f t="shared" si="34"/>
        <v>80</v>
      </c>
      <c r="N170" s="19">
        <f t="shared" si="35"/>
        <v>0</v>
      </c>
      <c r="O170" s="10" t="str">
        <f t="shared" si="36"/>
        <v>COMPLETE</v>
      </c>
      <c r="P170" s="10"/>
      <c r="Q170" s="10" t="str">
        <f t="shared" si="37"/>
        <v>OK</v>
      </c>
    </row>
    <row r="171" spans="1:17" x14ac:dyDescent="0.3">
      <c r="A171" s="10" t="s">
        <v>484</v>
      </c>
      <c r="B171" s="13" t="s">
        <v>67</v>
      </c>
      <c r="C171" s="13" t="s">
        <v>485</v>
      </c>
      <c r="D171" s="13" t="s">
        <v>469</v>
      </c>
      <c r="E171" s="13" t="s">
        <v>478</v>
      </c>
      <c r="F171" s="13" t="s">
        <v>44</v>
      </c>
      <c r="G171" s="13" t="s">
        <v>45</v>
      </c>
      <c r="H171" s="14">
        <v>10</v>
      </c>
      <c r="I171" s="15">
        <v>26</v>
      </c>
      <c r="J171" s="16">
        <f t="shared" si="33"/>
        <v>260</v>
      </c>
      <c r="K171" s="17">
        <v>46113</v>
      </c>
      <c r="L171" s="10">
        <v>10</v>
      </c>
      <c r="M171" s="19">
        <f t="shared" si="34"/>
        <v>10</v>
      </c>
      <c r="N171" s="19">
        <f t="shared" si="35"/>
        <v>0</v>
      </c>
      <c r="O171" s="10" t="str">
        <f t="shared" si="36"/>
        <v>COMPLETE</v>
      </c>
      <c r="P171" s="10"/>
      <c r="Q171" s="10" t="str">
        <f t="shared" si="37"/>
        <v>OK</v>
      </c>
    </row>
    <row r="172" spans="1:17" x14ac:dyDescent="0.3">
      <c r="A172" s="31" t="s">
        <v>493</v>
      </c>
      <c r="B172" s="13" t="s">
        <v>70</v>
      </c>
      <c r="C172" s="13" t="s">
        <v>494</v>
      </c>
      <c r="D172" s="13" t="s">
        <v>94</v>
      </c>
      <c r="E172" s="13" t="s">
        <v>94</v>
      </c>
      <c r="F172" s="13" t="s">
        <v>44</v>
      </c>
      <c r="G172" s="13" t="s">
        <v>45</v>
      </c>
      <c r="H172" s="14">
        <v>120</v>
      </c>
      <c r="I172" s="15">
        <v>20</v>
      </c>
      <c r="J172" s="16">
        <f t="shared" si="33"/>
        <v>2400</v>
      </c>
      <c r="K172" s="17">
        <v>46114</v>
      </c>
      <c r="L172" s="10">
        <v>120</v>
      </c>
      <c r="M172" s="19">
        <f t="shared" si="34"/>
        <v>120</v>
      </c>
      <c r="N172" s="19">
        <f t="shared" si="35"/>
        <v>0</v>
      </c>
      <c r="O172" s="10" t="str">
        <f t="shared" si="36"/>
        <v>COMPLETE</v>
      </c>
      <c r="P172" s="10"/>
      <c r="Q172" s="10" t="str">
        <f t="shared" si="37"/>
        <v>OK</v>
      </c>
    </row>
    <row r="173" spans="1:17" x14ac:dyDescent="0.3">
      <c r="A173" s="31" t="s">
        <v>493</v>
      </c>
      <c r="B173" s="13" t="s">
        <v>70</v>
      </c>
      <c r="C173" s="13" t="s">
        <v>494</v>
      </c>
      <c r="D173" s="13" t="s">
        <v>94</v>
      </c>
      <c r="E173" s="13" t="s">
        <v>94</v>
      </c>
      <c r="F173" s="13" t="s">
        <v>111</v>
      </c>
      <c r="G173" s="13" t="s">
        <v>112</v>
      </c>
      <c r="H173" s="14">
        <v>120</v>
      </c>
      <c r="I173" s="15">
        <v>20</v>
      </c>
      <c r="J173" s="16">
        <f t="shared" si="33"/>
        <v>2400</v>
      </c>
      <c r="K173" s="17">
        <v>46114</v>
      </c>
      <c r="L173" s="10">
        <v>120</v>
      </c>
      <c r="M173" s="19">
        <f t="shared" si="34"/>
        <v>120</v>
      </c>
      <c r="N173" s="19">
        <f t="shared" si="35"/>
        <v>0</v>
      </c>
      <c r="O173" s="10" t="str">
        <f t="shared" si="36"/>
        <v>COMPLETE</v>
      </c>
      <c r="P173" s="10"/>
      <c r="Q173" s="10" t="str">
        <f t="shared" si="37"/>
        <v>OK</v>
      </c>
    </row>
    <row r="174" spans="1:17" x14ac:dyDescent="0.3">
      <c r="A174" s="43" t="s">
        <v>496</v>
      </c>
      <c r="B174" s="13" t="s">
        <v>67</v>
      </c>
      <c r="C174" s="13" t="s">
        <v>497</v>
      </c>
      <c r="D174" s="13" t="s">
        <v>488</v>
      </c>
      <c r="E174" s="13" t="s">
        <v>498</v>
      </c>
      <c r="F174" s="13" t="s">
        <v>117</v>
      </c>
      <c r="G174" s="13" t="s">
        <v>118</v>
      </c>
      <c r="H174" s="14">
        <v>40</v>
      </c>
      <c r="I174" s="15">
        <v>26</v>
      </c>
      <c r="J174" s="16">
        <f t="shared" si="33"/>
        <v>1040</v>
      </c>
      <c r="K174" s="17">
        <v>46115</v>
      </c>
      <c r="L174" s="14">
        <v>40</v>
      </c>
      <c r="M174" s="19">
        <f t="shared" si="34"/>
        <v>40</v>
      </c>
      <c r="N174" s="19">
        <f t="shared" si="35"/>
        <v>0</v>
      </c>
      <c r="O174" s="10" t="str">
        <f t="shared" si="36"/>
        <v>COMPLETE</v>
      </c>
      <c r="P174" s="10"/>
      <c r="Q174" s="10" t="str">
        <f t="shared" si="37"/>
        <v>OK</v>
      </c>
    </row>
    <row r="175" spans="1:17" x14ac:dyDescent="0.3">
      <c r="A175" s="43" t="s">
        <v>496</v>
      </c>
      <c r="B175" s="13" t="s">
        <v>67</v>
      </c>
      <c r="C175" s="13" t="s">
        <v>497</v>
      </c>
      <c r="D175" s="13" t="s">
        <v>488</v>
      </c>
      <c r="E175" s="13" t="s">
        <v>498</v>
      </c>
      <c r="F175" s="13" t="s">
        <v>52</v>
      </c>
      <c r="G175" s="13" t="s">
        <v>53</v>
      </c>
      <c r="H175" s="14">
        <v>40</v>
      </c>
      <c r="I175" s="15">
        <v>26</v>
      </c>
      <c r="J175" s="16">
        <f t="shared" si="33"/>
        <v>1040</v>
      </c>
      <c r="K175" s="17">
        <v>46115</v>
      </c>
      <c r="L175" s="14">
        <v>40</v>
      </c>
      <c r="M175" s="19">
        <f t="shared" si="34"/>
        <v>40</v>
      </c>
      <c r="N175" s="19">
        <f t="shared" si="35"/>
        <v>0</v>
      </c>
      <c r="O175" s="10" t="str">
        <f t="shared" si="36"/>
        <v>COMPLETE</v>
      </c>
      <c r="P175" s="10"/>
      <c r="Q175" s="10" t="str">
        <f t="shared" si="37"/>
        <v>OK</v>
      </c>
    </row>
    <row r="176" spans="1:17" x14ac:dyDescent="0.2">
      <c r="A176" s="43" t="s">
        <v>496</v>
      </c>
      <c r="B176" s="13" t="s">
        <v>67</v>
      </c>
      <c r="C176" s="13" t="s">
        <v>497</v>
      </c>
      <c r="D176" s="13" t="s">
        <v>488</v>
      </c>
      <c r="E176" s="13" t="s">
        <v>498</v>
      </c>
      <c r="F176" s="13" t="s">
        <v>428</v>
      </c>
      <c r="G176" s="22" t="s">
        <v>429</v>
      </c>
      <c r="H176" s="14">
        <v>5</v>
      </c>
      <c r="I176" s="15">
        <v>26</v>
      </c>
      <c r="J176" s="16">
        <f t="shared" si="33"/>
        <v>130</v>
      </c>
      <c r="K176" s="17">
        <v>46115</v>
      </c>
      <c r="L176" s="14">
        <v>5</v>
      </c>
      <c r="M176" s="19">
        <f t="shared" si="34"/>
        <v>5</v>
      </c>
      <c r="N176" s="19">
        <f t="shared" si="35"/>
        <v>0</v>
      </c>
      <c r="O176" s="10" t="str">
        <f t="shared" si="36"/>
        <v>COMPLETE</v>
      </c>
      <c r="P176" s="10"/>
      <c r="Q176" s="10" t="str">
        <f t="shared" si="37"/>
        <v>OK</v>
      </c>
    </row>
    <row r="177" spans="1:17" x14ac:dyDescent="0.3">
      <c r="A177" s="43" t="s">
        <v>496</v>
      </c>
      <c r="B177" s="13" t="s">
        <v>67</v>
      </c>
      <c r="C177" s="13" t="s">
        <v>497</v>
      </c>
      <c r="D177" s="13" t="s">
        <v>488</v>
      </c>
      <c r="E177" s="13" t="s">
        <v>498</v>
      </c>
      <c r="F177" s="13" t="s">
        <v>48</v>
      </c>
      <c r="G177" s="13" t="s">
        <v>49</v>
      </c>
      <c r="H177" s="14">
        <v>25</v>
      </c>
      <c r="I177" s="15">
        <v>26</v>
      </c>
      <c r="J177" s="16">
        <f t="shared" si="33"/>
        <v>650</v>
      </c>
      <c r="K177" s="17">
        <v>46115</v>
      </c>
      <c r="L177" s="14">
        <v>25</v>
      </c>
      <c r="M177" s="19">
        <f t="shared" si="34"/>
        <v>25</v>
      </c>
      <c r="N177" s="19">
        <f t="shared" si="35"/>
        <v>0</v>
      </c>
      <c r="O177" s="10" t="str">
        <f t="shared" si="36"/>
        <v>COMPLETE</v>
      </c>
      <c r="P177" s="10"/>
      <c r="Q177" s="10" t="str">
        <f t="shared" si="37"/>
        <v>OK</v>
      </c>
    </row>
    <row r="178" spans="1:17" x14ac:dyDescent="0.3">
      <c r="A178" s="10" t="s">
        <v>500</v>
      </c>
      <c r="B178" s="13" t="s">
        <v>73</v>
      </c>
      <c r="C178" s="13" t="s">
        <v>501</v>
      </c>
      <c r="D178" s="13" t="s">
        <v>275</v>
      </c>
      <c r="E178" s="13" t="s">
        <v>275</v>
      </c>
      <c r="F178" s="13" t="s">
        <v>44</v>
      </c>
      <c r="G178" s="13" t="s">
        <v>45</v>
      </c>
      <c r="H178" s="14">
        <v>80</v>
      </c>
      <c r="I178" s="15">
        <v>26</v>
      </c>
      <c r="J178" s="16">
        <f t="shared" si="33"/>
        <v>2080</v>
      </c>
      <c r="K178" s="17">
        <v>46118</v>
      </c>
      <c r="L178" s="10">
        <v>80</v>
      </c>
      <c r="M178" s="19">
        <f t="shared" si="34"/>
        <v>80</v>
      </c>
      <c r="N178" s="19">
        <f t="shared" si="35"/>
        <v>0</v>
      </c>
      <c r="O178" s="10" t="str">
        <f t="shared" si="36"/>
        <v>COMPLETE</v>
      </c>
      <c r="P178" s="10"/>
      <c r="Q178" s="10" t="str">
        <f t="shared" si="37"/>
        <v>OK</v>
      </c>
    </row>
    <row r="179" spans="1:17" x14ac:dyDescent="0.3">
      <c r="A179" s="37" t="s">
        <v>514</v>
      </c>
      <c r="B179" s="13" t="s">
        <v>380</v>
      </c>
      <c r="C179" s="13" t="s">
        <v>515</v>
      </c>
      <c r="D179" s="13" t="s">
        <v>43</v>
      </c>
      <c r="E179" s="13" t="s">
        <v>43</v>
      </c>
      <c r="F179" s="13" t="s">
        <v>557</v>
      </c>
      <c r="G179" s="13" t="s">
        <v>557</v>
      </c>
      <c r="H179" s="14">
        <v>0</v>
      </c>
      <c r="I179" s="15">
        <v>0</v>
      </c>
      <c r="J179" s="16">
        <f t="shared" si="33"/>
        <v>0</v>
      </c>
      <c r="K179" s="17">
        <v>46119</v>
      </c>
      <c r="L179" s="10">
        <v>0</v>
      </c>
      <c r="M179" s="19">
        <f t="shared" si="34"/>
        <v>0</v>
      </c>
      <c r="N179" s="19">
        <f t="shared" si="35"/>
        <v>0</v>
      </c>
      <c r="O179" s="10" t="str">
        <f t="shared" si="36"/>
        <v>COMPLETE</v>
      </c>
      <c r="P179" s="12" t="s">
        <v>556</v>
      </c>
      <c r="Q179" s="10" t="str">
        <f t="shared" si="37"/>
        <v>OK</v>
      </c>
    </row>
    <row r="180" spans="1:17" x14ac:dyDescent="0.3">
      <c r="A180" s="37">
        <v>88</v>
      </c>
      <c r="B180" s="13" t="s">
        <v>380</v>
      </c>
      <c r="C180" s="13" t="s">
        <v>515</v>
      </c>
      <c r="D180" s="13" t="s">
        <v>133</v>
      </c>
      <c r="E180" s="13" t="s">
        <v>133</v>
      </c>
      <c r="F180" s="13" t="s">
        <v>44</v>
      </c>
      <c r="G180" s="13" t="s">
        <v>45</v>
      </c>
      <c r="H180" s="14">
        <v>5</v>
      </c>
      <c r="I180" s="15">
        <v>24</v>
      </c>
      <c r="J180" s="16">
        <f t="shared" si="33"/>
        <v>120</v>
      </c>
      <c r="K180" s="17">
        <v>46143</v>
      </c>
      <c r="L180" s="10">
        <v>10</v>
      </c>
      <c r="M180" s="19">
        <f t="shared" si="34"/>
        <v>5</v>
      </c>
      <c r="N180" s="19">
        <f t="shared" si="35"/>
        <v>5</v>
      </c>
      <c r="O180" s="10" t="str">
        <f t="shared" si="36"/>
        <v>INCOMPLETE</v>
      </c>
      <c r="P180" s="10"/>
      <c r="Q180" s="10" t="str">
        <f t="shared" si="37"/>
        <v>OK</v>
      </c>
    </row>
    <row r="181" spans="1:17" x14ac:dyDescent="0.3">
      <c r="A181" s="37">
        <v>88</v>
      </c>
      <c r="B181" s="13" t="s">
        <v>380</v>
      </c>
      <c r="C181" s="13" t="s">
        <v>515</v>
      </c>
      <c r="D181" s="13" t="s">
        <v>208</v>
      </c>
      <c r="E181" s="13" t="s">
        <v>208</v>
      </c>
      <c r="F181" s="13" t="s">
        <v>44</v>
      </c>
      <c r="G181" s="13" t="s">
        <v>45</v>
      </c>
      <c r="H181" s="14">
        <v>5</v>
      </c>
      <c r="I181" s="15">
        <v>24</v>
      </c>
      <c r="J181" s="16">
        <f t="shared" ref="J181" si="38">H181*I181</f>
        <v>120</v>
      </c>
      <c r="K181" s="17">
        <v>46143</v>
      </c>
      <c r="L181" s="10">
        <v>5</v>
      </c>
      <c r="M181" s="19">
        <f t="shared" ref="M181" si="39">H181</f>
        <v>5</v>
      </c>
      <c r="N181" s="19">
        <f t="shared" ref="N181" si="40">L181-M181</f>
        <v>0</v>
      </c>
      <c r="O181" s="10" t="str">
        <f t="shared" ref="O181" si="41">IF(N181=0,"COMPLETE","INCOMPLETE")</f>
        <v>COMPLETE</v>
      </c>
      <c r="P181" s="10"/>
      <c r="Q181" s="10" t="str">
        <f t="shared" ref="Q181" si="42">IF(M181=H181,"OK","X")</f>
        <v>OK</v>
      </c>
    </row>
    <row r="182" spans="1:17" x14ac:dyDescent="0.3">
      <c r="A182" s="38" t="s">
        <v>516</v>
      </c>
      <c r="B182" s="13" t="s">
        <v>419</v>
      </c>
      <c r="C182" s="13" t="s">
        <v>517</v>
      </c>
      <c r="D182" s="13" t="s">
        <v>47</v>
      </c>
      <c r="E182" s="13" t="s">
        <v>47</v>
      </c>
      <c r="F182" s="13" t="s">
        <v>44</v>
      </c>
      <c r="G182" s="13" t="s">
        <v>45</v>
      </c>
      <c r="H182" s="14">
        <v>20</v>
      </c>
      <c r="I182" s="15">
        <v>24</v>
      </c>
      <c r="J182" s="16">
        <f t="shared" si="33"/>
        <v>480</v>
      </c>
      <c r="K182" s="17">
        <v>46119</v>
      </c>
      <c r="L182" s="10">
        <v>20</v>
      </c>
      <c r="M182" s="19">
        <f t="shared" si="34"/>
        <v>20</v>
      </c>
      <c r="N182" s="19">
        <f t="shared" si="35"/>
        <v>0</v>
      </c>
      <c r="O182" s="10" t="str">
        <f t="shared" si="36"/>
        <v>COMPLETE</v>
      </c>
      <c r="P182" s="10"/>
      <c r="Q182" s="10" t="str">
        <f t="shared" si="37"/>
        <v>OK</v>
      </c>
    </row>
    <row r="183" spans="1:17" x14ac:dyDescent="0.3">
      <c r="A183" s="38" t="s">
        <v>516</v>
      </c>
      <c r="B183" s="13" t="s">
        <v>419</v>
      </c>
      <c r="C183" s="13" t="s">
        <v>517</v>
      </c>
      <c r="D183" s="13" t="s">
        <v>47</v>
      </c>
      <c r="E183" s="13" t="s">
        <v>47</v>
      </c>
      <c r="F183" s="13" t="s">
        <v>111</v>
      </c>
      <c r="G183" s="13" t="s">
        <v>112</v>
      </c>
      <c r="H183" s="14">
        <v>20</v>
      </c>
      <c r="I183" s="15">
        <v>24</v>
      </c>
      <c r="J183" s="16">
        <f t="shared" si="33"/>
        <v>480</v>
      </c>
      <c r="K183" s="17">
        <v>46119</v>
      </c>
      <c r="L183" s="10">
        <v>20</v>
      </c>
      <c r="M183" s="19">
        <f t="shared" si="34"/>
        <v>20</v>
      </c>
      <c r="N183" s="19">
        <f t="shared" si="35"/>
        <v>0</v>
      </c>
      <c r="O183" s="10" t="str">
        <f t="shared" si="36"/>
        <v>COMPLETE</v>
      </c>
      <c r="P183" s="10"/>
      <c r="Q183" s="10" t="str">
        <f t="shared" si="37"/>
        <v>OK</v>
      </c>
    </row>
    <row r="184" spans="1:17" x14ac:dyDescent="0.3">
      <c r="A184" s="36" t="s">
        <v>519</v>
      </c>
      <c r="B184" s="13" t="s">
        <v>218</v>
      </c>
      <c r="C184" s="13" t="s">
        <v>520</v>
      </c>
      <c r="D184" s="13" t="s">
        <v>98</v>
      </c>
      <c r="E184" s="13" t="s">
        <v>98</v>
      </c>
      <c r="F184" s="13" t="s">
        <v>117</v>
      </c>
      <c r="G184" s="13" t="s">
        <v>118</v>
      </c>
      <c r="H184" s="14">
        <v>40</v>
      </c>
      <c r="I184" s="15">
        <v>29</v>
      </c>
      <c r="J184" s="16">
        <f t="shared" si="33"/>
        <v>1160</v>
      </c>
      <c r="K184" s="17">
        <v>46119</v>
      </c>
      <c r="L184" s="10">
        <v>40</v>
      </c>
      <c r="M184" s="19">
        <f t="shared" si="34"/>
        <v>40</v>
      </c>
      <c r="N184" s="19">
        <f t="shared" si="35"/>
        <v>0</v>
      </c>
      <c r="O184" s="10" t="str">
        <f t="shared" si="36"/>
        <v>COMPLETE</v>
      </c>
      <c r="P184" s="10"/>
      <c r="Q184" s="10" t="str">
        <f t="shared" si="37"/>
        <v>OK</v>
      </c>
    </row>
    <row r="185" spans="1:17" x14ac:dyDescent="0.3">
      <c r="A185" s="36" t="s">
        <v>519</v>
      </c>
      <c r="B185" s="13" t="s">
        <v>218</v>
      </c>
      <c r="C185" s="13" t="s">
        <v>520</v>
      </c>
      <c r="D185" s="13" t="s">
        <v>98</v>
      </c>
      <c r="E185" s="13" t="s">
        <v>98</v>
      </c>
      <c r="F185" s="13" t="s">
        <v>111</v>
      </c>
      <c r="G185" s="13" t="s">
        <v>112</v>
      </c>
      <c r="H185" s="14">
        <v>5</v>
      </c>
      <c r="I185" s="15">
        <v>29</v>
      </c>
      <c r="J185" s="16">
        <f t="shared" si="33"/>
        <v>145</v>
      </c>
      <c r="K185" s="17">
        <v>46122</v>
      </c>
      <c r="L185" s="10">
        <v>40</v>
      </c>
      <c r="M185" s="19">
        <f t="shared" si="34"/>
        <v>5</v>
      </c>
      <c r="N185" s="19">
        <f t="shared" si="35"/>
        <v>35</v>
      </c>
      <c r="O185" s="10" t="str">
        <f t="shared" si="36"/>
        <v>INCOMPLETE</v>
      </c>
      <c r="P185" s="10"/>
      <c r="Q185" s="10" t="str">
        <f t="shared" si="37"/>
        <v>OK</v>
      </c>
    </row>
    <row r="186" spans="1:17" x14ac:dyDescent="0.3">
      <c r="A186" s="36" t="s">
        <v>519</v>
      </c>
      <c r="B186" s="13" t="s">
        <v>218</v>
      </c>
      <c r="C186" s="13" t="s">
        <v>520</v>
      </c>
      <c r="D186" s="13" t="s">
        <v>98</v>
      </c>
      <c r="E186" s="13" t="s">
        <v>98</v>
      </c>
      <c r="F186" s="13" t="s">
        <v>44</v>
      </c>
      <c r="G186" s="13" t="s">
        <v>112</v>
      </c>
      <c r="H186" s="14">
        <v>35</v>
      </c>
      <c r="I186" s="15">
        <v>29</v>
      </c>
      <c r="J186" s="16">
        <f t="shared" si="33"/>
        <v>1015</v>
      </c>
      <c r="K186" s="17">
        <v>46119</v>
      </c>
      <c r="L186" s="10">
        <v>35</v>
      </c>
      <c r="M186" s="19">
        <f t="shared" si="34"/>
        <v>35</v>
      </c>
      <c r="N186" s="19">
        <f t="shared" si="35"/>
        <v>0</v>
      </c>
      <c r="O186" s="10" t="str">
        <f t="shared" si="36"/>
        <v>COMPLETE</v>
      </c>
      <c r="P186" s="12" t="s">
        <v>545</v>
      </c>
      <c r="Q186" s="10" t="str">
        <f t="shared" si="37"/>
        <v>OK</v>
      </c>
    </row>
    <row r="187" spans="1:17" x14ac:dyDescent="0.3">
      <c r="A187" s="70" t="s">
        <v>521</v>
      </c>
      <c r="B187" s="13" t="s">
        <v>522</v>
      </c>
      <c r="C187" s="13" t="s">
        <v>523</v>
      </c>
      <c r="D187" s="13" t="s">
        <v>94</v>
      </c>
      <c r="E187" s="13" t="s">
        <v>94</v>
      </c>
      <c r="F187" s="13" t="s">
        <v>44</v>
      </c>
      <c r="G187" s="13" t="s">
        <v>45</v>
      </c>
      <c r="H187" s="14">
        <v>3</v>
      </c>
      <c r="I187" s="15">
        <v>24</v>
      </c>
      <c r="J187" s="16">
        <f t="shared" si="33"/>
        <v>72</v>
      </c>
      <c r="K187" s="17">
        <v>46120</v>
      </c>
      <c r="L187" s="10">
        <v>8</v>
      </c>
      <c r="M187" s="19">
        <f t="shared" si="34"/>
        <v>3</v>
      </c>
      <c r="N187" s="19">
        <f t="shared" si="35"/>
        <v>5</v>
      </c>
      <c r="O187" s="10" t="str">
        <f t="shared" si="36"/>
        <v>INCOMPLETE</v>
      </c>
      <c r="P187" s="10"/>
      <c r="Q187" s="10" t="str">
        <f t="shared" si="37"/>
        <v>OK</v>
      </c>
    </row>
    <row r="188" spans="1:17" x14ac:dyDescent="0.3">
      <c r="A188" s="70">
        <v>91</v>
      </c>
      <c r="B188" s="13" t="s">
        <v>522</v>
      </c>
      <c r="C188" s="13" t="s">
        <v>523</v>
      </c>
      <c r="D188" s="13" t="s">
        <v>165</v>
      </c>
      <c r="E188" s="13" t="s">
        <v>165</v>
      </c>
      <c r="F188" s="13" t="s">
        <v>44</v>
      </c>
      <c r="G188" s="13" t="s">
        <v>45</v>
      </c>
      <c r="H188" s="14">
        <v>2</v>
      </c>
      <c r="I188" s="15">
        <v>24</v>
      </c>
      <c r="J188" s="16">
        <f t="shared" si="33"/>
        <v>48</v>
      </c>
      <c r="K188" s="17">
        <v>46143</v>
      </c>
      <c r="L188" s="10">
        <v>5</v>
      </c>
      <c r="M188" s="19">
        <f t="shared" si="34"/>
        <v>2</v>
      </c>
      <c r="N188" s="19">
        <f t="shared" si="35"/>
        <v>3</v>
      </c>
      <c r="O188" s="10" t="str">
        <f t="shared" si="36"/>
        <v>INCOMPLETE</v>
      </c>
      <c r="P188" s="10"/>
      <c r="Q188" s="10" t="str">
        <f t="shared" si="37"/>
        <v>OK</v>
      </c>
    </row>
    <row r="189" spans="1:17" x14ac:dyDescent="0.3">
      <c r="A189" s="70">
        <v>91</v>
      </c>
      <c r="B189" s="13" t="s">
        <v>522</v>
      </c>
      <c r="C189" s="13" t="s">
        <v>523</v>
      </c>
      <c r="D189" s="13" t="s">
        <v>207</v>
      </c>
      <c r="E189" s="13" t="s">
        <v>207</v>
      </c>
      <c r="F189" s="13" t="s">
        <v>44</v>
      </c>
      <c r="G189" s="13" t="s">
        <v>45</v>
      </c>
      <c r="H189" s="14">
        <v>3</v>
      </c>
      <c r="I189" s="15">
        <v>24</v>
      </c>
      <c r="J189" s="16">
        <f t="shared" ref="J189" si="43">H189*I189</f>
        <v>72</v>
      </c>
      <c r="K189" s="17">
        <v>46143</v>
      </c>
      <c r="L189" s="10">
        <v>3</v>
      </c>
      <c r="M189" s="19">
        <f t="shared" ref="M189" si="44">H189</f>
        <v>3</v>
      </c>
      <c r="N189" s="19">
        <f t="shared" ref="N189" si="45">L189-M189</f>
        <v>0</v>
      </c>
      <c r="O189" s="10" t="str">
        <f t="shared" ref="O189" si="46">IF(N189=0,"COMPLETE","INCOMPLETE")</f>
        <v>COMPLETE</v>
      </c>
      <c r="P189" s="10"/>
      <c r="Q189" s="10" t="str">
        <f t="shared" ref="Q189" si="47">IF(M189=H189,"OK","X")</f>
        <v>OK</v>
      </c>
    </row>
    <row r="190" spans="1:17" x14ac:dyDescent="0.3">
      <c r="A190" s="32" t="s">
        <v>525</v>
      </c>
      <c r="B190" s="13" t="s">
        <v>77</v>
      </c>
      <c r="C190" s="13" t="s">
        <v>526</v>
      </c>
      <c r="D190" s="13" t="s">
        <v>248</v>
      </c>
      <c r="E190" s="13" t="s">
        <v>248</v>
      </c>
      <c r="F190" s="13" t="s">
        <v>117</v>
      </c>
      <c r="G190" s="13" t="s">
        <v>118</v>
      </c>
      <c r="H190" s="14">
        <v>80</v>
      </c>
      <c r="I190" s="15">
        <v>20</v>
      </c>
      <c r="J190" s="16">
        <f t="shared" si="33"/>
        <v>1600</v>
      </c>
      <c r="K190" s="17">
        <v>46120</v>
      </c>
      <c r="L190" s="10">
        <v>80</v>
      </c>
      <c r="M190" s="19">
        <f t="shared" si="34"/>
        <v>80</v>
      </c>
      <c r="N190" s="19">
        <f t="shared" si="35"/>
        <v>0</v>
      </c>
      <c r="O190" s="10" t="str">
        <f t="shared" si="36"/>
        <v>COMPLETE</v>
      </c>
      <c r="P190" s="10"/>
      <c r="Q190" s="10" t="str">
        <f t="shared" si="37"/>
        <v>OK</v>
      </c>
    </row>
    <row r="191" spans="1:17" x14ac:dyDescent="0.3">
      <c r="A191" s="32" t="s">
        <v>525</v>
      </c>
      <c r="B191" s="13" t="s">
        <v>77</v>
      </c>
      <c r="C191" s="13" t="s">
        <v>526</v>
      </c>
      <c r="D191" s="13" t="s">
        <v>248</v>
      </c>
      <c r="E191" s="13" t="s">
        <v>248</v>
      </c>
      <c r="F191" s="13" t="s">
        <v>52</v>
      </c>
      <c r="G191" s="13" t="s">
        <v>53</v>
      </c>
      <c r="H191" s="14">
        <v>40</v>
      </c>
      <c r="I191" s="15">
        <v>20</v>
      </c>
      <c r="J191" s="16">
        <f t="shared" si="33"/>
        <v>800</v>
      </c>
      <c r="K191" s="17">
        <v>46120</v>
      </c>
      <c r="L191" s="10">
        <v>80</v>
      </c>
      <c r="M191" s="19">
        <f t="shared" si="34"/>
        <v>40</v>
      </c>
      <c r="N191" s="19">
        <f t="shared" si="35"/>
        <v>40</v>
      </c>
      <c r="O191" s="10" t="str">
        <f t="shared" si="36"/>
        <v>INCOMPLETE</v>
      </c>
      <c r="P191" s="10"/>
      <c r="Q191" s="10" t="str">
        <f t="shared" si="37"/>
        <v>OK</v>
      </c>
    </row>
    <row r="192" spans="1:17" x14ac:dyDescent="0.3">
      <c r="A192" s="32" t="s">
        <v>525</v>
      </c>
      <c r="B192" s="13" t="s">
        <v>77</v>
      </c>
      <c r="C192" s="13" t="s">
        <v>526</v>
      </c>
      <c r="D192" s="13" t="s">
        <v>248</v>
      </c>
      <c r="E192" s="13" t="s">
        <v>248</v>
      </c>
      <c r="F192" s="13" t="s">
        <v>111</v>
      </c>
      <c r="G192" s="13" t="s">
        <v>112</v>
      </c>
      <c r="H192" s="14">
        <v>40</v>
      </c>
      <c r="I192" s="15">
        <v>20</v>
      </c>
      <c r="J192" s="16">
        <f t="shared" si="33"/>
        <v>800</v>
      </c>
      <c r="K192" s="17">
        <v>46120</v>
      </c>
      <c r="L192" s="10">
        <v>40</v>
      </c>
      <c r="M192" s="19">
        <f t="shared" si="34"/>
        <v>40</v>
      </c>
      <c r="N192" s="19">
        <f t="shared" si="35"/>
        <v>0</v>
      </c>
      <c r="O192" s="10" t="str">
        <f t="shared" si="36"/>
        <v>COMPLETE</v>
      </c>
      <c r="P192" s="10"/>
      <c r="Q192" s="10" t="str">
        <f t="shared" si="37"/>
        <v>OK</v>
      </c>
    </row>
    <row r="193" spans="1:17" x14ac:dyDescent="0.3">
      <c r="A193" s="32" t="s">
        <v>525</v>
      </c>
      <c r="B193" s="13" t="s">
        <v>77</v>
      </c>
      <c r="C193" s="13" t="s">
        <v>526</v>
      </c>
      <c r="D193" s="13" t="s">
        <v>248</v>
      </c>
      <c r="E193" s="13" t="s">
        <v>248</v>
      </c>
      <c r="F193" s="13" t="s">
        <v>255</v>
      </c>
      <c r="G193" s="13" t="s">
        <v>256</v>
      </c>
      <c r="H193" s="14">
        <v>80</v>
      </c>
      <c r="I193" s="15">
        <v>20</v>
      </c>
      <c r="J193" s="16">
        <f t="shared" si="33"/>
        <v>1600</v>
      </c>
      <c r="K193" s="17">
        <v>46120</v>
      </c>
      <c r="L193" s="10">
        <v>80</v>
      </c>
      <c r="M193" s="19">
        <f t="shared" si="34"/>
        <v>80</v>
      </c>
      <c r="N193" s="19">
        <f t="shared" si="35"/>
        <v>0</v>
      </c>
      <c r="O193" s="10" t="str">
        <f t="shared" si="36"/>
        <v>COMPLETE</v>
      </c>
      <c r="P193" s="10"/>
      <c r="Q193" s="10" t="str">
        <f t="shared" si="37"/>
        <v>OK</v>
      </c>
    </row>
    <row r="194" spans="1:17" x14ac:dyDescent="0.3">
      <c r="A194" s="32">
        <v>92</v>
      </c>
      <c r="B194" s="13" t="s">
        <v>77</v>
      </c>
      <c r="C194" s="13" t="s">
        <v>526</v>
      </c>
      <c r="D194" s="13" t="s">
        <v>286</v>
      </c>
      <c r="E194" s="13" t="s">
        <v>286</v>
      </c>
      <c r="F194" s="13" t="s">
        <v>52</v>
      </c>
      <c r="G194" s="13" t="s">
        <v>53</v>
      </c>
      <c r="H194" s="14">
        <v>40</v>
      </c>
      <c r="I194" s="15">
        <v>20</v>
      </c>
      <c r="J194" s="16">
        <f t="shared" si="33"/>
        <v>800</v>
      </c>
      <c r="K194" s="17">
        <v>46151</v>
      </c>
      <c r="L194" s="10">
        <v>40</v>
      </c>
      <c r="M194" s="19">
        <f t="shared" si="34"/>
        <v>40</v>
      </c>
      <c r="N194" s="19">
        <f t="shared" si="35"/>
        <v>0</v>
      </c>
      <c r="O194" s="10" t="str">
        <f t="shared" si="36"/>
        <v>COMPLETE</v>
      </c>
      <c r="P194" s="10"/>
      <c r="Q194" s="10" t="str">
        <f t="shared" si="37"/>
        <v>OK</v>
      </c>
    </row>
    <row r="195" spans="1:17" x14ac:dyDescent="0.3">
      <c r="A195" s="9" t="s">
        <v>529</v>
      </c>
      <c r="B195" s="13" t="s">
        <v>109</v>
      </c>
      <c r="C195" s="13" t="s">
        <v>530</v>
      </c>
      <c r="D195" s="13" t="s">
        <v>209</v>
      </c>
      <c r="E195" s="13" t="s">
        <v>209</v>
      </c>
      <c r="F195" s="13" t="s">
        <v>117</v>
      </c>
      <c r="G195" s="13" t="s">
        <v>118</v>
      </c>
      <c r="H195" s="14">
        <v>10</v>
      </c>
      <c r="I195" s="15">
        <v>20</v>
      </c>
      <c r="J195" s="16">
        <f t="shared" si="33"/>
        <v>200</v>
      </c>
      <c r="K195" s="17">
        <v>46120</v>
      </c>
      <c r="L195" s="10">
        <v>20</v>
      </c>
      <c r="M195" s="19">
        <f t="shared" si="34"/>
        <v>10</v>
      </c>
      <c r="N195" s="19">
        <f t="shared" si="35"/>
        <v>10</v>
      </c>
      <c r="O195" s="10" t="str">
        <f t="shared" si="36"/>
        <v>INCOMPLETE</v>
      </c>
      <c r="P195" s="10"/>
      <c r="Q195" s="10" t="str">
        <f t="shared" si="37"/>
        <v>OK</v>
      </c>
    </row>
    <row r="196" spans="1:17" x14ac:dyDescent="0.3">
      <c r="A196" s="9" t="s">
        <v>529</v>
      </c>
      <c r="B196" s="13" t="s">
        <v>109</v>
      </c>
      <c r="C196" s="13" t="s">
        <v>530</v>
      </c>
      <c r="D196" s="13" t="s">
        <v>248</v>
      </c>
      <c r="E196" s="13" t="s">
        <v>248</v>
      </c>
      <c r="F196" s="13" t="s">
        <v>117</v>
      </c>
      <c r="G196" s="13" t="s">
        <v>118</v>
      </c>
      <c r="H196" s="14">
        <v>10</v>
      </c>
      <c r="I196" s="15">
        <v>20</v>
      </c>
      <c r="J196" s="16">
        <f t="shared" si="33"/>
        <v>200</v>
      </c>
      <c r="K196" s="17">
        <v>46141</v>
      </c>
      <c r="L196" s="10">
        <v>10</v>
      </c>
      <c r="M196" s="19">
        <f t="shared" si="34"/>
        <v>10</v>
      </c>
      <c r="N196" s="19">
        <f t="shared" si="35"/>
        <v>0</v>
      </c>
      <c r="O196" s="10" t="str">
        <f t="shared" si="36"/>
        <v>COMPLETE</v>
      </c>
      <c r="P196" s="10"/>
      <c r="Q196" s="10" t="str">
        <f t="shared" si="37"/>
        <v>OK</v>
      </c>
    </row>
    <row r="197" spans="1:17" x14ac:dyDescent="0.3">
      <c r="A197" s="10" t="s">
        <v>534</v>
      </c>
      <c r="B197" s="13" t="s">
        <v>532</v>
      </c>
      <c r="C197" s="13" t="s">
        <v>535</v>
      </c>
      <c r="D197" s="13" t="s">
        <v>98</v>
      </c>
      <c r="E197" s="13" t="s">
        <v>98</v>
      </c>
      <c r="F197" s="13" t="s">
        <v>111</v>
      </c>
      <c r="G197" s="13" t="s">
        <v>112</v>
      </c>
      <c r="H197" s="14">
        <v>10</v>
      </c>
      <c r="I197" s="15">
        <v>24</v>
      </c>
      <c r="J197" s="16">
        <f t="shared" ref="J197:J251" si="48">H197*I197</f>
        <v>240</v>
      </c>
      <c r="K197" s="17">
        <v>46121</v>
      </c>
      <c r="L197" s="10">
        <v>10</v>
      </c>
      <c r="M197" s="19">
        <f t="shared" ref="M197:M251" si="49">H197</f>
        <v>10</v>
      </c>
      <c r="N197" s="19">
        <f t="shared" ref="N197:N251" si="50">L197-M197</f>
        <v>0</v>
      </c>
      <c r="O197" s="10" t="str">
        <f t="shared" ref="O197:O251" si="51">IF(N197=0,"COMPLETE","INCOMPLETE")</f>
        <v>COMPLETE</v>
      </c>
      <c r="P197" s="10"/>
      <c r="Q197" s="10" t="str">
        <f t="shared" ref="Q197:Q251" si="52">IF(M197=H197,"OK","X")</f>
        <v>OK</v>
      </c>
    </row>
    <row r="198" spans="1:17" x14ac:dyDescent="0.3">
      <c r="A198" s="42" t="s">
        <v>536</v>
      </c>
      <c r="B198" s="13" t="s">
        <v>533</v>
      </c>
      <c r="C198" s="13" t="s">
        <v>537</v>
      </c>
      <c r="D198" s="13" t="s">
        <v>135</v>
      </c>
      <c r="E198" s="13" t="s">
        <v>135</v>
      </c>
      <c r="F198" s="13" t="s">
        <v>44</v>
      </c>
      <c r="G198" s="13" t="s">
        <v>45</v>
      </c>
      <c r="H198" s="14">
        <v>15</v>
      </c>
      <c r="I198" s="15">
        <v>24</v>
      </c>
      <c r="J198" s="16">
        <f t="shared" si="48"/>
        <v>360</v>
      </c>
      <c r="K198" s="17">
        <v>46121</v>
      </c>
      <c r="L198" s="10">
        <v>25</v>
      </c>
      <c r="M198" s="19">
        <f t="shared" si="49"/>
        <v>15</v>
      </c>
      <c r="N198" s="19">
        <f t="shared" si="50"/>
        <v>10</v>
      </c>
      <c r="O198" s="10" t="str">
        <f t="shared" si="51"/>
        <v>INCOMPLETE</v>
      </c>
      <c r="P198" s="10"/>
      <c r="Q198" s="10" t="str">
        <f t="shared" si="52"/>
        <v>OK</v>
      </c>
    </row>
    <row r="199" spans="1:17" x14ac:dyDescent="0.3">
      <c r="A199" s="42">
        <v>95</v>
      </c>
      <c r="B199" s="13" t="s">
        <v>533</v>
      </c>
      <c r="C199" s="13" t="s">
        <v>537</v>
      </c>
      <c r="D199" s="13" t="s">
        <v>189</v>
      </c>
      <c r="E199" s="13" t="s">
        <v>189</v>
      </c>
      <c r="F199" s="13" t="s">
        <v>44</v>
      </c>
      <c r="G199" s="13" t="s">
        <v>45</v>
      </c>
      <c r="H199" s="14">
        <v>10</v>
      </c>
      <c r="I199" s="15">
        <v>24</v>
      </c>
      <c r="J199" s="16">
        <f t="shared" si="48"/>
        <v>240</v>
      </c>
      <c r="K199" s="17">
        <v>46143</v>
      </c>
      <c r="L199" s="10">
        <v>10</v>
      </c>
      <c r="M199" s="19">
        <f t="shared" si="49"/>
        <v>10</v>
      </c>
      <c r="N199" s="19">
        <f t="shared" si="50"/>
        <v>0</v>
      </c>
      <c r="O199" s="10" t="str">
        <f t="shared" si="51"/>
        <v>COMPLETE</v>
      </c>
      <c r="P199" s="10"/>
      <c r="Q199" s="10" t="str">
        <f t="shared" si="52"/>
        <v>OK</v>
      </c>
    </row>
    <row r="200" spans="1:17" x14ac:dyDescent="0.3">
      <c r="A200" s="50" t="s">
        <v>538</v>
      </c>
      <c r="B200" s="13" t="s">
        <v>218</v>
      </c>
      <c r="C200" s="13" t="s">
        <v>539</v>
      </c>
      <c r="D200" s="13" t="s">
        <v>189</v>
      </c>
      <c r="E200" s="13" t="s">
        <v>189</v>
      </c>
      <c r="F200" s="13" t="s">
        <v>117</v>
      </c>
      <c r="G200" s="13" t="s">
        <v>118</v>
      </c>
      <c r="H200" s="14">
        <v>80</v>
      </c>
      <c r="I200" s="15">
        <v>23</v>
      </c>
      <c r="J200" s="16">
        <f t="shared" si="48"/>
        <v>1840</v>
      </c>
      <c r="K200" s="17">
        <v>46121</v>
      </c>
      <c r="L200" s="10">
        <v>200</v>
      </c>
      <c r="M200" s="19">
        <f t="shared" si="49"/>
        <v>80</v>
      </c>
      <c r="N200" s="19">
        <f t="shared" si="50"/>
        <v>120</v>
      </c>
      <c r="O200" s="10" t="str">
        <f t="shared" si="51"/>
        <v>INCOMPLETE</v>
      </c>
      <c r="P200" s="10"/>
      <c r="Q200" s="10" t="str">
        <f t="shared" si="52"/>
        <v>OK</v>
      </c>
    </row>
    <row r="201" spans="1:17" x14ac:dyDescent="0.3">
      <c r="A201" s="50" t="s">
        <v>538</v>
      </c>
      <c r="B201" s="13" t="s">
        <v>218</v>
      </c>
      <c r="C201" s="13" t="s">
        <v>539</v>
      </c>
      <c r="D201" s="13" t="s">
        <v>189</v>
      </c>
      <c r="E201" s="13" t="s">
        <v>189</v>
      </c>
      <c r="F201" s="13" t="s">
        <v>52</v>
      </c>
      <c r="G201" s="13" t="s">
        <v>53</v>
      </c>
      <c r="H201" s="14">
        <v>27</v>
      </c>
      <c r="I201" s="15">
        <v>23</v>
      </c>
      <c r="J201" s="16">
        <f t="shared" si="48"/>
        <v>621</v>
      </c>
      <c r="K201" s="17">
        <v>46121</v>
      </c>
      <c r="L201" s="10">
        <v>200</v>
      </c>
      <c r="M201" s="19">
        <f t="shared" si="49"/>
        <v>27</v>
      </c>
      <c r="N201" s="19">
        <f t="shared" si="50"/>
        <v>173</v>
      </c>
      <c r="O201" s="10" t="str">
        <f t="shared" si="51"/>
        <v>INCOMPLETE</v>
      </c>
      <c r="P201" s="10"/>
      <c r="Q201" s="10" t="str">
        <f t="shared" si="52"/>
        <v>OK</v>
      </c>
    </row>
    <row r="202" spans="1:17" x14ac:dyDescent="0.3">
      <c r="A202" s="50" t="s">
        <v>538</v>
      </c>
      <c r="B202" s="13" t="s">
        <v>218</v>
      </c>
      <c r="C202" s="13" t="s">
        <v>539</v>
      </c>
      <c r="D202" s="13" t="s">
        <v>189</v>
      </c>
      <c r="E202" s="13" t="s">
        <v>189</v>
      </c>
      <c r="F202" s="13" t="s">
        <v>44</v>
      </c>
      <c r="G202" s="13" t="s">
        <v>45</v>
      </c>
      <c r="H202" s="14">
        <v>80</v>
      </c>
      <c r="I202" s="15">
        <v>23</v>
      </c>
      <c r="J202" s="16">
        <f t="shared" si="48"/>
        <v>1840</v>
      </c>
      <c r="K202" s="17">
        <v>46121</v>
      </c>
      <c r="L202" s="10">
        <v>200</v>
      </c>
      <c r="M202" s="19">
        <f t="shared" si="49"/>
        <v>80</v>
      </c>
      <c r="N202" s="19">
        <f>L202-M202</f>
        <v>120</v>
      </c>
      <c r="O202" s="10" t="str">
        <f t="shared" si="51"/>
        <v>INCOMPLETE</v>
      </c>
      <c r="P202" s="10"/>
      <c r="Q202" s="10" t="str">
        <f t="shared" si="52"/>
        <v>OK</v>
      </c>
    </row>
    <row r="203" spans="1:17" x14ac:dyDescent="0.3">
      <c r="A203" s="50" t="s">
        <v>538</v>
      </c>
      <c r="B203" s="13" t="s">
        <v>218</v>
      </c>
      <c r="C203" s="13" t="s">
        <v>539</v>
      </c>
      <c r="D203" s="13" t="s">
        <v>208</v>
      </c>
      <c r="E203" s="13" t="s">
        <v>208</v>
      </c>
      <c r="F203" s="13" t="s">
        <v>117</v>
      </c>
      <c r="G203" s="13" t="s">
        <v>118</v>
      </c>
      <c r="H203" s="14">
        <v>40</v>
      </c>
      <c r="I203" s="15">
        <v>23</v>
      </c>
      <c r="J203" s="16">
        <f t="shared" si="48"/>
        <v>920</v>
      </c>
      <c r="K203" s="17">
        <v>46128</v>
      </c>
      <c r="L203" s="10">
        <v>120</v>
      </c>
      <c r="M203" s="19">
        <f t="shared" si="49"/>
        <v>40</v>
      </c>
      <c r="N203" s="19">
        <f>L203-M203</f>
        <v>80</v>
      </c>
      <c r="O203" s="10" t="str">
        <f t="shared" si="51"/>
        <v>INCOMPLETE</v>
      </c>
      <c r="P203" s="10"/>
      <c r="Q203" s="10" t="str">
        <f t="shared" si="52"/>
        <v>OK</v>
      </c>
    </row>
    <row r="204" spans="1:17" x14ac:dyDescent="0.3">
      <c r="A204" s="50" t="s">
        <v>538</v>
      </c>
      <c r="B204" s="13" t="s">
        <v>218</v>
      </c>
      <c r="C204" s="13" t="s">
        <v>539</v>
      </c>
      <c r="D204" s="13" t="s">
        <v>208</v>
      </c>
      <c r="E204" s="13" t="s">
        <v>208</v>
      </c>
      <c r="F204" s="13" t="s">
        <v>44</v>
      </c>
      <c r="G204" s="13" t="s">
        <v>45</v>
      </c>
      <c r="H204" s="14">
        <v>40</v>
      </c>
      <c r="I204" s="15">
        <v>23</v>
      </c>
      <c r="J204" s="16">
        <f t="shared" si="48"/>
        <v>920</v>
      </c>
      <c r="K204" s="17">
        <v>46128</v>
      </c>
      <c r="L204" s="10">
        <v>120</v>
      </c>
      <c r="M204" s="19">
        <f t="shared" si="49"/>
        <v>40</v>
      </c>
      <c r="N204" s="19">
        <f>L204-M204</f>
        <v>80</v>
      </c>
      <c r="O204" s="10" t="str">
        <f t="shared" si="51"/>
        <v>INCOMPLETE</v>
      </c>
      <c r="P204" s="10"/>
      <c r="Q204" s="10" t="str">
        <f t="shared" si="52"/>
        <v>OK</v>
      </c>
    </row>
    <row r="205" spans="1:17" x14ac:dyDescent="0.3">
      <c r="A205" s="50">
        <v>96</v>
      </c>
      <c r="B205" s="13" t="s">
        <v>218</v>
      </c>
      <c r="C205" s="13" t="s">
        <v>539</v>
      </c>
      <c r="D205" s="13" t="s">
        <v>284</v>
      </c>
      <c r="E205" s="13" t="s">
        <v>284</v>
      </c>
      <c r="F205" s="13" t="s">
        <v>52</v>
      </c>
      <c r="G205" s="13" t="s">
        <v>53</v>
      </c>
      <c r="H205" s="14">
        <v>73</v>
      </c>
      <c r="I205" s="15">
        <v>23</v>
      </c>
      <c r="J205" s="16">
        <f t="shared" si="48"/>
        <v>1679</v>
      </c>
      <c r="K205" s="17">
        <v>46151</v>
      </c>
      <c r="L205" s="10">
        <v>173</v>
      </c>
      <c r="M205" s="19">
        <f t="shared" si="49"/>
        <v>73</v>
      </c>
      <c r="N205" s="19">
        <f>L205-M205</f>
        <v>100</v>
      </c>
      <c r="O205" s="10" t="str">
        <f t="shared" si="51"/>
        <v>INCOMPLETE</v>
      </c>
      <c r="P205" s="10"/>
      <c r="Q205" s="10" t="str">
        <f t="shared" si="52"/>
        <v>OK</v>
      </c>
    </row>
    <row r="206" spans="1:17" x14ac:dyDescent="0.3">
      <c r="A206" s="50">
        <v>96</v>
      </c>
      <c r="B206" s="13" t="s">
        <v>218</v>
      </c>
      <c r="C206" s="13" t="s">
        <v>539</v>
      </c>
      <c r="D206" s="13" t="s">
        <v>282</v>
      </c>
      <c r="E206" s="13" t="s">
        <v>282</v>
      </c>
      <c r="F206" s="13" t="s">
        <v>44</v>
      </c>
      <c r="G206" s="13" t="s">
        <v>45</v>
      </c>
      <c r="H206" s="14">
        <v>80</v>
      </c>
      <c r="I206" s="15">
        <v>23</v>
      </c>
      <c r="J206" s="16">
        <f t="shared" si="48"/>
        <v>1840</v>
      </c>
      <c r="K206" s="17">
        <v>46151</v>
      </c>
      <c r="L206" s="10">
        <v>80</v>
      </c>
      <c r="M206" s="19">
        <f t="shared" si="49"/>
        <v>80</v>
      </c>
      <c r="N206" s="19">
        <f>L206-M206</f>
        <v>0</v>
      </c>
      <c r="O206" s="10" t="str">
        <f t="shared" si="51"/>
        <v>COMPLETE</v>
      </c>
      <c r="P206" s="10"/>
      <c r="Q206" s="10" t="str">
        <f t="shared" si="52"/>
        <v>OK</v>
      </c>
    </row>
    <row r="207" spans="1:17" x14ac:dyDescent="0.3">
      <c r="A207" s="10" t="s">
        <v>551</v>
      </c>
      <c r="B207" s="13" t="s">
        <v>67</v>
      </c>
      <c r="C207" s="13" t="s">
        <v>552</v>
      </c>
      <c r="D207" s="13" t="s">
        <v>505</v>
      </c>
      <c r="E207" s="13" t="s">
        <v>547</v>
      </c>
      <c r="F207" s="13" t="s">
        <v>155</v>
      </c>
      <c r="G207" s="13" t="s">
        <v>154</v>
      </c>
      <c r="H207" s="14">
        <v>30</v>
      </c>
      <c r="I207" s="15">
        <v>26</v>
      </c>
      <c r="J207" s="16">
        <f t="shared" si="48"/>
        <v>780</v>
      </c>
      <c r="K207" s="17">
        <v>46125</v>
      </c>
      <c r="L207" s="10">
        <v>30</v>
      </c>
      <c r="M207" s="19">
        <f t="shared" si="49"/>
        <v>30</v>
      </c>
      <c r="N207" s="19">
        <f t="shared" si="50"/>
        <v>0</v>
      </c>
      <c r="O207" s="10" t="str">
        <f t="shared" si="51"/>
        <v>COMPLETE</v>
      </c>
      <c r="P207" s="10"/>
      <c r="Q207" s="10" t="str">
        <f t="shared" si="52"/>
        <v>OK</v>
      </c>
    </row>
    <row r="208" spans="1:17" x14ac:dyDescent="0.3">
      <c r="A208" s="10" t="s">
        <v>560</v>
      </c>
      <c r="B208" s="13" t="s">
        <v>67</v>
      </c>
      <c r="C208" s="13" t="s">
        <v>561</v>
      </c>
      <c r="D208" s="13" t="s">
        <v>547</v>
      </c>
      <c r="E208" s="13" t="s">
        <v>553</v>
      </c>
      <c r="F208" s="13" t="s">
        <v>155</v>
      </c>
      <c r="G208" s="13" t="s">
        <v>154</v>
      </c>
      <c r="H208" s="14">
        <v>30</v>
      </c>
      <c r="I208" s="15">
        <v>26</v>
      </c>
      <c r="J208" s="16">
        <f t="shared" si="48"/>
        <v>780</v>
      </c>
      <c r="K208" s="17">
        <v>46126</v>
      </c>
      <c r="L208" s="10">
        <v>30</v>
      </c>
      <c r="M208" s="19">
        <f t="shared" si="49"/>
        <v>30</v>
      </c>
      <c r="N208" s="19">
        <f t="shared" si="50"/>
        <v>0</v>
      </c>
      <c r="O208" s="10" t="str">
        <f t="shared" si="51"/>
        <v>COMPLETE</v>
      </c>
      <c r="P208" s="10"/>
      <c r="Q208" s="10" t="str">
        <f t="shared" si="52"/>
        <v>OK</v>
      </c>
    </row>
    <row r="209" spans="1:17" x14ac:dyDescent="0.3">
      <c r="A209" s="10" t="s">
        <v>568</v>
      </c>
      <c r="B209" s="13" t="s">
        <v>73</v>
      </c>
      <c r="C209" s="13" t="s">
        <v>569</v>
      </c>
      <c r="D209" s="13" t="s">
        <v>286</v>
      </c>
      <c r="E209" s="13" t="s">
        <v>286</v>
      </c>
      <c r="F209" s="13" t="s">
        <v>44</v>
      </c>
      <c r="G209" s="13" t="s">
        <v>45</v>
      </c>
      <c r="H209" s="14">
        <v>80</v>
      </c>
      <c r="I209" s="15">
        <v>26</v>
      </c>
      <c r="J209" s="16">
        <f t="shared" si="48"/>
        <v>2080</v>
      </c>
      <c r="K209" s="17">
        <v>46129</v>
      </c>
      <c r="L209" s="10">
        <v>80</v>
      </c>
      <c r="M209" s="19">
        <f t="shared" si="49"/>
        <v>80</v>
      </c>
      <c r="N209" s="19">
        <f t="shared" si="50"/>
        <v>0</v>
      </c>
      <c r="O209" s="10" t="str">
        <f t="shared" si="51"/>
        <v>COMPLETE</v>
      </c>
      <c r="P209" s="10"/>
      <c r="Q209" s="10" t="str">
        <f t="shared" si="52"/>
        <v>OK</v>
      </c>
    </row>
    <row r="210" spans="1:17" x14ac:dyDescent="0.3">
      <c r="A210" s="10" t="s">
        <v>572</v>
      </c>
      <c r="B210" s="13" t="s">
        <v>573</v>
      </c>
      <c r="C210" s="13" t="s">
        <v>574</v>
      </c>
      <c r="D210" s="13" t="s">
        <v>548</v>
      </c>
      <c r="E210" s="13" t="s">
        <v>554</v>
      </c>
      <c r="F210" s="13" t="s">
        <v>44</v>
      </c>
      <c r="G210" s="13" t="s">
        <v>45</v>
      </c>
      <c r="H210" s="14">
        <v>50</v>
      </c>
      <c r="I210" s="15">
        <v>26</v>
      </c>
      <c r="J210" s="16">
        <f t="shared" si="48"/>
        <v>1300</v>
      </c>
      <c r="K210" s="17">
        <v>46129</v>
      </c>
      <c r="L210" s="10">
        <v>50</v>
      </c>
      <c r="M210" s="19">
        <f t="shared" si="49"/>
        <v>50</v>
      </c>
      <c r="N210" s="19">
        <f t="shared" si="50"/>
        <v>0</v>
      </c>
      <c r="O210" s="10" t="str">
        <f t="shared" si="51"/>
        <v>COMPLETE</v>
      </c>
      <c r="P210" s="10"/>
      <c r="Q210" s="10" t="str">
        <f t="shared" si="52"/>
        <v>OK</v>
      </c>
    </row>
    <row r="211" spans="1:17" x14ac:dyDescent="0.3">
      <c r="A211" s="10" t="s">
        <v>580</v>
      </c>
      <c r="B211" s="13" t="s">
        <v>579</v>
      </c>
      <c r="C211" s="13" t="s">
        <v>581</v>
      </c>
      <c r="D211" s="13" t="s">
        <v>554</v>
      </c>
      <c r="E211" s="13" t="s">
        <v>562</v>
      </c>
      <c r="F211" s="13" t="s">
        <v>117</v>
      </c>
      <c r="G211" s="13" t="s">
        <v>118</v>
      </c>
      <c r="H211" s="14">
        <v>20</v>
      </c>
      <c r="I211" s="15">
        <v>26</v>
      </c>
      <c r="J211" s="16">
        <f t="shared" si="48"/>
        <v>520</v>
      </c>
      <c r="K211" s="17">
        <v>46134</v>
      </c>
      <c r="L211" s="10">
        <v>20</v>
      </c>
      <c r="M211" s="19">
        <f t="shared" si="49"/>
        <v>20</v>
      </c>
      <c r="N211" s="19">
        <f t="shared" si="50"/>
        <v>0</v>
      </c>
      <c r="O211" s="10" t="str">
        <f t="shared" si="51"/>
        <v>COMPLETE</v>
      </c>
      <c r="P211" s="10"/>
      <c r="Q211" s="10" t="str">
        <f t="shared" si="52"/>
        <v>OK</v>
      </c>
    </row>
    <row r="212" spans="1:17" x14ac:dyDescent="0.3">
      <c r="A212" s="42" t="s">
        <v>586</v>
      </c>
      <c r="B212" s="13" t="s">
        <v>34</v>
      </c>
      <c r="C212" s="13" t="s">
        <v>546</v>
      </c>
      <c r="D212" s="13" t="s">
        <v>587</v>
      </c>
      <c r="E212" s="13" t="s">
        <v>587</v>
      </c>
      <c r="F212" s="13" t="s">
        <v>111</v>
      </c>
      <c r="G212" s="13" t="s">
        <v>112</v>
      </c>
      <c r="H212" s="14">
        <v>120</v>
      </c>
      <c r="I212" s="15">
        <v>20</v>
      </c>
      <c r="J212" s="16">
        <f t="shared" si="48"/>
        <v>2400</v>
      </c>
      <c r="K212" s="17">
        <v>46134</v>
      </c>
      <c r="L212" s="10">
        <v>1000</v>
      </c>
      <c r="M212" s="19">
        <f t="shared" si="49"/>
        <v>120</v>
      </c>
      <c r="N212" s="19">
        <f t="shared" si="50"/>
        <v>880</v>
      </c>
      <c r="O212" s="10" t="str">
        <f t="shared" si="51"/>
        <v>INCOMPLETE</v>
      </c>
      <c r="P212" s="10"/>
      <c r="Q212" s="10" t="str">
        <f t="shared" si="52"/>
        <v>OK</v>
      </c>
    </row>
    <row r="213" spans="1:17" x14ac:dyDescent="0.3">
      <c r="A213" s="42">
        <v>102</v>
      </c>
      <c r="B213" s="13" t="s">
        <v>34</v>
      </c>
      <c r="C213" s="13" t="s">
        <v>546</v>
      </c>
      <c r="D213" s="13" t="s">
        <v>666</v>
      </c>
      <c r="E213" s="13" t="s">
        <v>666</v>
      </c>
      <c r="F213" s="13" t="s">
        <v>111</v>
      </c>
      <c r="G213" s="13" t="s">
        <v>112</v>
      </c>
      <c r="H213" s="14">
        <v>120</v>
      </c>
      <c r="I213" s="15">
        <v>20</v>
      </c>
      <c r="J213" s="16">
        <f t="shared" si="48"/>
        <v>2400</v>
      </c>
      <c r="K213" s="17">
        <v>46160</v>
      </c>
      <c r="L213" s="10">
        <v>880</v>
      </c>
      <c r="M213" s="19">
        <f t="shared" si="49"/>
        <v>120</v>
      </c>
      <c r="N213" s="19">
        <f t="shared" si="50"/>
        <v>760</v>
      </c>
      <c r="O213" s="10" t="str">
        <f t="shared" si="51"/>
        <v>INCOMPLETE</v>
      </c>
      <c r="P213" s="10"/>
      <c r="Q213" s="10" t="str">
        <f t="shared" si="52"/>
        <v>OK</v>
      </c>
    </row>
    <row r="214" spans="1:17" x14ac:dyDescent="0.3">
      <c r="A214" s="42">
        <v>102</v>
      </c>
      <c r="B214" s="13" t="s">
        <v>34</v>
      </c>
      <c r="C214" s="13" t="s">
        <v>546</v>
      </c>
      <c r="D214" s="13" t="s">
        <v>695</v>
      </c>
      <c r="E214" s="13" t="s">
        <v>695</v>
      </c>
      <c r="F214" s="13" t="s">
        <v>111</v>
      </c>
      <c r="G214" s="13" t="s">
        <v>112</v>
      </c>
      <c r="H214" s="14">
        <v>40</v>
      </c>
      <c r="I214" s="15">
        <v>20</v>
      </c>
      <c r="J214" s="16">
        <f t="shared" si="48"/>
        <v>800</v>
      </c>
      <c r="K214" s="17">
        <v>46175</v>
      </c>
      <c r="L214" s="10">
        <v>760</v>
      </c>
      <c r="M214" s="19">
        <f t="shared" si="49"/>
        <v>40</v>
      </c>
      <c r="N214" s="19">
        <f t="shared" si="50"/>
        <v>720</v>
      </c>
      <c r="O214" s="10" t="str">
        <f t="shared" si="51"/>
        <v>INCOMPLETE</v>
      </c>
      <c r="P214" s="10"/>
      <c r="Q214" s="10" t="str">
        <f t="shared" si="52"/>
        <v>OK</v>
      </c>
    </row>
    <row r="215" spans="1:17" x14ac:dyDescent="0.3">
      <c r="A215" s="47" t="s">
        <v>588</v>
      </c>
      <c r="B215" s="13" t="s">
        <v>77</v>
      </c>
      <c r="C215" s="13" t="s">
        <v>589</v>
      </c>
      <c r="D215" s="13" t="s">
        <v>259</v>
      </c>
      <c r="E215" s="13" t="s">
        <v>259</v>
      </c>
      <c r="F215" s="13" t="s">
        <v>52</v>
      </c>
      <c r="G215" s="13" t="s">
        <v>53</v>
      </c>
      <c r="H215" s="14">
        <v>20</v>
      </c>
      <c r="I215" s="15">
        <v>20</v>
      </c>
      <c r="J215" s="16">
        <f t="shared" si="48"/>
        <v>400</v>
      </c>
      <c r="K215" s="17">
        <v>46135</v>
      </c>
      <c r="L215" s="10">
        <v>40</v>
      </c>
      <c r="M215" s="19">
        <f t="shared" si="49"/>
        <v>20</v>
      </c>
      <c r="N215" s="19">
        <f t="shared" si="50"/>
        <v>20</v>
      </c>
      <c r="O215" s="10" t="str">
        <f t="shared" si="51"/>
        <v>INCOMPLETE</v>
      </c>
      <c r="P215" s="10"/>
      <c r="Q215" s="10" t="str">
        <f t="shared" si="52"/>
        <v>OK</v>
      </c>
    </row>
    <row r="216" spans="1:17" x14ac:dyDescent="0.3">
      <c r="A216" s="47" t="s">
        <v>588</v>
      </c>
      <c r="B216" s="13" t="s">
        <v>77</v>
      </c>
      <c r="C216" s="13" t="s">
        <v>589</v>
      </c>
      <c r="D216" s="13" t="s">
        <v>259</v>
      </c>
      <c r="E216" s="13" t="s">
        <v>259</v>
      </c>
      <c r="F216" s="13" t="s">
        <v>155</v>
      </c>
      <c r="G216" s="13" t="s">
        <v>154</v>
      </c>
      <c r="H216" s="14">
        <v>20</v>
      </c>
      <c r="I216" s="15">
        <v>20</v>
      </c>
      <c r="J216" s="16">
        <f t="shared" si="48"/>
        <v>400</v>
      </c>
      <c r="K216" s="17">
        <v>46135</v>
      </c>
      <c r="L216" s="10">
        <v>20</v>
      </c>
      <c r="M216" s="19">
        <f t="shared" si="49"/>
        <v>20</v>
      </c>
      <c r="N216" s="19">
        <f t="shared" si="50"/>
        <v>0</v>
      </c>
      <c r="O216" s="10" t="str">
        <f t="shared" si="51"/>
        <v>COMPLETE</v>
      </c>
      <c r="P216" s="10"/>
      <c r="Q216" s="10" t="str">
        <f t="shared" si="52"/>
        <v>OK</v>
      </c>
    </row>
    <row r="217" spans="1:17" x14ac:dyDescent="0.3">
      <c r="A217" s="47">
        <v>103</v>
      </c>
      <c r="B217" s="13" t="s">
        <v>77</v>
      </c>
      <c r="C217" s="13" t="s">
        <v>589</v>
      </c>
      <c r="D217" s="13" t="s">
        <v>274</v>
      </c>
      <c r="E217" s="13" t="s">
        <v>274</v>
      </c>
      <c r="F217" s="13" t="s">
        <v>52</v>
      </c>
      <c r="G217" s="13" t="s">
        <v>53</v>
      </c>
      <c r="H217" s="14">
        <v>20</v>
      </c>
      <c r="I217" s="15">
        <v>20</v>
      </c>
      <c r="J217" s="16">
        <f t="shared" si="48"/>
        <v>400</v>
      </c>
      <c r="K217" s="17">
        <v>46151</v>
      </c>
      <c r="L217" s="10">
        <v>20</v>
      </c>
      <c r="M217" s="19">
        <f t="shared" si="49"/>
        <v>20</v>
      </c>
      <c r="N217" s="19">
        <f t="shared" si="50"/>
        <v>0</v>
      </c>
      <c r="O217" s="10" t="str">
        <f t="shared" si="51"/>
        <v>COMPLETE</v>
      </c>
      <c r="P217" s="10"/>
      <c r="Q217" s="10" t="str">
        <f t="shared" si="52"/>
        <v>OK</v>
      </c>
    </row>
    <row r="218" spans="1:17" x14ac:dyDescent="0.3">
      <c r="A218" s="68" t="s">
        <v>591</v>
      </c>
      <c r="B218" s="13" t="s">
        <v>67</v>
      </c>
      <c r="C218" s="13" t="s">
        <v>592</v>
      </c>
      <c r="D218" s="13" t="s">
        <v>564</v>
      </c>
      <c r="E218" s="13" t="s">
        <v>575</v>
      </c>
      <c r="F218" s="13" t="s">
        <v>44</v>
      </c>
      <c r="G218" s="13" t="s">
        <v>45</v>
      </c>
      <c r="H218" s="14">
        <v>10</v>
      </c>
      <c r="I218" s="15">
        <v>26</v>
      </c>
      <c r="J218" s="16">
        <f t="shared" si="48"/>
        <v>260</v>
      </c>
      <c r="K218" s="17">
        <v>46136</v>
      </c>
      <c r="L218" s="10">
        <v>10</v>
      </c>
      <c r="M218" s="19">
        <f t="shared" si="49"/>
        <v>10</v>
      </c>
      <c r="N218" s="19">
        <f t="shared" si="50"/>
        <v>0</v>
      </c>
      <c r="O218" s="10" t="str">
        <f t="shared" si="51"/>
        <v>COMPLETE</v>
      </c>
      <c r="P218" s="10"/>
      <c r="Q218" s="10" t="str">
        <f t="shared" si="52"/>
        <v>OK</v>
      </c>
    </row>
    <row r="219" spans="1:17" x14ac:dyDescent="0.3">
      <c r="A219" s="68" t="s">
        <v>591</v>
      </c>
      <c r="B219" s="13" t="s">
        <v>67</v>
      </c>
      <c r="C219" s="13" t="s">
        <v>592</v>
      </c>
      <c r="D219" s="13" t="s">
        <v>564</v>
      </c>
      <c r="E219" s="13" t="s">
        <v>575</v>
      </c>
      <c r="F219" s="13" t="s">
        <v>111</v>
      </c>
      <c r="G219" s="13" t="s">
        <v>112</v>
      </c>
      <c r="H219" s="14">
        <v>5</v>
      </c>
      <c r="I219" s="15">
        <v>26</v>
      </c>
      <c r="J219" s="16">
        <f t="shared" si="48"/>
        <v>130</v>
      </c>
      <c r="K219" s="17">
        <v>46136</v>
      </c>
      <c r="L219" s="10">
        <v>5</v>
      </c>
      <c r="M219" s="19">
        <f t="shared" si="49"/>
        <v>5</v>
      </c>
      <c r="N219" s="19">
        <f t="shared" si="50"/>
        <v>0</v>
      </c>
      <c r="O219" s="10" t="str">
        <f t="shared" si="51"/>
        <v>COMPLETE</v>
      </c>
      <c r="P219" s="10"/>
      <c r="Q219" s="10" t="str">
        <f t="shared" si="52"/>
        <v>OK</v>
      </c>
    </row>
    <row r="220" spans="1:17" x14ac:dyDescent="0.3">
      <c r="A220" s="71" t="s">
        <v>594</v>
      </c>
      <c r="B220" s="13" t="s">
        <v>593</v>
      </c>
      <c r="C220" s="13" t="s">
        <v>595</v>
      </c>
      <c r="D220" s="13" t="s">
        <v>21</v>
      </c>
      <c r="E220" s="13" t="s">
        <v>21</v>
      </c>
      <c r="F220" s="13" t="s">
        <v>44</v>
      </c>
      <c r="G220" s="13" t="s">
        <v>45</v>
      </c>
      <c r="H220" s="14">
        <v>80</v>
      </c>
      <c r="I220" s="15">
        <v>19</v>
      </c>
      <c r="J220" s="16">
        <f t="shared" si="48"/>
        <v>1520</v>
      </c>
      <c r="K220" s="17">
        <v>46136</v>
      </c>
      <c r="L220" s="10">
        <v>80</v>
      </c>
      <c r="M220" s="19">
        <f t="shared" si="49"/>
        <v>80</v>
      </c>
      <c r="N220" s="19">
        <f t="shared" si="50"/>
        <v>0</v>
      </c>
      <c r="O220" s="10" t="str">
        <f t="shared" si="51"/>
        <v>COMPLETE</v>
      </c>
      <c r="P220" s="10"/>
      <c r="Q220" s="10" t="str">
        <f t="shared" si="52"/>
        <v>OK</v>
      </c>
    </row>
    <row r="221" spans="1:17" x14ac:dyDescent="0.3">
      <c r="A221" s="71" t="s">
        <v>594</v>
      </c>
      <c r="B221" s="13" t="s">
        <v>593</v>
      </c>
      <c r="C221" s="13" t="s">
        <v>595</v>
      </c>
      <c r="D221" s="13" t="s">
        <v>21</v>
      </c>
      <c r="E221" s="13" t="s">
        <v>21</v>
      </c>
      <c r="F221" s="13" t="s">
        <v>111</v>
      </c>
      <c r="G221" s="13" t="s">
        <v>112</v>
      </c>
      <c r="H221" s="14">
        <v>40</v>
      </c>
      <c r="I221" s="15">
        <v>19</v>
      </c>
      <c r="J221" s="16">
        <f t="shared" si="48"/>
        <v>760</v>
      </c>
      <c r="K221" s="17">
        <v>46136</v>
      </c>
      <c r="L221" s="10">
        <v>40</v>
      </c>
      <c r="M221" s="19">
        <f t="shared" si="49"/>
        <v>40</v>
      </c>
      <c r="N221" s="19">
        <f t="shared" si="50"/>
        <v>0</v>
      </c>
      <c r="O221" s="10" t="str">
        <f t="shared" si="51"/>
        <v>COMPLETE</v>
      </c>
      <c r="P221" s="10"/>
      <c r="Q221" s="10" t="str">
        <f t="shared" si="52"/>
        <v>OK</v>
      </c>
    </row>
    <row r="222" spans="1:17" x14ac:dyDescent="0.3">
      <c r="A222" s="10" t="s">
        <v>598</v>
      </c>
      <c r="B222" s="13" t="s">
        <v>599</v>
      </c>
      <c r="C222" s="13" t="s">
        <v>600</v>
      </c>
      <c r="D222" s="13" t="s">
        <v>134</v>
      </c>
      <c r="E222" s="13" t="s">
        <v>134</v>
      </c>
      <c r="F222" s="13" t="s">
        <v>44</v>
      </c>
      <c r="G222" s="13" t="s">
        <v>45</v>
      </c>
      <c r="H222" s="14">
        <v>15</v>
      </c>
      <c r="I222" s="15">
        <v>24</v>
      </c>
      <c r="J222" s="16">
        <f t="shared" si="48"/>
        <v>360</v>
      </c>
      <c r="K222" s="17">
        <v>46140</v>
      </c>
      <c r="L222" s="10">
        <v>15</v>
      </c>
      <c r="M222" s="19">
        <f t="shared" si="49"/>
        <v>15</v>
      </c>
      <c r="N222" s="19">
        <f t="shared" si="50"/>
        <v>0</v>
      </c>
      <c r="O222" s="10" t="str">
        <f t="shared" si="51"/>
        <v>COMPLETE</v>
      </c>
      <c r="P222" s="10"/>
      <c r="Q222" s="10" t="str">
        <f t="shared" si="52"/>
        <v>OK</v>
      </c>
    </row>
    <row r="223" spans="1:17" x14ac:dyDescent="0.3">
      <c r="A223" s="10">
        <v>107</v>
      </c>
      <c r="B223" s="13" t="s">
        <v>34</v>
      </c>
      <c r="C223" s="13" t="s">
        <v>607</v>
      </c>
      <c r="D223" s="13" t="s">
        <v>608</v>
      </c>
      <c r="E223" s="13" t="s">
        <v>608</v>
      </c>
      <c r="F223" s="13" t="s">
        <v>48</v>
      </c>
      <c r="G223" s="13" t="s">
        <v>49</v>
      </c>
      <c r="H223" s="14">
        <v>180</v>
      </c>
      <c r="I223" s="15">
        <v>20</v>
      </c>
      <c r="J223" s="16">
        <f t="shared" si="48"/>
        <v>3600</v>
      </c>
      <c r="K223" s="17">
        <v>46142</v>
      </c>
      <c r="L223" s="10">
        <v>180</v>
      </c>
      <c r="M223" s="19">
        <f t="shared" si="49"/>
        <v>180</v>
      </c>
      <c r="N223" s="19">
        <f t="shared" si="50"/>
        <v>0</v>
      </c>
      <c r="O223" s="10" t="str">
        <f t="shared" si="51"/>
        <v>COMPLETE</v>
      </c>
      <c r="P223" s="10"/>
      <c r="Q223" s="10" t="str">
        <f t="shared" si="52"/>
        <v>OK</v>
      </c>
    </row>
    <row r="224" spans="1:17" x14ac:dyDescent="0.3">
      <c r="A224" s="10">
        <v>108</v>
      </c>
      <c r="B224" s="13" t="s">
        <v>73</v>
      </c>
      <c r="C224" s="13" t="s">
        <v>612</v>
      </c>
      <c r="D224" s="13" t="s">
        <v>306</v>
      </c>
      <c r="E224" s="13" t="s">
        <v>306</v>
      </c>
      <c r="F224" s="13" t="s">
        <v>44</v>
      </c>
      <c r="G224" s="13" t="s">
        <v>45</v>
      </c>
      <c r="H224" s="14">
        <v>80</v>
      </c>
      <c r="I224" s="15">
        <v>26</v>
      </c>
      <c r="J224" s="16">
        <f t="shared" si="48"/>
        <v>2080</v>
      </c>
      <c r="K224" s="17">
        <v>46142</v>
      </c>
      <c r="L224" s="10">
        <v>80</v>
      </c>
      <c r="M224" s="19">
        <f t="shared" si="49"/>
        <v>80</v>
      </c>
      <c r="N224" s="19">
        <f t="shared" si="50"/>
        <v>0</v>
      </c>
      <c r="O224" s="10" t="str">
        <f t="shared" si="51"/>
        <v>COMPLETE</v>
      </c>
      <c r="P224" s="10"/>
      <c r="Q224" s="10" t="str">
        <f t="shared" si="52"/>
        <v>OK</v>
      </c>
    </row>
    <row r="225" spans="1:17" x14ac:dyDescent="0.3">
      <c r="A225" s="43">
        <v>109</v>
      </c>
      <c r="B225" s="13" t="s">
        <v>67</v>
      </c>
      <c r="C225" s="13" t="s">
        <v>615</v>
      </c>
      <c r="D225" s="13" t="s">
        <v>575</v>
      </c>
      <c r="E225" s="13" t="s">
        <v>576</v>
      </c>
      <c r="F225" s="13" t="s">
        <v>155</v>
      </c>
      <c r="G225" s="13" t="s">
        <v>154</v>
      </c>
      <c r="H225" s="14">
        <v>40</v>
      </c>
      <c r="I225" s="15">
        <v>26</v>
      </c>
      <c r="J225" s="16">
        <f t="shared" si="48"/>
        <v>1040</v>
      </c>
      <c r="K225" s="17">
        <v>46143</v>
      </c>
      <c r="L225" s="10">
        <v>60</v>
      </c>
      <c r="M225" s="19">
        <f t="shared" si="49"/>
        <v>40</v>
      </c>
      <c r="N225" s="19">
        <f t="shared" si="50"/>
        <v>20</v>
      </c>
      <c r="O225" s="10" t="str">
        <f t="shared" si="51"/>
        <v>INCOMPLETE</v>
      </c>
      <c r="P225" s="10"/>
      <c r="Q225" s="10" t="str">
        <f t="shared" si="52"/>
        <v>OK</v>
      </c>
    </row>
    <row r="226" spans="1:17" x14ac:dyDescent="0.3">
      <c r="A226" s="43">
        <v>109</v>
      </c>
      <c r="B226" s="13" t="s">
        <v>67</v>
      </c>
      <c r="C226" s="13" t="s">
        <v>615</v>
      </c>
      <c r="D226" s="13" t="s">
        <v>577</v>
      </c>
      <c r="E226" s="13" t="s">
        <v>587</v>
      </c>
      <c r="F226" s="13" t="s">
        <v>155</v>
      </c>
      <c r="G226" s="13" t="s">
        <v>154</v>
      </c>
      <c r="H226" s="14">
        <v>20</v>
      </c>
      <c r="I226" s="15">
        <v>26</v>
      </c>
      <c r="J226" s="16">
        <f t="shared" si="48"/>
        <v>520</v>
      </c>
      <c r="K226" s="17">
        <v>46143</v>
      </c>
      <c r="L226" s="10">
        <v>20</v>
      </c>
      <c r="M226" s="19">
        <f t="shared" si="49"/>
        <v>20</v>
      </c>
      <c r="N226" s="19">
        <f t="shared" si="50"/>
        <v>0</v>
      </c>
      <c r="O226" s="10" t="str">
        <f t="shared" si="51"/>
        <v>COMPLETE</v>
      </c>
      <c r="P226" s="10"/>
      <c r="Q226" s="10" t="str">
        <f t="shared" si="52"/>
        <v>OK</v>
      </c>
    </row>
    <row r="227" spans="1:17" x14ac:dyDescent="0.3">
      <c r="A227" s="10">
        <v>110</v>
      </c>
      <c r="B227" s="13" t="s">
        <v>67</v>
      </c>
      <c r="C227" s="13" t="s">
        <v>617</v>
      </c>
      <c r="D227" s="13" t="s">
        <v>576</v>
      </c>
      <c r="E227" s="13" t="s">
        <v>585</v>
      </c>
      <c r="F227" s="13" t="s">
        <v>48</v>
      </c>
      <c r="G227" s="13" t="s">
        <v>49</v>
      </c>
      <c r="H227" s="14">
        <v>30</v>
      </c>
      <c r="I227" s="15">
        <v>26</v>
      </c>
      <c r="J227" s="16">
        <f t="shared" si="48"/>
        <v>780</v>
      </c>
      <c r="K227" s="17">
        <v>46146</v>
      </c>
      <c r="L227" s="10">
        <v>30</v>
      </c>
      <c r="M227" s="19">
        <f t="shared" si="49"/>
        <v>30</v>
      </c>
      <c r="N227" s="19">
        <f t="shared" si="50"/>
        <v>0</v>
      </c>
      <c r="O227" s="10" t="str">
        <f t="shared" si="51"/>
        <v>COMPLETE</v>
      </c>
      <c r="P227" s="10"/>
      <c r="Q227" s="10" t="str">
        <f t="shared" si="52"/>
        <v>OK</v>
      </c>
    </row>
    <row r="228" spans="1:17" x14ac:dyDescent="0.3">
      <c r="A228" s="10">
        <v>111</v>
      </c>
      <c r="B228" s="13" t="s">
        <v>67</v>
      </c>
      <c r="C228" s="13" t="s">
        <v>619</v>
      </c>
      <c r="D228" s="13" t="s">
        <v>587</v>
      </c>
      <c r="E228" s="13" t="s">
        <v>584</v>
      </c>
      <c r="F228" s="13" t="s">
        <v>48</v>
      </c>
      <c r="G228" s="13" t="s">
        <v>49</v>
      </c>
      <c r="H228" s="14">
        <v>30</v>
      </c>
      <c r="I228" s="15">
        <v>26</v>
      </c>
      <c r="J228" s="16">
        <f t="shared" si="48"/>
        <v>780</v>
      </c>
      <c r="K228" s="17">
        <v>46147</v>
      </c>
      <c r="L228" s="10">
        <v>30</v>
      </c>
      <c r="M228" s="19">
        <f t="shared" si="49"/>
        <v>30</v>
      </c>
      <c r="N228" s="19">
        <f t="shared" si="50"/>
        <v>0</v>
      </c>
      <c r="O228" s="10" t="str">
        <f t="shared" si="51"/>
        <v>COMPLETE</v>
      </c>
      <c r="P228" s="10"/>
      <c r="Q228" s="10" t="str">
        <f t="shared" si="52"/>
        <v>OK</v>
      </c>
    </row>
    <row r="229" spans="1:17" x14ac:dyDescent="0.3">
      <c r="A229" s="10">
        <v>112</v>
      </c>
      <c r="B229" s="13" t="s">
        <v>67</v>
      </c>
      <c r="C229" s="13" t="s">
        <v>620</v>
      </c>
      <c r="D229" s="13" t="s">
        <v>585</v>
      </c>
      <c r="E229" s="13" t="s">
        <v>583</v>
      </c>
      <c r="F229" s="13" t="s">
        <v>117</v>
      </c>
      <c r="G229" s="13" t="s">
        <v>118</v>
      </c>
      <c r="H229" s="14">
        <v>40</v>
      </c>
      <c r="I229" s="15">
        <v>26</v>
      </c>
      <c r="J229" s="16">
        <f t="shared" si="48"/>
        <v>1040</v>
      </c>
      <c r="K229" s="17">
        <v>46147</v>
      </c>
      <c r="L229" s="10">
        <v>40</v>
      </c>
      <c r="M229" s="19">
        <f t="shared" si="49"/>
        <v>40</v>
      </c>
      <c r="N229" s="19">
        <f t="shared" si="50"/>
        <v>0</v>
      </c>
      <c r="O229" s="10" t="str">
        <f t="shared" si="51"/>
        <v>COMPLETE</v>
      </c>
      <c r="P229" s="10"/>
      <c r="Q229" s="10" t="str">
        <f t="shared" si="52"/>
        <v>OK</v>
      </c>
    </row>
    <row r="230" spans="1:17" x14ac:dyDescent="0.3">
      <c r="A230" s="38">
        <v>113</v>
      </c>
      <c r="B230" s="13" t="s">
        <v>77</v>
      </c>
      <c r="C230" s="13" t="s">
        <v>629</v>
      </c>
      <c r="D230" s="13" t="s">
        <v>269</v>
      </c>
      <c r="E230" s="13" t="s">
        <v>269</v>
      </c>
      <c r="F230" s="13" t="s">
        <v>255</v>
      </c>
      <c r="G230" s="13" t="s">
        <v>256</v>
      </c>
      <c r="H230" s="14">
        <v>40</v>
      </c>
      <c r="I230" s="15">
        <v>20</v>
      </c>
      <c r="J230" s="16">
        <f t="shared" si="48"/>
        <v>800</v>
      </c>
      <c r="K230" s="17">
        <v>46149</v>
      </c>
      <c r="L230" s="10">
        <v>40</v>
      </c>
      <c r="M230" s="19">
        <f t="shared" si="49"/>
        <v>40</v>
      </c>
      <c r="N230" s="19">
        <f t="shared" si="50"/>
        <v>0</v>
      </c>
      <c r="O230" s="10" t="str">
        <f t="shared" si="51"/>
        <v>COMPLETE</v>
      </c>
      <c r="P230" s="10"/>
      <c r="Q230" s="10" t="str">
        <f t="shared" si="52"/>
        <v>OK</v>
      </c>
    </row>
    <row r="231" spans="1:17" x14ac:dyDescent="0.3">
      <c r="A231" s="38">
        <v>113</v>
      </c>
      <c r="B231" s="13" t="s">
        <v>77</v>
      </c>
      <c r="C231" s="13" t="s">
        <v>629</v>
      </c>
      <c r="D231" s="13" t="s">
        <v>275</v>
      </c>
      <c r="E231" s="13" t="s">
        <v>275</v>
      </c>
      <c r="F231" s="13" t="s">
        <v>52</v>
      </c>
      <c r="G231" s="13" t="s">
        <v>53</v>
      </c>
      <c r="H231" s="14">
        <v>40</v>
      </c>
      <c r="I231" s="15">
        <v>20</v>
      </c>
      <c r="J231" s="16">
        <f t="shared" si="48"/>
        <v>800</v>
      </c>
      <c r="K231" s="17">
        <v>46151</v>
      </c>
      <c r="L231" s="10">
        <v>40</v>
      </c>
      <c r="M231" s="19">
        <f t="shared" si="49"/>
        <v>40</v>
      </c>
      <c r="N231" s="19">
        <f t="shared" si="50"/>
        <v>0</v>
      </c>
      <c r="O231" s="10" t="str">
        <f t="shared" si="51"/>
        <v>COMPLETE</v>
      </c>
      <c r="P231" s="10"/>
      <c r="Q231" s="10" t="str">
        <f t="shared" si="52"/>
        <v>OK</v>
      </c>
    </row>
    <row r="232" spans="1:17" x14ac:dyDescent="0.3">
      <c r="A232" s="10">
        <v>114</v>
      </c>
      <c r="B232" s="13" t="s">
        <v>67</v>
      </c>
      <c r="C232" s="13" t="s">
        <v>636</v>
      </c>
      <c r="D232" s="13" t="s">
        <v>596</v>
      </c>
      <c r="E232" s="13" t="s">
        <v>603</v>
      </c>
      <c r="F232" s="13" t="s">
        <v>52</v>
      </c>
      <c r="G232" s="13" t="s">
        <v>53</v>
      </c>
      <c r="H232" s="14">
        <v>20</v>
      </c>
      <c r="I232" s="15">
        <v>26</v>
      </c>
      <c r="J232" s="16">
        <f t="shared" si="48"/>
        <v>520</v>
      </c>
      <c r="K232" s="17">
        <v>46151</v>
      </c>
      <c r="L232" s="10">
        <v>20</v>
      </c>
      <c r="M232" s="19">
        <f t="shared" si="49"/>
        <v>20</v>
      </c>
      <c r="N232" s="19">
        <f t="shared" si="50"/>
        <v>0</v>
      </c>
      <c r="O232" s="10" t="str">
        <f t="shared" si="51"/>
        <v>COMPLETE</v>
      </c>
      <c r="P232" s="10"/>
      <c r="Q232" s="10" t="str">
        <f t="shared" si="52"/>
        <v>OK</v>
      </c>
    </row>
    <row r="233" spans="1:17" x14ac:dyDescent="0.3">
      <c r="A233" s="10">
        <v>115</v>
      </c>
      <c r="B233" s="13" t="s">
        <v>67</v>
      </c>
      <c r="C233" s="13" t="s">
        <v>637</v>
      </c>
      <c r="D233" s="13" t="s">
        <v>590</v>
      </c>
      <c r="E233" s="13" t="s">
        <v>602</v>
      </c>
      <c r="F233" s="13" t="s">
        <v>52</v>
      </c>
      <c r="G233" s="13" t="s">
        <v>53</v>
      </c>
      <c r="H233" s="14">
        <v>40</v>
      </c>
      <c r="I233" s="15">
        <v>26</v>
      </c>
      <c r="J233" s="16">
        <f t="shared" si="48"/>
        <v>1040</v>
      </c>
      <c r="K233" s="17">
        <v>46151</v>
      </c>
      <c r="L233" s="10">
        <v>40</v>
      </c>
      <c r="M233" s="19">
        <f t="shared" si="49"/>
        <v>40</v>
      </c>
      <c r="N233" s="19">
        <f t="shared" si="50"/>
        <v>0</v>
      </c>
      <c r="O233" s="10" t="str">
        <f t="shared" si="51"/>
        <v>COMPLETE</v>
      </c>
      <c r="P233" s="10"/>
      <c r="Q233" s="10" t="str">
        <f t="shared" si="52"/>
        <v>OK</v>
      </c>
    </row>
    <row r="234" spans="1:17" x14ac:dyDescent="0.3">
      <c r="A234" s="10">
        <v>116</v>
      </c>
      <c r="B234" s="13" t="s">
        <v>91</v>
      </c>
      <c r="C234" s="13" t="s">
        <v>638</v>
      </c>
      <c r="D234" s="13" t="s">
        <v>208</v>
      </c>
      <c r="E234" s="13" t="s">
        <v>208</v>
      </c>
      <c r="F234" s="13" t="s">
        <v>44</v>
      </c>
      <c r="G234" s="13" t="s">
        <v>45</v>
      </c>
      <c r="H234" s="14">
        <v>320</v>
      </c>
      <c r="I234" s="15">
        <v>21</v>
      </c>
      <c r="J234" s="16">
        <f t="shared" si="48"/>
        <v>6720</v>
      </c>
      <c r="K234" s="17">
        <v>46151</v>
      </c>
      <c r="L234" s="10">
        <v>320</v>
      </c>
      <c r="M234" s="19">
        <f t="shared" si="49"/>
        <v>320</v>
      </c>
      <c r="N234" s="19">
        <f t="shared" si="50"/>
        <v>0</v>
      </c>
      <c r="O234" s="10" t="str">
        <f t="shared" si="51"/>
        <v>COMPLETE</v>
      </c>
      <c r="P234" s="10"/>
      <c r="Q234" s="10" t="str">
        <f t="shared" si="52"/>
        <v>OK</v>
      </c>
    </row>
    <row r="235" spans="1:17" x14ac:dyDescent="0.3">
      <c r="A235" s="10">
        <v>117</v>
      </c>
      <c r="B235" s="13" t="s">
        <v>73</v>
      </c>
      <c r="C235" s="13" t="s">
        <v>646</v>
      </c>
      <c r="D235" s="13" t="s">
        <v>325</v>
      </c>
      <c r="E235" s="13" t="s">
        <v>325</v>
      </c>
      <c r="F235" s="13" t="s">
        <v>44</v>
      </c>
      <c r="G235" s="13" t="s">
        <v>45</v>
      </c>
      <c r="H235" s="14">
        <v>40</v>
      </c>
      <c r="I235" s="15">
        <v>26</v>
      </c>
      <c r="J235" s="16">
        <f t="shared" si="48"/>
        <v>1040</v>
      </c>
      <c r="K235" s="17">
        <v>46153</v>
      </c>
      <c r="L235" s="10">
        <v>40</v>
      </c>
      <c r="M235" s="19">
        <f t="shared" si="49"/>
        <v>40</v>
      </c>
      <c r="N235" s="19">
        <f t="shared" si="50"/>
        <v>0</v>
      </c>
      <c r="O235" s="10" t="str">
        <f t="shared" si="51"/>
        <v>COMPLETE</v>
      </c>
      <c r="P235" s="10"/>
      <c r="Q235" s="10" t="str">
        <f t="shared" si="52"/>
        <v>OK</v>
      </c>
    </row>
    <row r="236" spans="1:17" x14ac:dyDescent="0.3">
      <c r="A236" s="10">
        <v>118</v>
      </c>
      <c r="B236" s="13" t="s">
        <v>73</v>
      </c>
      <c r="C236" s="13" t="s">
        <v>647</v>
      </c>
      <c r="D236" s="13" t="s">
        <v>333</v>
      </c>
      <c r="E236" s="13" t="s">
        <v>317</v>
      </c>
      <c r="F236" s="13" t="s">
        <v>44</v>
      </c>
      <c r="G236" s="13" t="s">
        <v>45</v>
      </c>
      <c r="H236" s="14">
        <v>40</v>
      </c>
      <c r="I236" s="15">
        <v>26</v>
      </c>
      <c r="J236" s="16">
        <f t="shared" si="48"/>
        <v>1040</v>
      </c>
      <c r="K236" s="17">
        <v>46153</v>
      </c>
      <c r="L236" s="10">
        <v>40</v>
      </c>
      <c r="M236" s="19">
        <f t="shared" si="49"/>
        <v>40</v>
      </c>
      <c r="N236" s="19">
        <f t="shared" si="50"/>
        <v>0</v>
      </c>
      <c r="O236" s="10" t="str">
        <f t="shared" si="51"/>
        <v>COMPLETE</v>
      </c>
      <c r="P236" s="10"/>
      <c r="Q236" s="10" t="str">
        <f t="shared" si="52"/>
        <v>OK</v>
      </c>
    </row>
    <row r="237" spans="1:17" x14ac:dyDescent="0.3">
      <c r="A237" s="10">
        <v>119</v>
      </c>
      <c r="B237" s="13" t="s">
        <v>109</v>
      </c>
      <c r="C237" s="13" t="s">
        <v>650</v>
      </c>
      <c r="D237" s="13" t="s">
        <v>269</v>
      </c>
      <c r="E237" s="13" t="s">
        <v>269</v>
      </c>
      <c r="F237" s="13" t="s">
        <v>44</v>
      </c>
      <c r="G237" s="13" t="s">
        <v>45</v>
      </c>
      <c r="H237" s="14">
        <v>20</v>
      </c>
      <c r="I237" s="15">
        <v>20</v>
      </c>
      <c r="J237" s="16">
        <f t="shared" si="48"/>
        <v>400</v>
      </c>
      <c r="K237" s="17">
        <v>46154</v>
      </c>
      <c r="L237" s="10">
        <v>20</v>
      </c>
      <c r="M237" s="19">
        <f t="shared" si="49"/>
        <v>20</v>
      </c>
      <c r="N237" s="19">
        <f t="shared" si="50"/>
        <v>0</v>
      </c>
      <c r="O237" s="10" t="str">
        <f t="shared" si="51"/>
        <v>COMPLETE</v>
      </c>
      <c r="P237" s="10"/>
      <c r="Q237" s="10" t="str">
        <f t="shared" si="52"/>
        <v>OK</v>
      </c>
    </row>
    <row r="238" spans="1:17" x14ac:dyDescent="0.3">
      <c r="A238" s="10">
        <v>120</v>
      </c>
      <c r="B238" s="13" t="s">
        <v>67</v>
      </c>
      <c r="C238" s="13" t="s">
        <v>651</v>
      </c>
      <c r="D238" s="13" t="s">
        <v>597</v>
      </c>
      <c r="E238" s="13" t="s">
        <v>608</v>
      </c>
      <c r="F238" s="13" t="s">
        <v>117</v>
      </c>
      <c r="G238" s="13" t="s">
        <v>118</v>
      </c>
      <c r="H238" s="14">
        <v>20</v>
      </c>
      <c r="I238" s="15">
        <v>26</v>
      </c>
      <c r="J238" s="16">
        <f t="shared" si="48"/>
        <v>520</v>
      </c>
      <c r="K238" s="17">
        <v>46154</v>
      </c>
      <c r="L238" s="10">
        <v>20</v>
      </c>
      <c r="M238" s="19">
        <f t="shared" si="49"/>
        <v>20</v>
      </c>
      <c r="N238" s="19">
        <f t="shared" si="50"/>
        <v>0</v>
      </c>
      <c r="O238" s="10" t="str">
        <f t="shared" si="51"/>
        <v>COMPLETE</v>
      </c>
      <c r="P238" s="10"/>
      <c r="Q238" s="10" t="str">
        <f t="shared" si="52"/>
        <v>OK</v>
      </c>
    </row>
    <row r="239" spans="1:17" x14ac:dyDescent="0.3">
      <c r="A239" s="10">
        <v>121</v>
      </c>
      <c r="B239" s="13" t="s">
        <v>73</v>
      </c>
      <c r="C239" s="13" t="s">
        <v>653</v>
      </c>
      <c r="D239" s="13" t="s">
        <v>343</v>
      </c>
      <c r="E239" s="13" t="s">
        <v>343</v>
      </c>
      <c r="F239" s="13" t="s">
        <v>44</v>
      </c>
      <c r="G239" s="13" t="s">
        <v>45</v>
      </c>
      <c r="H239" s="14">
        <v>120</v>
      </c>
      <c r="I239" s="15">
        <v>26</v>
      </c>
      <c r="J239" s="16">
        <f t="shared" si="48"/>
        <v>3120</v>
      </c>
      <c r="K239" s="17">
        <v>46156</v>
      </c>
      <c r="L239" s="10">
        <v>120</v>
      </c>
      <c r="M239" s="19">
        <f t="shared" si="49"/>
        <v>120</v>
      </c>
      <c r="N239" s="19">
        <f t="shared" si="50"/>
        <v>0</v>
      </c>
      <c r="O239" s="10" t="str">
        <f t="shared" si="51"/>
        <v>COMPLETE</v>
      </c>
      <c r="P239" s="10"/>
      <c r="Q239" s="10" t="str">
        <f t="shared" si="52"/>
        <v>OK</v>
      </c>
    </row>
    <row r="240" spans="1:17" x14ac:dyDescent="0.3">
      <c r="A240" s="10">
        <v>122</v>
      </c>
      <c r="B240" s="13" t="s">
        <v>50</v>
      </c>
      <c r="C240" s="13" t="s">
        <v>661</v>
      </c>
      <c r="D240" s="13" t="s">
        <v>466</v>
      </c>
      <c r="E240" s="13" t="s">
        <v>466</v>
      </c>
      <c r="F240" s="13" t="s">
        <v>44</v>
      </c>
      <c r="G240" s="13" t="s">
        <v>45</v>
      </c>
      <c r="H240" s="14">
        <v>30</v>
      </c>
      <c r="I240" s="15">
        <v>19</v>
      </c>
      <c r="J240" s="16">
        <f t="shared" si="48"/>
        <v>570</v>
      </c>
      <c r="K240" s="17">
        <v>46160</v>
      </c>
      <c r="L240" s="10">
        <v>30</v>
      </c>
      <c r="M240" s="19">
        <f t="shared" si="49"/>
        <v>30</v>
      </c>
      <c r="N240" s="19">
        <f t="shared" si="50"/>
        <v>0</v>
      </c>
      <c r="O240" s="10" t="str">
        <f t="shared" si="51"/>
        <v>COMPLETE</v>
      </c>
      <c r="P240" s="10"/>
      <c r="Q240" s="10" t="str">
        <f t="shared" si="52"/>
        <v>OK</v>
      </c>
    </row>
    <row r="241" spans="1:17" x14ac:dyDescent="0.3">
      <c r="A241" s="10">
        <v>123</v>
      </c>
      <c r="B241" s="13" t="s">
        <v>109</v>
      </c>
      <c r="C241" s="13" t="s">
        <v>673</v>
      </c>
      <c r="D241" s="13" t="s">
        <v>272</v>
      </c>
      <c r="E241" s="13" t="s">
        <v>272</v>
      </c>
      <c r="F241" s="13" t="s">
        <v>52</v>
      </c>
      <c r="G241" s="13" t="s">
        <v>53</v>
      </c>
      <c r="H241" s="14">
        <v>60</v>
      </c>
      <c r="I241" s="15">
        <v>20</v>
      </c>
      <c r="J241" s="16">
        <f t="shared" si="48"/>
        <v>1200</v>
      </c>
      <c r="K241" s="17">
        <v>46161</v>
      </c>
      <c r="L241" s="10">
        <v>60</v>
      </c>
      <c r="M241" s="19">
        <f t="shared" si="49"/>
        <v>60</v>
      </c>
      <c r="N241" s="19">
        <f t="shared" si="50"/>
        <v>0</v>
      </c>
      <c r="O241" s="10" t="str">
        <f t="shared" si="51"/>
        <v>COMPLETE</v>
      </c>
      <c r="P241" s="10"/>
      <c r="Q241" s="10" t="str">
        <f t="shared" si="52"/>
        <v>OK</v>
      </c>
    </row>
    <row r="242" spans="1:17" x14ac:dyDescent="0.3">
      <c r="A242" s="10">
        <v>124</v>
      </c>
      <c r="B242" s="13" t="s">
        <v>63</v>
      </c>
      <c r="C242" s="13" t="s">
        <v>675</v>
      </c>
      <c r="D242" s="13" t="s">
        <v>269</v>
      </c>
      <c r="E242" s="13" t="s">
        <v>269</v>
      </c>
      <c r="F242" s="13" t="s">
        <v>44</v>
      </c>
      <c r="G242" s="13" t="s">
        <v>45</v>
      </c>
      <c r="H242" s="14">
        <v>1000</v>
      </c>
      <c r="I242" s="15">
        <v>20</v>
      </c>
      <c r="J242" s="16">
        <f t="shared" si="48"/>
        <v>20000</v>
      </c>
      <c r="K242" s="17">
        <v>46162</v>
      </c>
      <c r="L242" s="10">
        <v>1000</v>
      </c>
      <c r="M242" s="19">
        <f t="shared" si="49"/>
        <v>1000</v>
      </c>
      <c r="N242" s="19">
        <f t="shared" si="50"/>
        <v>0</v>
      </c>
      <c r="O242" s="10" t="str">
        <f t="shared" si="51"/>
        <v>COMPLETE</v>
      </c>
      <c r="P242" s="10"/>
      <c r="Q242" s="10" t="str">
        <f t="shared" si="52"/>
        <v>OK</v>
      </c>
    </row>
    <row r="243" spans="1:17" x14ac:dyDescent="0.3">
      <c r="A243" s="9">
        <v>125</v>
      </c>
      <c r="B243" s="13" t="s">
        <v>77</v>
      </c>
      <c r="C243" s="13" t="s">
        <v>678</v>
      </c>
      <c r="D243" s="13" t="s">
        <v>285</v>
      </c>
      <c r="E243" s="13" t="s">
        <v>285</v>
      </c>
      <c r="F243" s="13" t="s">
        <v>117</v>
      </c>
      <c r="G243" s="13" t="s">
        <v>118</v>
      </c>
      <c r="H243" s="14">
        <v>15</v>
      </c>
      <c r="I243" s="15">
        <v>20</v>
      </c>
      <c r="J243" s="16">
        <f t="shared" si="48"/>
        <v>300</v>
      </c>
      <c r="K243" s="17">
        <v>46163</v>
      </c>
      <c r="L243" s="10">
        <v>40</v>
      </c>
      <c r="M243" s="19">
        <f t="shared" si="49"/>
        <v>15</v>
      </c>
      <c r="N243" s="19">
        <f t="shared" si="50"/>
        <v>25</v>
      </c>
      <c r="O243" s="10" t="str">
        <f t="shared" si="51"/>
        <v>INCOMPLETE</v>
      </c>
      <c r="P243" s="10"/>
      <c r="Q243" s="10" t="str">
        <f t="shared" si="52"/>
        <v>OK</v>
      </c>
    </row>
    <row r="244" spans="1:17" x14ac:dyDescent="0.3">
      <c r="A244" s="9">
        <v>125</v>
      </c>
      <c r="B244" s="13" t="s">
        <v>77</v>
      </c>
      <c r="C244" s="13" t="s">
        <v>678</v>
      </c>
      <c r="D244" s="13" t="s">
        <v>285</v>
      </c>
      <c r="E244" s="13" t="s">
        <v>285</v>
      </c>
      <c r="F244" s="13" t="s">
        <v>52</v>
      </c>
      <c r="G244" s="13" t="s">
        <v>53</v>
      </c>
      <c r="H244" s="14">
        <v>40</v>
      </c>
      <c r="I244" s="15">
        <v>20</v>
      </c>
      <c r="J244" s="16">
        <f t="shared" si="48"/>
        <v>800</v>
      </c>
      <c r="K244" s="17">
        <v>46163</v>
      </c>
      <c r="L244" s="10">
        <v>40</v>
      </c>
      <c r="M244" s="19">
        <f t="shared" si="49"/>
        <v>40</v>
      </c>
      <c r="N244" s="19">
        <f t="shared" si="50"/>
        <v>0</v>
      </c>
      <c r="O244" s="10" t="str">
        <f t="shared" si="51"/>
        <v>COMPLETE</v>
      </c>
      <c r="P244" s="10"/>
      <c r="Q244" s="10" t="str">
        <f t="shared" si="52"/>
        <v>OK</v>
      </c>
    </row>
    <row r="245" spans="1:17" x14ac:dyDescent="0.3">
      <c r="A245" s="9">
        <v>125</v>
      </c>
      <c r="B245" s="13" t="s">
        <v>77</v>
      </c>
      <c r="C245" s="13" t="s">
        <v>678</v>
      </c>
      <c r="D245" s="13" t="s">
        <v>285</v>
      </c>
      <c r="E245" s="13" t="s">
        <v>285</v>
      </c>
      <c r="F245" s="13" t="s">
        <v>155</v>
      </c>
      <c r="G245" s="13" t="s">
        <v>154</v>
      </c>
      <c r="H245" s="14">
        <v>40</v>
      </c>
      <c r="I245" s="15">
        <v>20</v>
      </c>
      <c r="J245" s="16">
        <f t="shared" si="48"/>
        <v>800</v>
      </c>
      <c r="K245" s="17">
        <v>46163</v>
      </c>
      <c r="L245" s="10">
        <v>40</v>
      </c>
      <c r="M245" s="19">
        <f t="shared" si="49"/>
        <v>40</v>
      </c>
      <c r="N245" s="19">
        <f t="shared" si="50"/>
        <v>0</v>
      </c>
      <c r="O245" s="10" t="str">
        <f t="shared" si="51"/>
        <v>COMPLETE</v>
      </c>
      <c r="P245" s="10"/>
      <c r="Q245" s="10" t="str">
        <f t="shared" si="52"/>
        <v>OK</v>
      </c>
    </row>
    <row r="246" spans="1:17" x14ac:dyDescent="0.3">
      <c r="A246" s="10">
        <v>126</v>
      </c>
      <c r="B246" s="13" t="s">
        <v>67</v>
      </c>
      <c r="C246" s="13" t="s">
        <v>680</v>
      </c>
      <c r="D246" s="13" t="s">
        <v>605</v>
      </c>
      <c r="E246" s="13" t="s">
        <v>609</v>
      </c>
      <c r="F246" s="13" t="s">
        <v>155</v>
      </c>
      <c r="G246" s="13" t="s">
        <v>154</v>
      </c>
      <c r="H246" s="14">
        <v>40</v>
      </c>
      <c r="I246" s="15">
        <v>26</v>
      </c>
      <c r="J246" s="16">
        <f t="shared" si="48"/>
        <v>1040</v>
      </c>
      <c r="K246" s="17">
        <v>46164</v>
      </c>
      <c r="L246" s="10">
        <v>80</v>
      </c>
      <c r="M246" s="19">
        <f t="shared" si="49"/>
        <v>40</v>
      </c>
      <c r="N246" s="19">
        <f t="shared" si="50"/>
        <v>40</v>
      </c>
      <c r="O246" s="10" t="str">
        <f t="shared" si="51"/>
        <v>INCOMPLETE</v>
      </c>
      <c r="P246" s="10"/>
      <c r="Q246" s="10" t="str">
        <f t="shared" si="52"/>
        <v>OK</v>
      </c>
    </row>
    <row r="247" spans="1:17" x14ac:dyDescent="0.3">
      <c r="A247" s="10">
        <v>127</v>
      </c>
      <c r="B247" s="13" t="s">
        <v>50</v>
      </c>
      <c r="C247" s="13" t="s">
        <v>681</v>
      </c>
      <c r="D247" s="13" t="s">
        <v>469</v>
      </c>
      <c r="E247" s="13" t="s">
        <v>469</v>
      </c>
      <c r="F247" s="13" t="s">
        <v>44</v>
      </c>
      <c r="G247" s="13" t="s">
        <v>45</v>
      </c>
      <c r="H247" s="14">
        <v>40</v>
      </c>
      <c r="I247" s="15">
        <v>19</v>
      </c>
      <c r="J247" s="16">
        <f t="shared" si="48"/>
        <v>760</v>
      </c>
      <c r="K247" s="17">
        <v>46166</v>
      </c>
      <c r="L247" s="10">
        <v>40</v>
      </c>
      <c r="M247" s="19">
        <f t="shared" si="49"/>
        <v>40</v>
      </c>
      <c r="N247" s="19">
        <f t="shared" si="50"/>
        <v>0</v>
      </c>
      <c r="O247" s="10" t="str">
        <f t="shared" si="51"/>
        <v>COMPLETE</v>
      </c>
      <c r="P247" s="10"/>
      <c r="Q247" s="10" t="str">
        <f t="shared" si="52"/>
        <v>OK</v>
      </c>
    </row>
    <row r="248" spans="1:17" x14ac:dyDescent="0.3">
      <c r="A248" s="10">
        <v>128</v>
      </c>
      <c r="B248" s="13" t="s">
        <v>73</v>
      </c>
      <c r="C248" s="13" t="s">
        <v>683</v>
      </c>
      <c r="D248" s="13" t="s">
        <v>356</v>
      </c>
      <c r="E248" s="13" t="s">
        <v>356</v>
      </c>
      <c r="F248" s="13" t="s">
        <v>44</v>
      </c>
      <c r="G248" s="13" t="s">
        <v>45</v>
      </c>
      <c r="H248" s="14">
        <v>120</v>
      </c>
      <c r="I248" s="15">
        <v>26</v>
      </c>
      <c r="J248" s="16">
        <f t="shared" si="48"/>
        <v>3120</v>
      </c>
      <c r="K248" s="17">
        <v>46166</v>
      </c>
      <c r="L248" s="10">
        <v>120</v>
      </c>
      <c r="M248" s="19">
        <f t="shared" si="49"/>
        <v>120</v>
      </c>
      <c r="N248" s="19">
        <f t="shared" si="50"/>
        <v>0</v>
      </c>
      <c r="O248" s="10" t="str">
        <f t="shared" si="51"/>
        <v>COMPLETE</v>
      </c>
      <c r="P248" s="10"/>
      <c r="Q248" s="10" t="str">
        <f t="shared" si="52"/>
        <v>OK</v>
      </c>
    </row>
    <row r="249" spans="1:17" x14ac:dyDescent="0.3">
      <c r="A249" s="65">
        <v>129</v>
      </c>
      <c r="B249" s="13" t="s">
        <v>77</v>
      </c>
      <c r="C249" s="13" t="s">
        <v>687</v>
      </c>
      <c r="D249" s="13" t="s">
        <v>284</v>
      </c>
      <c r="E249" s="13" t="s">
        <v>284</v>
      </c>
      <c r="F249" s="13" t="s">
        <v>52</v>
      </c>
      <c r="G249" s="13" t="s">
        <v>53</v>
      </c>
      <c r="H249" s="14">
        <v>40</v>
      </c>
      <c r="I249" s="15">
        <v>20</v>
      </c>
      <c r="J249" s="16">
        <f t="shared" si="48"/>
        <v>800</v>
      </c>
      <c r="K249" s="17">
        <v>46174</v>
      </c>
      <c r="L249" s="10">
        <v>40</v>
      </c>
      <c r="M249" s="19">
        <f t="shared" si="49"/>
        <v>40</v>
      </c>
      <c r="N249" s="19">
        <f t="shared" si="50"/>
        <v>0</v>
      </c>
      <c r="O249" s="10" t="str">
        <f t="shared" si="51"/>
        <v>COMPLETE</v>
      </c>
      <c r="P249" s="10"/>
      <c r="Q249" s="10" t="str">
        <f t="shared" si="52"/>
        <v>OK</v>
      </c>
    </row>
    <row r="250" spans="1:17" x14ac:dyDescent="0.3">
      <c r="A250" s="65">
        <v>129</v>
      </c>
      <c r="B250" s="13" t="s">
        <v>77</v>
      </c>
      <c r="C250" s="13" t="s">
        <v>687</v>
      </c>
      <c r="D250" s="13" t="s">
        <v>284</v>
      </c>
      <c r="E250" s="13" t="s">
        <v>284</v>
      </c>
      <c r="F250" s="13" t="s">
        <v>255</v>
      </c>
      <c r="G250" s="13" t="s">
        <v>256</v>
      </c>
      <c r="H250" s="14">
        <v>40</v>
      </c>
      <c r="I250" s="15">
        <v>20</v>
      </c>
      <c r="J250" s="16">
        <f t="shared" si="48"/>
        <v>800</v>
      </c>
      <c r="K250" s="17">
        <v>46174</v>
      </c>
      <c r="L250" s="10">
        <v>40</v>
      </c>
      <c r="M250" s="19">
        <f t="shared" si="49"/>
        <v>40</v>
      </c>
      <c r="N250" s="19">
        <f t="shared" si="50"/>
        <v>0</v>
      </c>
      <c r="O250" s="10" t="str">
        <f t="shared" si="51"/>
        <v>COMPLETE</v>
      </c>
      <c r="P250" s="10"/>
      <c r="Q250" s="10" t="str">
        <f t="shared" si="52"/>
        <v>OK</v>
      </c>
    </row>
    <row r="251" spans="1:17" x14ac:dyDescent="0.3">
      <c r="A251" s="52">
        <v>130</v>
      </c>
      <c r="B251" s="13" t="s">
        <v>67</v>
      </c>
      <c r="C251" s="13" t="s">
        <v>688</v>
      </c>
      <c r="D251" s="13" t="s">
        <v>614</v>
      </c>
      <c r="E251" s="13" t="s">
        <v>635</v>
      </c>
      <c r="F251" s="13" t="s">
        <v>52</v>
      </c>
      <c r="G251" s="13" t="s">
        <v>53</v>
      </c>
      <c r="H251" s="14">
        <v>50</v>
      </c>
      <c r="I251" s="15">
        <v>26</v>
      </c>
      <c r="J251" s="16">
        <f t="shared" si="48"/>
        <v>1300</v>
      </c>
      <c r="K251" s="17">
        <v>46174</v>
      </c>
      <c r="L251" s="10">
        <v>50</v>
      </c>
      <c r="M251" s="19">
        <f t="shared" si="49"/>
        <v>50</v>
      </c>
      <c r="N251" s="19">
        <f t="shared" si="50"/>
        <v>0</v>
      </c>
      <c r="O251" s="10" t="str">
        <f t="shared" si="51"/>
        <v>COMPLETE</v>
      </c>
      <c r="P251" s="10"/>
      <c r="Q251" s="10" t="str">
        <f t="shared" si="52"/>
        <v>OK</v>
      </c>
    </row>
    <row r="252" spans="1:17" x14ac:dyDescent="0.3">
      <c r="A252" s="52">
        <v>130</v>
      </c>
      <c r="B252" s="13" t="s">
        <v>67</v>
      </c>
      <c r="C252" s="13" t="s">
        <v>688</v>
      </c>
      <c r="D252" s="13" t="s">
        <v>614</v>
      </c>
      <c r="E252" s="13" t="s">
        <v>635</v>
      </c>
      <c r="F252" s="13" t="s">
        <v>155</v>
      </c>
      <c r="G252" s="13" t="s">
        <v>154</v>
      </c>
      <c r="H252" s="14">
        <v>20</v>
      </c>
      <c r="I252" s="15">
        <v>26</v>
      </c>
      <c r="J252" s="16">
        <f t="shared" ref="J252:J254" si="53">H252*I252</f>
        <v>520</v>
      </c>
      <c r="K252" s="17">
        <v>46174</v>
      </c>
      <c r="L252" s="10">
        <v>80</v>
      </c>
      <c r="M252" s="19">
        <f t="shared" ref="M252:M254" si="54">H252</f>
        <v>20</v>
      </c>
      <c r="N252" s="19">
        <f t="shared" ref="N252:N254" si="55">L252-M252</f>
        <v>60</v>
      </c>
      <c r="O252" s="10" t="str">
        <f t="shared" ref="O252:O254" si="56">IF(N252=0,"COMPLETE","INCOMPLETE")</f>
        <v>INCOMPLETE</v>
      </c>
      <c r="P252" s="10"/>
      <c r="Q252" s="10" t="str">
        <f t="shared" ref="Q252:Q254" si="57">IF(M252=H252,"OK","X")</f>
        <v>OK</v>
      </c>
    </row>
    <row r="253" spans="1:17" x14ac:dyDescent="0.3">
      <c r="A253" s="52">
        <v>130</v>
      </c>
      <c r="B253" s="13" t="s">
        <v>67</v>
      </c>
      <c r="C253" s="13" t="s">
        <v>688</v>
      </c>
      <c r="D253" s="13" t="s">
        <v>614</v>
      </c>
      <c r="E253" s="13" t="s">
        <v>635</v>
      </c>
      <c r="F253" s="13" t="s">
        <v>48</v>
      </c>
      <c r="G253" s="13" t="s">
        <v>49</v>
      </c>
      <c r="H253" s="14">
        <v>30</v>
      </c>
      <c r="I253" s="15">
        <v>26</v>
      </c>
      <c r="J253" s="16">
        <f t="shared" si="53"/>
        <v>780</v>
      </c>
      <c r="K253" s="17">
        <v>46174</v>
      </c>
      <c r="L253" s="10">
        <v>30</v>
      </c>
      <c r="M253" s="19">
        <f t="shared" si="54"/>
        <v>30</v>
      </c>
      <c r="N253" s="19">
        <f t="shared" si="55"/>
        <v>0</v>
      </c>
      <c r="O253" s="10" t="str">
        <f t="shared" si="56"/>
        <v>COMPLETE</v>
      </c>
      <c r="P253" s="10"/>
      <c r="Q253" s="10" t="str">
        <f t="shared" si="57"/>
        <v>OK</v>
      </c>
    </row>
    <row r="254" spans="1:17" x14ac:dyDescent="0.3">
      <c r="A254" s="10">
        <v>131</v>
      </c>
      <c r="B254" s="13" t="s">
        <v>73</v>
      </c>
      <c r="C254" s="13" t="s">
        <v>696</v>
      </c>
      <c r="D254" s="13" t="s">
        <v>382</v>
      </c>
      <c r="E254" s="13" t="s">
        <v>382</v>
      </c>
      <c r="F254" s="13" t="s">
        <v>44</v>
      </c>
      <c r="G254" s="13" t="s">
        <v>45</v>
      </c>
      <c r="H254" s="14">
        <v>120</v>
      </c>
      <c r="I254" s="15">
        <v>26</v>
      </c>
      <c r="J254" s="16">
        <f t="shared" si="53"/>
        <v>3120</v>
      </c>
      <c r="K254" s="17">
        <v>46176</v>
      </c>
      <c r="L254" s="10">
        <v>120</v>
      </c>
      <c r="M254" s="19">
        <f t="shared" si="54"/>
        <v>120</v>
      </c>
      <c r="N254" s="19">
        <f t="shared" si="55"/>
        <v>0</v>
      </c>
      <c r="O254" s="10" t="str">
        <f t="shared" si="56"/>
        <v>COMPLETE</v>
      </c>
      <c r="P254" s="10"/>
      <c r="Q254" s="10" t="str">
        <f t="shared" si="57"/>
        <v>OK</v>
      </c>
    </row>
  </sheetData>
  <conditionalFormatting sqref="C1:C1048576">
    <cfRule type="duplicateValues" dxfId="73" priority="1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7F27DB9-03A1-4739-B983-EA0E7207698D}">
          <x14:formula1>
            <xm:f>DDL!$D$2:$D$112</xm:f>
          </x14:formula1>
          <xm:sqref>B2:B63 B66:B254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8863E-8940-4540-A767-0341B6712E2E}">
  <sheetPr codeName="Sheet3"/>
  <dimension ref="A1:Q234"/>
  <sheetViews>
    <sheetView workbookViewId="0">
      <pane ySplit="1" topLeftCell="A217" activePane="bottomLeft" state="frozen"/>
      <selection pane="bottomLeft" activeCell="D248" sqref="D248"/>
    </sheetView>
  </sheetViews>
  <sheetFormatPr defaultColWidth="4.88671875" defaultRowHeight="10.199999999999999" x14ac:dyDescent="0.3"/>
  <cols>
    <col min="1" max="1" width="7.5546875" style="11" bestFit="1" customWidth="1"/>
    <col min="2" max="2" width="20.21875" style="23" bestFit="1" customWidth="1"/>
    <col min="3" max="3" width="14.21875" style="23" bestFit="1" customWidth="1"/>
    <col min="4" max="4" width="8.33203125" style="23" bestFit="1" customWidth="1"/>
    <col min="5" max="5" width="7.88671875" style="23" bestFit="1" customWidth="1"/>
    <col min="6" max="6" width="14.33203125" style="23" bestFit="1" customWidth="1"/>
    <col min="7" max="7" width="28.33203125" style="23" bestFit="1" customWidth="1"/>
    <col min="8" max="8" width="9.109375" style="24" bestFit="1" customWidth="1"/>
    <col min="9" max="9" width="14.33203125" style="25" bestFit="1" customWidth="1"/>
    <col min="10" max="10" width="18.44140625" style="26" bestFit="1" customWidth="1"/>
    <col min="11" max="11" width="9.5546875" style="27" bestFit="1" customWidth="1"/>
    <col min="12" max="12" width="16.44140625" style="11" bestFit="1" customWidth="1"/>
    <col min="13" max="13" width="17.88671875" style="11" bestFit="1" customWidth="1"/>
    <col min="14" max="14" width="12.6640625" style="11" bestFit="1" customWidth="1"/>
    <col min="15" max="15" width="11.33203125" style="11" bestFit="1" customWidth="1"/>
    <col min="16" max="16" width="84.44140625" style="11" bestFit="1" customWidth="1"/>
    <col min="17" max="17" width="14.6640625" style="11" bestFit="1" customWidth="1"/>
    <col min="18" max="16384" width="4.88671875" style="20"/>
  </cols>
  <sheetData>
    <row r="1" spans="1:17" s="86" customFormat="1" ht="13.8" x14ac:dyDescent="0.3">
      <c r="A1" s="77" t="s">
        <v>0</v>
      </c>
      <c r="B1" s="78" t="s">
        <v>3</v>
      </c>
      <c r="C1" s="78" t="s">
        <v>2</v>
      </c>
      <c r="D1" s="78" t="s">
        <v>5</v>
      </c>
      <c r="E1" s="78" t="s">
        <v>4</v>
      </c>
      <c r="F1" s="78" t="s">
        <v>6</v>
      </c>
      <c r="G1" s="78" t="s">
        <v>9</v>
      </c>
      <c r="H1" s="79" t="s">
        <v>1</v>
      </c>
      <c r="I1" s="80" t="s">
        <v>7</v>
      </c>
      <c r="J1" s="81" t="s">
        <v>8</v>
      </c>
      <c r="K1" s="82" t="s">
        <v>10</v>
      </c>
      <c r="L1" s="78" t="s">
        <v>17</v>
      </c>
      <c r="M1" s="78" t="s">
        <v>11</v>
      </c>
      <c r="N1" s="83" t="s">
        <v>12</v>
      </c>
      <c r="O1" s="84" t="s">
        <v>13</v>
      </c>
      <c r="P1" s="85" t="s">
        <v>699</v>
      </c>
      <c r="Q1" s="86" t="s">
        <v>700</v>
      </c>
    </row>
    <row r="2" spans="1:17" x14ac:dyDescent="0.3">
      <c r="A2" s="10" t="s">
        <v>16</v>
      </c>
      <c r="B2" s="13" t="s">
        <v>257</v>
      </c>
      <c r="C2" s="13" t="s">
        <v>29</v>
      </c>
      <c r="D2" s="13" t="s">
        <v>21</v>
      </c>
      <c r="E2" s="13" t="s">
        <v>21</v>
      </c>
      <c r="F2" s="13" t="s">
        <v>30</v>
      </c>
      <c r="G2" s="13" t="s">
        <v>31</v>
      </c>
      <c r="H2" s="14">
        <v>10</v>
      </c>
      <c r="I2" s="15">
        <v>104</v>
      </c>
      <c r="J2" s="16">
        <f>H2*I2</f>
        <v>1040</v>
      </c>
      <c r="K2" s="17">
        <v>46024</v>
      </c>
      <c r="L2" s="10">
        <v>10</v>
      </c>
      <c r="M2" s="18">
        <f>H2</f>
        <v>10</v>
      </c>
      <c r="N2" s="19">
        <f>L2-M2</f>
        <v>0</v>
      </c>
      <c r="O2" s="10" t="str">
        <f>IF(N2=0,"COMPLETE","INCOMPLETE")</f>
        <v>COMPLETE</v>
      </c>
      <c r="P2" s="10"/>
      <c r="Q2" s="10" t="str">
        <f>IF(M2=H2,"OK","X")</f>
        <v>OK</v>
      </c>
    </row>
    <row r="3" spans="1:17" x14ac:dyDescent="0.3">
      <c r="A3" s="29" t="s">
        <v>18</v>
      </c>
      <c r="B3" s="13" t="s">
        <v>34</v>
      </c>
      <c r="C3" s="13" t="s">
        <v>35</v>
      </c>
      <c r="D3" s="13" t="s">
        <v>21</v>
      </c>
      <c r="E3" s="13" t="s">
        <v>21</v>
      </c>
      <c r="F3" s="13" t="s">
        <v>30</v>
      </c>
      <c r="G3" s="13" t="s">
        <v>31</v>
      </c>
      <c r="H3" s="14">
        <v>75</v>
      </c>
      <c r="I3" s="15">
        <v>69</v>
      </c>
      <c r="J3" s="16">
        <f>H3*I3</f>
        <v>5175</v>
      </c>
      <c r="K3" s="17">
        <v>46027</v>
      </c>
      <c r="L3" s="10">
        <v>550</v>
      </c>
      <c r="M3" s="18">
        <f t="shared" ref="M3:M100" si="0">H3</f>
        <v>75</v>
      </c>
      <c r="N3" s="19">
        <f t="shared" ref="N3:N75" si="1">L3-M3</f>
        <v>475</v>
      </c>
      <c r="O3" s="10" t="str">
        <f t="shared" ref="O3:O75" si="2">IF(N3=0,"COMPLETE","INCOMPLETE")</f>
        <v>INCOMPLETE</v>
      </c>
      <c r="P3" s="10"/>
      <c r="Q3" s="10" t="str">
        <f t="shared" ref="Q3:Q100" si="3">IF(M3=H3,"OK","X")</f>
        <v>OK</v>
      </c>
    </row>
    <row r="4" spans="1:17" x14ac:dyDescent="0.3">
      <c r="A4" s="29" t="s">
        <v>18</v>
      </c>
      <c r="B4" s="13" t="s">
        <v>34</v>
      </c>
      <c r="C4" s="13" t="s">
        <v>35</v>
      </c>
      <c r="D4" s="13" t="s">
        <v>21</v>
      </c>
      <c r="E4" s="13" t="s">
        <v>21</v>
      </c>
      <c r="F4" s="13" t="s">
        <v>36</v>
      </c>
      <c r="G4" s="13" t="s">
        <v>37</v>
      </c>
      <c r="H4" s="14">
        <v>60</v>
      </c>
      <c r="I4" s="15">
        <v>69</v>
      </c>
      <c r="J4" s="16">
        <f t="shared" ref="J4:J75" si="4">H4*I4</f>
        <v>4140</v>
      </c>
      <c r="K4" s="17">
        <v>46027</v>
      </c>
      <c r="L4" s="10">
        <v>450</v>
      </c>
      <c r="M4" s="18">
        <f t="shared" si="0"/>
        <v>60</v>
      </c>
      <c r="N4" s="19">
        <f t="shared" si="1"/>
        <v>390</v>
      </c>
      <c r="O4" s="10" t="str">
        <f t="shared" si="2"/>
        <v>INCOMPLETE</v>
      </c>
      <c r="P4" s="10"/>
      <c r="Q4" s="10" t="str">
        <f t="shared" si="3"/>
        <v>OK</v>
      </c>
    </row>
    <row r="5" spans="1:17" x14ac:dyDescent="0.3">
      <c r="A5" s="29" t="s">
        <v>18</v>
      </c>
      <c r="B5" s="13" t="s">
        <v>34</v>
      </c>
      <c r="C5" s="13" t="s">
        <v>35</v>
      </c>
      <c r="D5" s="13" t="s">
        <v>39</v>
      </c>
      <c r="E5" s="13" t="s">
        <v>39</v>
      </c>
      <c r="F5" s="13" t="s">
        <v>30</v>
      </c>
      <c r="G5" s="13" t="s">
        <v>31</v>
      </c>
      <c r="H5" s="14">
        <v>300</v>
      </c>
      <c r="I5" s="15">
        <v>69</v>
      </c>
      <c r="J5" s="16">
        <f t="shared" si="4"/>
        <v>20700</v>
      </c>
      <c r="K5" s="17">
        <v>46027</v>
      </c>
      <c r="L5" s="10">
        <v>475</v>
      </c>
      <c r="M5" s="18">
        <f t="shared" si="0"/>
        <v>300</v>
      </c>
      <c r="N5" s="19">
        <f t="shared" si="1"/>
        <v>175</v>
      </c>
      <c r="O5" s="10" t="str">
        <f t="shared" si="2"/>
        <v>INCOMPLETE</v>
      </c>
      <c r="P5" s="10"/>
      <c r="Q5" s="10" t="str">
        <f t="shared" si="3"/>
        <v>OK</v>
      </c>
    </row>
    <row r="6" spans="1:17" x14ac:dyDescent="0.3">
      <c r="A6" s="29" t="s">
        <v>18</v>
      </c>
      <c r="B6" s="13" t="s">
        <v>34</v>
      </c>
      <c r="C6" s="13" t="s">
        <v>35</v>
      </c>
      <c r="D6" s="13" t="s">
        <v>39</v>
      </c>
      <c r="E6" s="13" t="s">
        <v>39</v>
      </c>
      <c r="F6" s="13" t="s">
        <v>36</v>
      </c>
      <c r="G6" s="13" t="s">
        <v>37</v>
      </c>
      <c r="H6" s="14">
        <v>200</v>
      </c>
      <c r="I6" s="15">
        <v>69</v>
      </c>
      <c r="J6" s="16">
        <f t="shared" si="4"/>
        <v>13800</v>
      </c>
      <c r="K6" s="17">
        <v>46027</v>
      </c>
      <c r="L6" s="10">
        <v>390</v>
      </c>
      <c r="M6" s="18">
        <f t="shared" si="0"/>
        <v>200</v>
      </c>
      <c r="N6" s="19">
        <f t="shared" si="1"/>
        <v>190</v>
      </c>
      <c r="O6" s="10" t="str">
        <f t="shared" si="2"/>
        <v>INCOMPLETE</v>
      </c>
      <c r="P6" s="10"/>
      <c r="Q6" s="10" t="str">
        <f t="shared" si="3"/>
        <v>OK</v>
      </c>
    </row>
    <row r="7" spans="1:17" x14ac:dyDescent="0.3">
      <c r="A7" s="29" t="s">
        <v>18</v>
      </c>
      <c r="B7" s="13" t="s">
        <v>34</v>
      </c>
      <c r="C7" s="13" t="s">
        <v>35</v>
      </c>
      <c r="D7" s="13" t="s">
        <v>39</v>
      </c>
      <c r="E7" s="13" t="s">
        <v>39</v>
      </c>
      <c r="F7" s="13" t="s">
        <v>40</v>
      </c>
      <c r="G7" s="13" t="s">
        <v>41</v>
      </c>
      <c r="H7" s="14">
        <v>30</v>
      </c>
      <c r="I7" s="15">
        <v>65</v>
      </c>
      <c r="J7" s="16">
        <f t="shared" si="4"/>
        <v>1950</v>
      </c>
      <c r="K7" s="17">
        <v>46027</v>
      </c>
      <c r="L7" s="10">
        <v>170</v>
      </c>
      <c r="M7" s="18">
        <f t="shared" si="0"/>
        <v>30</v>
      </c>
      <c r="N7" s="19">
        <f t="shared" si="1"/>
        <v>140</v>
      </c>
      <c r="O7" s="10" t="str">
        <f t="shared" si="2"/>
        <v>INCOMPLETE</v>
      </c>
      <c r="P7" s="10"/>
      <c r="Q7" s="10" t="str">
        <f t="shared" si="3"/>
        <v>OK</v>
      </c>
    </row>
    <row r="8" spans="1:17" x14ac:dyDescent="0.3">
      <c r="A8" s="29" t="s">
        <v>18</v>
      </c>
      <c r="B8" s="13" t="s">
        <v>34</v>
      </c>
      <c r="C8" s="13" t="s">
        <v>35</v>
      </c>
      <c r="D8" s="13" t="s">
        <v>94</v>
      </c>
      <c r="E8" s="13" t="s">
        <v>94</v>
      </c>
      <c r="F8" s="13" t="s">
        <v>30</v>
      </c>
      <c r="G8" s="13" t="s">
        <v>31</v>
      </c>
      <c r="H8" s="14">
        <v>100</v>
      </c>
      <c r="I8" s="15">
        <v>69</v>
      </c>
      <c r="J8" s="16">
        <f t="shared" si="4"/>
        <v>6900</v>
      </c>
      <c r="K8" s="17">
        <v>46030</v>
      </c>
      <c r="L8" s="10">
        <v>175</v>
      </c>
      <c r="M8" s="18">
        <f t="shared" si="0"/>
        <v>100</v>
      </c>
      <c r="N8" s="19">
        <f t="shared" si="1"/>
        <v>75</v>
      </c>
      <c r="O8" s="10" t="str">
        <f t="shared" si="2"/>
        <v>INCOMPLETE</v>
      </c>
      <c r="P8" s="10"/>
      <c r="Q8" s="10" t="str">
        <f t="shared" si="3"/>
        <v>OK</v>
      </c>
    </row>
    <row r="9" spans="1:17" x14ac:dyDescent="0.3">
      <c r="A9" s="29" t="s">
        <v>18</v>
      </c>
      <c r="B9" s="13" t="s">
        <v>34</v>
      </c>
      <c r="C9" s="13" t="s">
        <v>35</v>
      </c>
      <c r="D9" s="13" t="s">
        <v>94</v>
      </c>
      <c r="E9" s="13" t="s">
        <v>94</v>
      </c>
      <c r="F9" s="13" t="s">
        <v>40</v>
      </c>
      <c r="G9" s="13" t="s">
        <v>41</v>
      </c>
      <c r="H9" s="14">
        <v>30</v>
      </c>
      <c r="I9" s="15">
        <v>65</v>
      </c>
      <c r="J9" s="16">
        <f t="shared" si="4"/>
        <v>1950</v>
      </c>
      <c r="K9" s="17">
        <v>46030</v>
      </c>
      <c r="L9" s="10">
        <v>140</v>
      </c>
      <c r="M9" s="18">
        <f t="shared" si="0"/>
        <v>30</v>
      </c>
      <c r="N9" s="19">
        <f t="shared" si="1"/>
        <v>110</v>
      </c>
      <c r="O9" s="10" t="str">
        <f t="shared" si="2"/>
        <v>INCOMPLETE</v>
      </c>
      <c r="P9" s="10"/>
      <c r="Q9" s="10" t="str">
        <f t="shared" si="3"/>
        <v>OK</v>
      </c>
    </row>
    <row r="10" spans="1:17" x14ac:dyDescent="0.3">
      <c r="A10" s="29" t="s">
        <v>18</v>
      </c>
      <c r="B10" s="13" t="s">
        <v>34</v>
      </c>
      <c r="C10" s="13" t="s">
        <v>35</v>
      </c>
      <c r="D10" s="13" t="s">
        <v>98</v>
      </c>
      <c r="E10" s="13" t="s">
        <v>98</v>
      </c>
      <c r="F10" s="13" t="s">
        <v>125</v>
      </c>
      <c r="G10" s="13" t="s">
        <v>126</v>
      </c>
      <c r="H10" s="14">
        <v>10</v>
      </c>
      <c r="I10" s="15">
        <v>65</v>
      </c>
      <c r="J10" s="16">
        <f t="shared" si="4"/>
        <v>650</v>
      </c>
      <c r="K10" s="17">
        <v>46041</v>
      </c>
      <c r="L10" s="10">
        <v>400</v>
      </c>
      <c r="M10" s="18">
        <f t="shared" si="0"/>
        <v>10</v>
      </c>
      <c r="N10" s="19">
        <f t="shared" si="1"/>
        <v>390</v>
      </c>
      <c r="O10" s="10" t="str">
        <f t="shared" si="2"/>
        <v>INCOMPLETE</v>
      </c>
      <c r="P10" s="10"/>
      <c r="Q10" s="10" t="str">
        <f t="shared" si="3"/>
        <v>OK</v>
      </c>
    </row>
    <row r="11" spans="1:17" x14ac:dyDescent="0.3">
      <c r="A11" s="29" t="s">
        <v>18</v>
      </c>
      <c r="B11" s="13" t="s">
        <v>34</v>
      </c>
      <c r="C11" s="13" t="s">
        <v>35</v>
      </c>
      <c r="D11" s="13" t="s">
        <v>189</v>
      </c>
      <c r="E11" s="13" t="s">
        <v>189</v>
      </c>
      <c r="F11" s="13" t="s">
        <v>125</v>
      </c>
      <c r="G11" s="13" t="s">
        <v>126</v>
      </c>
      <c r="H11" s="14">
        <v>10</v>
      </c>
      <c r="I11" s="15">
        <v>65</v>
      </c>
      <c r="J11" s="16">
        <f t="shared" si="4"/>
        <v>650</v>
      </c>
      <c r="K11" s="17">
        <v>46051</v>
      </c>
      <c r="L11" s="10">
        <v>390</v>
      </c>
      <c r="M11" s="18">
        <f t="shared" si="0"/>
        <v>10</v>
      </c>
      <c r="N11" s="19">
        <f t="shared" si="1"/>
        <v>380</v>
      </c>
      <c r="O11" s="10" t="str">
        <f t="shared" si="2"/>
        <v>INCOMPLETE</v>
      </c>
      <c r="P11" s="10"/>
      <c r="Q11" s="10" t="str">
        <f t="shared" si="3"/>
        <v>OK</v>
      </c>
    </row>
    <row r="12" spans="1:17" x14ac:dyDescent="0.3">
      <c r="A12" s="29" t="s">
        <v>18</v>
      </c>
      <c r="B12" s="13" t="s">
        <v>34</v>
      </c>
      <c r="C12" s="13" t="s">
        <v>35</v>
      </c>
      <c r="D12" s="13" t="s">
        <v>209</v>
      </c>
      <c r="E12" s="13" t="s">
        <v>209</v>
      </c>
      <c r="F12" s="13" t="s">
        <v>99</v>
      </c>
      <c r="G12" s="13" t="s">
        <v>100</v>
      </c>
      <c r="H12" s="14">
        <v>120</v>
      </c>
      <c r="I12" s="15">
        <v>69</v>
      </c>
      <c r="J12" s="16">
        <f t="shared" si="4"/>
        <v>8280</v>
      </c>
      <c r="K12" s="17">
        <v>46062</v>
      </c>
      <c r="L12" s="10">
        <v>400</v>
      </c>
      <c r="M12" s="18">
        <f t="shared" si="0"/>
        <v>120</v>
      </c>
      <c r="N12" s="19">
        <f t="shared" si="1"/>
        <v>280</v>
      </c>
      <c r="O12" s="10" t="str">
        <f t="shared" si="2"/>
        <v>INCOMPLETE</v>
      </c>
      <c r="P12" s="10"/>
      <c r="Q12" s="10" t="str">
        <f t="shared" si="3"/>
        <v>OK</v>
      </c>
    </row>
    <row r="13" spans="1:17" x14ac:dyDescent="0.3">
      <c r="A13" s="29" t="s">
        <v>18</v>
      </c>
      <c r="B13" s="13" t="s">
        <v>34</v>
      </c>
      <c r="C13" s="13" t="s">
        <v>35</v>
      </c>
      <c r="D13" s="13" t="s">
        <v>248</v>
      </c>
      <c r="E13" s="13" t="s">
        <v>248</v>
      </c>
      <c r="F13" s="13" t="s">
        <v>125</v>
      </c>
      <c r="G13" s="13" t="s">
        <v>126</v>
      </c>
      <c r="H13" s="14">
        <v>15</v>
      </c>
      <c r="I13" s="15">
        <v>65</v>
      </c>
      <c r="J13" s="16">
        <f t="shared" si="4"/>
        <v>975</v>
      </c>
      <c r="K13" s="17">
        <v>46061</v>
      </c>
      <c r="L13" s="10">
        <v>380</v>
      </c>
      <c r="M13" s="18">
        <f t="shared" si="0"/>
        <v>15</v>
      </c>
      <c r="N13" s="19">
        <f t="shared" si="1"/>
        <v>365</v>
      </c>
      <c r="O13" s="10" t="str">
        <f t="shared" si="2"/>
        <v>INCOMPLETE</v>
      </c>
      <c r="P13" s="10"/>
      <c r="Q13" s="10" t="str">
        <f t="shared" si="3"/>
        <v>OK</v>
      </c>
    </row>
    <row r="14" spans="1:17" x14ac:dyDescent="0.3">
      <c r="A14" s="29" t="s">
        <v>18</v>
      </c>
      <c r="B14" s="13" t="s">
        <v>34</v>
      </c>
      <c r="C14" s="13" t="s">
        <v>35</v>
      </c>
      <c r="D14" s="13" t="s">
        <v>272</v>
      </c>
      <c r="E14" s="13" t="s">
        <v>272</v>
      </c>
      <c r="F14" s="13" t="s">
        <v>99</v>
      </c>
      <c r="G14" s="13" t="s">
        <v>100</v>
      </c>
      <c r="H14" s="14">
        <v>30</v>
      </c>
      <c r="I14" s="15">
        <v>69</v>
      </c>
      <c r="J14" s="16">
        <f t="shared" si="4"/>
        <v>2070</v>
      </c>
      <c r="K14" s="17">
        <v>46066</v>
      </c>
      <c r="L14" s="10">
        <v>280</v>
      </c>
      <c r="M14" s="18">
        <f t="shared" si="0"/>
        <v>30</v>
      </c>
      <c r="N14" s="19">
        <f t="shared" si="1"/>
        <v>250</v>
      </c>
      <c r="O14" s="10" t="str">
        <f t="shared" si="2"/>
        <v>INCOMPLETE</v>
      </c>
      <c r="P14" s="10"/>
      <c r="Q14" s="10" t="str">
        <f t="shared" si="3"/>
        <v>OK</v>
      </c>
    </row>
    <row r="15" spans="1:17" x14ac:dyDescent="0.3">
      <c r="A15" s="29" t="s">
        <v>18</v>
      </c>
      <c r="B15" s="13" t="s">
        <v>34</v>
      </c>
      <c r="C15" s="13" t="s">
        <v>35</v>
      </c>
      <c r="D15" s="13" t="s">
        <v>274</v>
      </c>
      <c r="E15" s="13" t="s">
        <v>274</v>
      </c>
      <c r="F15" s="13" t="s">
        <v>99</v>
      </c>
      <c r="G15" s="13" t="s">
        <v>100</v>
      </c>
      <c r="H15" s="14">
        <v>30</v>
      </c>
      <c r="I15" s="15">
        <v>69</v>
      </c>
      <c r="J15" s="16">
        <f t="shared" si="4"/>
        <v>2070</v>
      </c>
      <c r="K15" s="17">
        <v>46068</v>
      </c>
      <c r="L15" s="10">
        <v>250</v>
      </c>
      <c r="M15" s="18">
        <f t="shared" si="0"/>
        <v>30</v>
      </c>
      <c r="N15" s="19">
        <f t="shared" si="1"/>
        <v>220</v>
      </c>
      <c r="O15" s="10" t="str">
        <f t="shared" si="2"/>
        <v>INCOMPLETE</v>
      </c>
      <c r="P15" s="10"/>
      <c r="Q15" s="10" t="str">
        <f t="shared" si="3"/>
        <v>OK</v>
      </c>
    </row>
    <row r="16" spans="1:17" x14ac:dyDescent="0.3">
      <c r="A16" s="29" t="s">
        <v>18</v>
      </c>
      <c r="B16" s="13" t="s">
        <v>34</v>
      </c>
      <c r="C16" s="13" t="s">
        <v>35</v>
      </c>
      <c r="D16" s="13" t="s">
        <v>286</v>
      </c>
      <c r="E16" s="13" t="s">
        <v>286</v>
      </c>
      <c r="F16" s="13" t="s">
        <v>99</v>
      </c>
      <c r="G16" s="13" t="s">
        <v>100</v>
      </c>
      <c r="H16" s="14">
        <v>30</v>
      </c>
      <c r="I16" s="15">
        <v>69</v>
      </c>
      <c r="J16" s="16">
        <f t="shared" si="4"/>
        <v>2070</v>
      </c>
      <c r="K16" s="17">
        <v>46076</v>
      </c>
      <c r="L16" s="10">
        <v>220</v>
      </c>
      <c r="M16" s="18">
        <f t="shared" si="0"/>
        <v>30</v>
      </c>
      <c r="N16" s="19">
        <f t="shared" si="1"/>
        <v>190</v>
      </c>
      <c r="O16" s="10" t="str">
        <f t="shared" si="2"/>
        <v>INCOMPLETE</v>
      </c>
      <c r="P16" s="10"/>
      <c r="Q16" s="10" t="str">
        <f t="shared" si="3"/>
        <v>OK</v>
      </c>
    </row>
    <row r="17" spans="1:17" x14ac:dyDescent="0.3">
      <c r="A17" s="29" t="s">
        <v>18</v>
      </c>
      <c r="B17" s="13" t="s">
        <v>34</v>
      </c>
      <c r="C17" s="13" t="s">
        <v>35</v>
      </c>
      <c r="D17" s="13" t="s">
        <v>286</v>
      </c>
      <c r="E17" s="13" t="s">
        <v>286</v>
      </c>
      <c r="F17" s="13" t="s">
        <v>36</v>
      </c>
      <c r="G17" s="13" t="s">
        <v>37</v>
      </c>
      <c r="H17" s="14">
        <v>20</v>
      </c>
      <c r="I17" s="15">
        <v>69</v>
      </c>
      <c r="J17" s="16">
        <f t="shared" si="4"/>
        <v>1380</v>
      </c>
      <c r="K17" s="17">
        <v>46076</v>
      </c>
      <c r="L17" s="10">
        <v>190</v>
      </c>
      <c r="M17" s="18">
        <f t="shared" si="0"/>
        <v>20</v>
      </c>
      <c r="N17" s="19">
        <f t="shared" si="1"/>
        <v>170</v>
      </c>
      <c r="O17" s="10" t="str">
        <f t="shared" si="2"/>
        <v>INCOMPLETE</v>
      </c>
      <c r="P17" s="10"/>
      <c r="Q17" s="10" t="str">
        <f t="shared" si="3"/>
        <v>OK</v>
      </c>
    </row>
    <row r="18" spans="1:17" x14ac:dyDescent="0.3">
      <c r="A18" s="29" t="s">
        <v>18</v>
      </c>
      <c r="B18" s="13" t="s">
        <v>34</v>
      </c>
      <c r="C18" s="13" t="s">
        <v>35</v>
      </c>
      <c r="D18" s="13" t="s">
        <v>286</v>
      </c>
      <c r="E18" s="13" t="s">
        <v>286</v>
      </c>
      <c r="F18" s="13" t="s">
        <v>319</v>
      </c>
      <c r="G18" s="13" t="s">
        <v>320</v>
      </c>
      <c r="H18" s="14">
        <v>35</v>
      </c>
      <c r="I18" s="15">
        <v>65</v>
      </c>
      <c r="J18" s="16">
        <f t="shared" si="4"/>
        <v>2275</v>
      </c>
      <c r="K18" s="17">
        <v>46076</v>
      </c>
      <c r="L18" s="10">
        <v>110</v>
      </c>
      <c r="M18" s="18">
        <f t="shared" si="0"/>
        <v>35</v>
      </c>
      <c r="N18" s="19">
        <f t="shared" si="1"/>
        <v>75</v>
      </c>
      <c r="O18" s="10" t="str">
        <f t="shared" si="2"/>
        <v>INCOMPLETE</v>
      </c>
      <c r="P18" s="10"/>
      <c r="Q18" s="10" t="str">
        <f t="shared" si="3"/>
        <v>OK</v>
      </c>
    </row>
    <row r="19" spans="1:17" x14ac:dyDescent="0.3">
      <c r="A19" s="29" t="s">
        <v>18</v>
      </c>
      <c r="B19" s="13" t="s">
        <v>34</v>
      </c>
      <c r="C19" s="13" t="s">
        <v>35</v>
      </c>
      <c r="D19" s="13" t="s">
        <v>282</v>
      </c>
      <c r="E19" s="13" t="s">
        <v>282</v>
      </c>
      <c r="F19" s="13" t="s">
        <v>334</v>
      </c>
      <c r="G19" s="13" t="s">
        <v>337</v>
      </c>
      <c r="H19" s="14">
        <v>50</v>
      </c>
      <c r="I19" s="15">
        <v>69</v>
      </c>
      <c r="J19" s="16">
        <f t="shared" si="4"/>
        <v>3450</v>
      </c>
      <c r="K19" s="17">
        <v>46078</v>
      </c>
      <c r="L19" s="10">
        <v>75</v>
      </c>
      <c r="M19" s="18">
        <f t="shared" si="0"/>
        <v>50</v>
      </c>
      <c r="N19" s="19">
        <f t="shared" si="1"/>
        <v>25</v>
      </c>
      <c r="O19" s="10" t="str">
        <f t="shared" si="2"/>
        <v>INCOMPLETE</v>
      </c>
      <c r="P19" s="10"/>
      <c r="Q19" s="10" t="str">
        <f t="shared" si="3"/>
        <v>OK</v>
      </c>
    </row>
    <row r="20" spans="1:17" x14ac:dyDescent="0.3">
      <c r="A20" s="29" t="s">
        <v>18</v>
      </c>
      <c r="B20" s="13" t="s">
        <v>34</v>
      </c>
      <c r="C20" s="13" t="s">
        <v>35</v>
      </c>
      <c r="D20" s="13" t="s">
        <v>282</v>
      </c>
      <c r="E20" s="13" t="s">
        <v>282</v>
      </c>
      <c r="F20" s="13" t="s">
        <v>335</v>
      </c>
      <c r="G20" s="13" t="s">
        <v>338</v>
      </c>
      <c r="H20" s="14">
        <v>20</v>
      </c>
      <c r="I20" s="15">
        <v>69</v>
      </c>
      <c r="J20" s="16">
        <f t="shared" si="4"/>
        <v>1380</v>
      </c>
      <c r="K20" s="17">
        <v>46078</v>
      </c>
      <c r="L20" s="10">
        <v>170</v>
      </c>
      <c r="M20" s="18">
        <f t="shared" si="0"/>
        <v>20</v>
      </c>
      <c r="N20" s="19">
        <f t="shared" si="1"/>
        <v>150</v>
      </c>
      <c r="O20" s="10" t="str">
        <f t="shared" si="2"/>
        <v>INCOMPLETE</v>
      </c>
      <c r="P20" s="10"/>
      <c r="Q20" s="10" t="str">
        <f t="shared" si="3"/>
        <v>OK</v>
      </c>
    </row>
    <row r="21" spans="1:17" x14ac:dyDescent="0.3">
      <c r="A21" s="29" t="s">
        <v>18</v>
      </c>
      <c r="B21" s="13" t="s">
        <v>34</v>
      </c>
      <c r="C21" s="13" t="s">
        <v>35</v>
      </c>
      <c r="D21" s="13" t="s">
        <v>282</v>
      </c>
      <c r="E21" s="13" t="s">
        <v>282</v>
      </c>
      <c r="F21" s="13" t="s">
        <v>336</v>
      </c>
      <c r="G21" s="13" t="s">
        <v>339</v>
      </c>
      <c r="H21" s="14">
        <v>40</v>
      </c>
      <c r="I21" s="15">
        <v>65</v>
      </c>
      <c r="J21" s="16">
        <f t="shared" si="4"/>
        <v>2600</v>
      </c>
      <c r="K21" s="17">
        <v>46078</v>
      </c>
      <c r="L21" s="10">
        <v>365</v>
      </c>
      <c r="M21" s="18">
        <f t="shared" si="0"/>
        <v>40</v>
      </c>
      <c r="N21" s="19">
        <f t="shared" si="1"/>
        <v>325</v>
      </c>
      <c r="O21" s="10" t="str">
        <f t="shared" si="2"/>
        <v>INCOMPLETE</v>
      </c>
      <c r="P21" s="10"/>
      <c r="Q21" s="10" t="str">
        <f t="shared" si="3"/>
        <v>OK</v>
      </c>
    </row>
    <row r="22" spans="1:17" x14ac:dyDescent="0.3">
      <c r="A22" s="29" t="s">
        <v>18</v>
      </c>
      <c r="B22" s="13" t="s">
        <v>34</v>
      </c>
      <c r="C22" s="13" t="s">
        <v>35</v>
      </c>
      <c r="D22" s="13" t="s">
        <v>377</v>
      </c>
      <c r="E22" s="13" t="s">
        <v>377</v>
      </c>
      <c r="F22" s="13" t="s">
        <v>385</v>
      </c>
      <c r="G22" s="13" t="s">
        <v>386</v>
      </c>
      <c r="H22" s="14">
        <v>190</v>
      </c>
      <c r="I22" s="15">
        <v>69</v>
      </c>
      <c r="J22" s="16">
        <f t="shared" si="4"/>
        <v>13110</v>
      </c>
      <c r="K22" s="17">
        <v>46087</v>
      </c>
      <c r="L22" s="10">
        <v>190</v>
      </c>
      <c r="M22" s="18">
        <f t="shared" si="0"/>
        <v>190</v>
      </c>
      <c r="N22" s="19">
        <f t="shared" si="1"/>
        <v>0</v>
      </c>
      <c r="O22" s="10" t="str">
        <f t="shared" si="2"/>
        <v>COMPLETE</v>
      </c>
      <c r="P22" s="10"/>
      <c r="Q22" s="10" t="str">
        <f t="shared" si="3"/>
        <v>OK</v>
      </c>
    </row>
    <row r="23" spans="1:17" x14ac:dyDescent="0.3">
      <c r="A23" s="29" t="s">
        <v>18</v>
      </c>
      <c r="B23" s="13" t="s">
        <v>34</v>
      </c>
      <c r="C23" s="13" t="s">
        <v>35</v>
      </c>
      <c r="D23" s="13" t="s">
        <v>377</v>
      </c>
      <c r="E23" s="13" t="s">
        <v>377</v>
      </c>
      <c r="F23" s="13" t="s">
        <v>334</v>
      </c>
      <c r="G23" s="13" t="s">
        <v>337</v>
      </c>
      <c r="H23" s="14">
        <v>25</v>
      </c>
      <c r="I23" s="15">
        <v>69</v>
      </c>
      <c r="J23" s="16">
        <f t="shared" si="4"/>
        <v>1725</v>
      </c>
      <c r="K23" s="17">
        <v>46087</v>
      </c>
      <c r="L23" s="10">
        <v>25</v>
      </c>
      <c r="M23" s="18">
        <f t="shared" si="0"/>
        <v>25</v>
      </c>
      <c r="N23" s="19">
        <f t="shared" si="1"/>
        <v>0</v>
      </c>
      <c r="O23" s="10" t="str">
        <f t="shared" si="2"/>
        <v>COMPLETE</v>
      </c>
      <c r="P23" s="10"/>
      <c r="Q23" s="10" t="str">
        <f t="shared" si="3"/>
        <v>OK</v>
      </c>
    </row>
    <row r="24" spans="1:17" x14ac:dyDescent="0.3">
      <c r="A24" s="29" t="s">
        <v>18</v>
      </c>
      <c r="B24" s="13" t="s">
        <v>34</v>
      </c>
      <c r="C24" s="13" t="s">
        <v>35</v>
      </c>
      <c r="D24" s="13" t="s">
        <v>397</v>
      </c>
      <c r="E24" s="13" t="s">
        <v>397</v>
      </c>
      <c r="F24" s="13" t="s">
        <v>335</v>
      </c>
      <c r="G24" s="13" t="s">
        <v>338</v>
      </c>
      <c r="H24" s="14">
        <v>26</v>
      </c>
      <c r="I24" s="15">
        <v>69</v>
      </c>
      <c r="J24" s="16">
        <f t="shared" si="4"/>
        <v>1794</v>
      </c>
      <c r="K24" s="17">
        <v>46089</v>
      </c>
      <c r="L24" s="10">
        <v>150</v>
      </c>
      <c r="M24" s="18">
        <f t="shared" si="0"/>
        <v>26</v>
      </c>
      <c r="N24" s="19">
        <f t="shared" si="1"/>
        <v>124</v>
      </c>
      <c r="O24" s="10" t="str">
        <f t="shared" si="2"/>
        <v>INCOMPLETE</v>
      </c>
      <c r="P24" s="10"/>
      <c r="Q24" s="10" t="str">
        <f t="shared" si="3"/>
        <v>OK</v>
      </c>
    </row>
    <row r="25" spans="1:17" x14ac:dyDescent="0.3">
      <c r="A25" s="29" t="s">
        <v>18</v>
      </c>
      <c r="B25" s="13" t="s">
        <v>34</v>
      </c>
      <c r="C25" s="13" t="s">
        <v>35</v>
      </c>
      <c r="D25" s="13" t="s">
        <v>397</v>
      </c>
      <c r="E25" s="13" t="s">
        <v>397</v>
      </c>
      <c r="F25" s="13" t="s">
        <v>336</v>
      </c>
      <c r="G25" s="13" t="s">
        <v>339</v>
      </c>
      <c r="H25" s="14">
        <v>19</v>
      </c>
      <c r="I25" s="15">
        <v>65</v>
      </c>
      <c r="J25" s="16">
        <f t="shared" si="4"/>
        <v>1235</v>
      </c>
      <c r="K25" s="17">
        <v>46089</v>
      </c>
      <c r="L25" s="10">
        <v>325</v>
      </c>
      <c r="M25" s="18">
        <f t="shared" si="0"/>
        <v>19</v>
      </c>
      <c r="N25" s="19">
        <f t="shared" si="1"/>
        <v>306</v>
      </c>
      <c r="O25" s="10" t="str">
        <f t="shared" si="2"/>
        <v>INCOMPLETE</v>
      </c>
      <c r="P25" s="10"/>
      <c r="Q25" s="10" t="str">
        <f t="shared" si="3"/>
        <v>OK</v>
      </c>
    </row>
    <row r="26" spans="1:17" x14ac:dyDescent="0.3">
      <c r="A26" s="29">
        <v>2</v>
      </c>
      <c r="B26" s="13" t="s">
        <v>34</v>
      </c>
      <c r="C26" s="13" t="s">
        <v>35</v>
      </c>
      <c r="D26" s="13" t="s">
        <v>609</v>
      </c>
      <c r="E26" s="13" t="s">
        <v>609</v>
      </c>
      <c r="F26" s="13" t="s">
        <v>335</v>
      </c>
      <c r="G26" s="13" t="s">
        <v>338</v>
      </c>
      <c r="H26" s="14">
        <v>80</v>
      </c>
      <c r="I26" s="15">
        <v>69</v>
      </c>
      <c r="J26" s="16">
        <f t="shared" si="4"/>
        <v>5520</v>
      </c>
      <c r="K26" s="17">
        <v>46142</v>
      </c>
      <c r="L26" s="10">
        <v>124</v>
      </c>
      <c r="M26" s="18">
        <f t="shared" si="0"/>
        <v>80</v>
      </c>
      <c r="N26" s="19">
        <f t="shared" si="1"/>
        <v>44</v>
      </c>
      <c r="O26" s="10" t="str">
        <f t="shared" si="2"/>
        <v>INCOMPLETE</v>
      </c>
      <c r="P26" s="10"/>
      <c r="Q26" s="10" t="str">
        <f t="shared" si="3"/>
        <v>OK</v>
      </c>
    </row>
    <row r="27" spans="1:17" x14ac:dyDescent="0.3">
      <c r="A27" s="29">
        <v>2</v>
      </c>
      <c r="B27" s="13" t="s">
        <v>34</v>
      </c>
      <c r="C27" s="13" t="s">
        <v>35</v>
      </c>
      <c r="D27" s="13" t="s">
        <v>634</v>
      </c>
      <c r="E27" s="13" t="s">
        <v>634</v>
      </c>
      <c r="F27" s="13" t="s">
        <v>335</v>
      </c>
      <c r="G27" s="13" t="s">
        <v>338</v>
      </c>
      <c r="H27" s="14">
        <v>20</v>
      </c>
      <c r="I27" s="15">
        <v>69</v>
      </c>
      <c r="J27" s="16">
        <f t="shared" si="4"/>
        <v>1380</v>
      </c>
      <c r="K27" s="17">
        <v>46150</v>
      </c>
      <c r="L27" s="10">
        <v>44</v>
      </c>
      <c r="M27" s="18">
        <f t="shared" si="0"/>
        <v>20</v>
      </c>
      <c r="N27" s="19">
        <f t="shared" si="1"/>
        <v>24</v>
      </c>
      <c r="O27" s="10" t="str">
        <f t="shared" si="2"/>
        <v>INCOMPLETE</v>
      </c>
      <c r="P27" s="10"/>
      <c r="Q27" s="10" t="str">
        <f t="shared" si="3"/>
        <v>OK</v>
      </c>
    </row>
    <row r="28" spans="1:17" x14ac:dyDescent="0.3">
      <c r="A28" s="29">
        <v>2</v>
      </c>
      <c r="B28" s="13" t="s">
        <v>34</v>
      </c>
      <c r="C28" s="13" t="s">
        <v>35</v>
      </c>
      <c r="D28" s="13" t="s">
        <v>660</v>
      </c>
      <c r="E28" s="13" t="s">
        <v>660</v>
      </c>
      <c r="F28" s="13" t="s">
        <v>335</v>
      </c>
      <c r="G28" s="13" t="s">
        <v>338</v>
      </c>
      <c r="H28" s="14">
        <v>20</v>
      </c>
      <c r="I28" s="15">
        <v>69</v>
      </c>
      <c r="J28" s="16">
        <f t="shared" si="4"/>
        <v>1380</v>
      </c>
      <c r="K28" s="17">
        <v>46157</v>
      </c>
      <c r="L28" s="10">
        <v>24</v>
      </c>
      <c r="M28" s="18">
        <f t="shared" si="0"/>
        <v>20</v>
      </c>
      <c r="N28" s="19">
        <f t="shared" si="1"/>
        <v>4</v>
      </c>
      <c r="O28" s="10" t="str">
        <f t="shared" si="2"/>
        <v>INCOMPLETE</v>
      </c>
      <c r="P28" s="10"/>
      <c r="Q28" s="10" t="str">
        <f t="shared" si="3"/>
        <v>OK</v>
      </c>
    </row>
    <row r="29" spans="1:17" x14ac:dyDescent="0.3">
      <c r="A29" s="29">
        <v>2</v>
      </c>
      <c r="B29" s="13" t="s">
        <v>34</v>
      </c>
      <c r="C29" s="13" t="s">
        <v>35</v>
      </c>
      <c r="D29" s="13" t="s">
        <v>660</v>
      </c>
      <c r="E29" s="13" t="s">
        <v>660</v>
      </c>
      <c r="F29" s="13" t="s">
        <v>336</v>
      </c>
      <c r="G29" s="13" t="s">
        <v>339</v>
      </c>
      <c r="H29" s="14">
        <v>15</v>
      </c>
      <c r="I29" s="15">
        <v>65</v>
      </c>
      <c r="J29" s="16">
        <f t="shared" si="4"/>
        <v>975</v>
      </c>
      <c r="K29" s="17">
        <v>46157</v>
      </c>
      <c r="L29" s="10">
        <v>306</v>
      </c>
      <c r="M29" s="18">
        <f t="shared" si="0"/>
        <v>15</v>
      </c>
      <c r="N29" s="19">
        <f t="shared" si="1"/>
        <v>291</v>
      </c>
      <c r="O29" s="10" t="str">
        <f t="shared" si="2"/>
        <v>INCOMPLETE</v>
      </c>
      <c r="P29" s="10"/>
      <c r="Q29" s="10" t="str">
        <f t="shared" si="3"/>
        <v>OK</v>
      </c>
    </row>
    <row r="30" spans="1:17" x14ac:dyDescent="0.3">
      <c r="A30" s="29">
        <v>2</v>
      </c>
      <c r="B30" s="13" t="s">
        <v>34</v>
      </c>
      <c r="C30" s="13" t="s">
        <v>35</v>
      </c>
      <c r="D30" s="13" t="s">
        <v>668</v>
      </c>
      <c r="E30" s="13" t="s">
        <v>668</v>
      </c>
      <c r="F30" s="13" t="s">
        <v>335</v>
      </c>
      <c r="G30" s="13" t="s">
        <v>338</v>
      </c>
      <c r="H30" s="14">
        <v>4</v>
      </c>
      <c r="I30" s="15">
        <v>69</v>
      </c>
      <c r="J30" s="16">
        <f t="shared" si="4"/>
        <v>276</v>
      </c>
      <c r="K30" s="17">
        <v>46160</v>
      </c>
      <c r="L30" s="10">
        <v>4</v>
      </c>
      <c r="M30" s="18">
        <f t="shared" si="0"/>
        <v>4</v>
      </c>
      <c r="N30" s="19">
        <f t="shared" si="1"/>
        <v>0</v>
      </c>
      <c r="O30" s="10" t="str">
        <f t="shared" si="2"/>
        <v>COMPLETE</v>
      </c>
      <c r="P30" s="10"/>
      <c r="Q30" s="10" t="str">
        <f t="shared" si="3"/>
        <v>OK</v>
      </c>
    </row>
    <row r="31" spans="1:17" x14ac:dyDescent="0.3">
      <c r="A31" s="9" t="s">
        <v>38</v>
      </c>
      <c r="B31" s="13" t="s">
        <v>50</v>
      </c>
      <c r="C31" s="13" t="s">
        <v>55</v>
      </c>
      <c r="D31" s="13" t="s">
        <v>39</v>
      </c>
      <c r="E31" s="13" t="s">
        <v>39</v>
      </c>
      <c r="F31" s="13" t="s">
        <v>30</v>
      </c>
      <c r="G31" s="13" t="s">
        <v>31</v>
      </c>
      <c r="H31" s="14">
        <v>20</v>
      </c>
      <c r="I31" s="15">
        <v>108</v>
      </c>
      <c r="J31" s="16">
        <f t="shared" si="4"/>
        <v>2160</v>
      </c>
      <c r="K31" s="17">
        <v>46027</v>
      </c>
      <c r="L31" s="10">
        <v>80</v>
      </c>
      <c r="M31" s="18">
        <f t="shared" si="0"/>
        <v>20</v>
      </c>
      <c r="N31" s="19">
        <f t="shared" si="1"/>
        <v>60</v>
      </c>
      <c r="O31" s="10" t="str">
        <f t="shared" si="2"/>
        <v>INCOMPLETE</v>
      </c>
      <c r="P31" s="10"/>
      <c r="Q31" s="10" t="str">
        <f t="shared" si="3"/>
        <v>OK</v>
      </c>
    </row>
    <row r="32" spans="1:17" x14ac:dyDescent="0.3">
      <c r="A32" s="9" t="s">
        <v>38</v>
      </c>
      <c r="B32" s="13" t="s">
        <v>50</v>
      </c>
      <c r="C32" s="13" t="s">
        <v>55</v>
      </c>
      <c r="D32" s="13" t="s">
        <v>47</v>
      </c>
      <c r="E32" s="13" t="s">
        <v>47</v>
      </c>
      <c r="F32" s="13" t="s">
        <v>30</v>
      </c>
      <c r="G32" s="13" t="s">
        <v>31</v>
      </c>
      <c r="H32" s="14">
        <v>20</v>
      </c>
      <c r="I32" s="15">
        <v>108</v>
      </c>
      <c r="J32" s="16">
        <f t="shared" si="4"/>
        <v>2160</v>
      </c>
      <c r="K32" s="17">
        <v>46028</v>
      </c>
      <c r="L32" s="10">
        <v>60</v>
      </c>
      <c r="M32" s="18">
        <f t="shared" si="0"/>
        <v>20</v>
      </c>
      <c r="N32" s="19">
        <f t="shared" si="1"/>
        <v>40</v>
      </c>
      <c r="O32" s="10" t="str">
        <f t="shared" si="2"/>
        <v>INCOMPLETE</v>
      </c>
      <c r="P32" s="10"/>
      <c r="Q32" s="10" t="str">
        <f t="shared" si="3"/>
        <v>OK</v>
      </c>
    </row>
    <row r="33" spans="1:17" x14ac:dyDescent="0.3">
      <c r="A33" s="9" t="s">
        <v>38</v>
      </c>
      <c r="B33" s="13" t="s">
        <v>50</v>
      </c>
      <c r="C33" s="13" t="s">
        <v>55</v>
      </c>
      <c r="D33" s="13" t="s">
        <v>259</v>
      </c>
      <c r="E33" s="13" t="s">
        <v>259</v>
      </c>
      <c r="F33" s="13" t="s">
        <v>30</v>
      </c>
      <c r="G33" s="13" t="s">
        <v>31</v>
      </c>
      <c r="H33" s="14">
        <v>40</v>
      </c>
      <c r="I33" s="15">
        <v>108</v>
      </c>
      <c r="J33" s="16">
        <f t="shared" si="4"/>
        <v>4320</v>
      </c>
      <c r="K33" s="17">
        <v>46059</v>
      </c>
      <c r="L33" s="10">
        <v>40</v>
      </c>
      <c r="M33" s="18">
        <f t="shared" si="0"/>
        <v>40</v>
      </c>
      <c r="N33" s="19">
        <f t="shared" si="1"/>
        <v>0</v>
      </c>
      <c r="O33" s="10" t="str">
        <f t="shared" si="2"/>
        <v>COMPLETE</v>
      </c>
      <c r="P33" s="10"/>
      <c r="Q33" s="10" t="str">
        <f t="shared" si="3"/>
        <v>OK</v>
      </c>
    </row>
    <row r="34" spans="1:17" x14ac:dyDescent="0.3">
      <c r="A34" s="10" t="s">
        <v>54</v>
      </c>
      <c r="B34" s="13" t="s">
        <v>63</v>
      </c>
      <c r="C34" s="13" t="s">
        <v>64</v>
      </c>
      <c r="D34" s="13" t="s">
        <v>21</v>
      </c>
      <c r="E34" s="13" t="s">
        <v>21</v>
      </c>
      <c r="F34" s="13" t="s">
        <v>65</v>
      </c>
      <c r="G34" s="13" t="s">
        <v>66</v>
      </c>
      <c r="H34" s="14">
        <v>20</v>
      </c>
      <c r="I34" s="15">
        <v>90</v>
      </c>
      <c r="J34" s="16">
        <f t="shared" si="4"/>
        <v>1800</v>
      </c>
      <c r="K34" s="17">
        <v>46027</v>
      </c>
      <c r="L34" s="10">
        <v>20</v>
      </c>
      <c r="M34" s="18">
        <f t="shared" si="0"/>
        <v>20</v>
      </c>
      <c r="N34" s="19">
        <f t="shared" si="1"/>
        <v>0</v>
      </c>
      <c r="O34" s="10" t="str">
        <f t="shared" si="2"/>
        <v>COMPLETE</v>
      </c>
      <c r="P34" s="10"/>
      <c r="Q34" s="10" t="str">
        <f t="shared" si="3"/>
        <v>OK</v>
      </c>
    </row>
    <row r="35" spans="1:17" x14ac:dyDescent="0.3">
      <c r="A35" s="10" t="s">
        <v>69</v>
      </c>
      <c r="B35" s="13" t="s">
        <v>50</v>
      </c>
      <c r="C35" s="13" t="s">
        <v>97</v>
      </c>
      <c r="D35" s="13" t="s">
        <v>98</v>
      </c>
      <c r="E35" s="13" t="s">
        <v>98</v>
      </c>
      <c r="F35" s="13" t="s">
        <v>99</v>
      </c>
      <c r="G35" s="13" t="s">
        <v>100</v>
      </c>
      <c r="H35" s="14">
        <v>20</v>
      </c>
      <c r="I35" s="15">
        <v>115</v>
      </c>
      <c r="J35" s="16">
        <f t="shared" si="4"/>
        <v>2300</v>
      </c>
      <c r="K35" s="17">
        <v>46028</v>
      </c>
      <c r="L35" s="10">
        <v>20</v>
      </c>
      <c r="M35" s="18">
        <f t="shared" si="0"/>
        <v>20</v>
      </c>
      <c r="N35" s="19">
        <f t="shared" si="1"/>
        <v>0</v>
      </c>
      <c r="O35" s="10" t="str">
        <f t="shared" si="2"/>
        <v>COMPLETE</v>
      </c>
      <c r="P35" s="10"/>
      <c r="Q35" s="10" t="str">
        <f t="shared" si="3"/>
        <v>OK</v>
      </c>
    </row>
    <row r="36" spans="1:17" x14ac:dyDescent="0.3">
      <c r="A36" s="30" t="s">
        <v>72</v>
      </c>
      <c r="B36" s="13" t="s">
        <v>73</v>
      </c>
      <c r="C36" s="13" t="s">
        <v>124</v>
      </c>
      <c r="D36" s="13" t="s">
        <v>39</v>
      </c>
      <c r="E36" s="13" t="s">
        <v>39</v>
      </c>
      <c r="F36" s="13" t="s">
        <v>125</v>
      </c>
      <c r="G36" s="13" t="s">
        <v>126</v>
      </c>
      <c r="H36" s="14">
        <v>55</v>
      </c>
      <c r="I36" s="15">
        <v>95</v>
      </c>
      <c r="J36" s="16">
        <f t="shared" si="4"/>
        <v>5225</v>
      </c>
      <c r="K36" s="17">
        <v>46031</v>
      </c>
      <c r="L36" s="10">
        <v>55</v>
      </c>
      <c r="M36" s="18">
        <f t="shared" si="0"/>
        <v>55</v>
      </c>
      <c r="N36" s="19">
        <f t="shared" si="1"/>
        <v>0</v>
      </c>
      <c r="O36" s="10" t="str">
        <f t="shared" si="2"/>
        <v>COMPLETE</v>
      </c>
      <c r="P36" s="10"/>
      <c r="Q36" s="10" t="str">
        <f t="shared" si="3"/>
        <v>OK</v>
      </c>
    </row>
    <row r="37" spans="1:17" x14ac:dyDescent="0.3">
      <c r="A37" s="30" t="s">
        <v>72</v>
      </c>
      <c r="B37" s="13" t="s">
        <v>73</v>
      </c>
      <c r="C37" s="13" t="s">
        <v>124</v>
      </c>
      <c r="D37" s="13" t="s">
        <v>39</v>
      </c>
      <c r="E37" s="13" t="s">
        <v>39</v>
      </c>
      <c r="F37" s="13" t="s">
        <v>40</v>
      </c>
      <c r="G37" s="13" t="s">
        <v>41</v>
      </c>
      <c r="H37" s="14">
        <v>55</v>
      </c>
      <c r="I37" s="15">
        <v>95</v>
      </c>
      <c r="J37" s="16">
        <f t="shared" si="4"/>
        <v>5225</v>
      </c>
      <c r="K37" s="17">
        <v>46031</v>
      </c>
      <c r="L37" s="10">
        <v>55</v>
      </c>
      <c r="M37" s="18">
        <f t="shared" si="0"/>
        <v>55</v>
      </c>
      <c r="N37" s="19">
        <f t="shared" si="1"/>
        <v>0</v>
      </c>
      <c r="O37" s="10" t="str">
        <f t="shared" si="2"/>
        <v>COMPLETE</v>
      </c>
      <c r="P37" s="10"/>
      <c r="Q37" s="10" t="str">
        <f t="shared" si="3"/>
        <v>OK</v>
      </c>
    </row>
    <row r="38" spans="1:17" x14ac:dyDescent="0.3">
      <c r="A38" s="31" t="s">
        <v>85</v>
      </c>
      <c r="B38" s="13" t="s">
        <v>130</v>
      </c>
      <c r="C38" s="13" t="s">
        <v>129</v>
      </c>
      <c r="D38" s="13" t="s">
        <v>21</v>
      </c>
      <c r="E38" s="13" t="s">
        <v>21</v>
      </c>
      <c r="F38" s="13" t="s">
        <v>40</v>
      </c>
      <c r="G38" s="13" t="s">
        <v>41</v>
      </c>
      <c r="H38" s="14">
        <v>8</v>
      </c>
      <c r="I38" s="15">
        <v>73</v>
      </c>
      <c r="J38" s="16">
        <f t="shared" si="4"/>
        <v>584</v>
      </c>
      <c r="K38" s="17">
        <v>46031</v>
      </c>
      <c r="L38" s="10">
        <v>8</v>
      </c>
      <c r="M38" s="18">
        <f t="shared" si="0"/>
        <v>8</v>
      </c>
      <c r="N38" s="19">
        <f t="shared" si="1"/>
        <v>0</v>
      </c>
      <c r="O38" s="10" t="str">
        <f t="shared" si="2"/>
        <v>COMPLETE</v>
      </c>
      <c r="P38" s="10"/>
      <c r="Q38" s="10" t="str">
        <f t="shared" si="3"/>
        <v>OK</v>
      </c>
    </row>
    <row r="39" spans="1:17" x14ac:dyDescent="0.3">
      <c r="A39" s="31" t="s">
        <v>85</v>
      </c>
      <c r="B39" s="13" t="s">
        <v>130</v>
      </c>
      <c r="C39" s="13" t="s">
        <v>129</v>
      </c>
      <c r="D39" s="13" t="s">
        <v>21</v>
      </c>
      <c r="E39" s="13" t="s">
        <v>21</v>
      </c>
      <c r="F39" s="13" t="s">
        <v>65</v>
      </c>
      <c r="G39" s="13" t="s">
        <v>66</v>
      </c>
      <c r="H39" s="14">
        <v>6</v>
      </c>
      <c r="I39" s="15">
        <v>73</v>
      </c>
      <c r="J39" s="16">
        <f t="shared" si="4"/>
        <v>438</v>
      </c>
      <c r="K39" s="17">
        <v>46031</v>
      </c>
      <c r="L39" s="10">
        <v>6</v>
      </c>
      <c r="M39" s="18">
        <f t="shared" si="0"/>
        <v>6</v>
      </c>
      <c r="N39" s="19">
        <f t="shared" si="1"/>
        <v>0</v>
      </c>
      <c r="O39" s="10" t="str">
        <f t="shared" si="2"/>
        <v>COMPLETE</v>
      </c>
      <c r="P39" s="10"/>
      <c r="Q39" s="10" t="str">
        <f t="shared" si="3"/>
        <v>OK</v>
      </c>
    </row>
    <row r="40" spans="1:17" x14ac:dyDescent="0.3">
      <c r="A40" s="32" t="s">
        <v>88</v>
      </c>
      <c r="B40" s="13" t="s">
        <v>70</v>
      </c>
      <c r="C40" s="13" t="s">
        <v>174</v>
      </c>
      <c r="D40" s="13" t="s">
        <v>43</v>
      </c>
      <c r="E40" s="13" t="s">
        <v>43</v>
      </c>
      <c r="F40" s="13" t="s">
        <v>30</v>
      </c>
      <c r="G40" s="13" t="s">
        <v>31</v>
      </c>
      <c r="H40" s="14">
        <v>10</v>
      </c>
      <c r="I40" s="15">
        <v>100</v>
      </c>
      <c r="J40" s="16">
        <f t="shared" si="4"/>
        <v>1000</v>
      </c>
      <c r="K40" s="17">
        <v>46041</v>
      </c>
      <c r="L40" s="10">
        <v>10</v>
      </c>
      <c r="M40" s="18">
        <f t="shared" si="0"/>
        <v>10</v>
      </c>
      <c r="N40" s="19">
        <f t="shared" si="1"/>
        <v>0</v>
      </c>
      <c r="O40" s="10" t="str">
        <f t="shared" si="2"/>
        <v>COMPLETE</v>
      </c>
      <c r="P40" s="10"/>
      <c r="Q40" s="10" t="str">
        <f t="shared" si="3"/>
        <v>OK</v>
      </c>
    </row>
    <row r="41" spans="1:17" x14ac:dyDescent="0.3">
      <c r="A41" s="32" t="s">
        <v>88</v>
      </c>
      <c r="B41" s="13" t="s">
        <v>70</v>
      </c>
      <c r="C41" s="13" t="s">
        <v>174</v>
      </c>
      <c r="D41" s="13" t="s">
        <v>43</v>
      </c>
      <c r="E41" s="13" t="s">
        <v>43</v>
      </c>
      <c r="F41" s="13" t="s">
        <v>36</v>
      </c>
      <c r="G41" s="13" t="s">
        <v>37</v>
      </c>
      <c r="H41" s="14">
        <v>10</v>
      </c>
      <c r="I41" s="15">
        <v>100</v>
      </c>
      <c r="J41" s="16">
        <f t="shared" si="4"/>
        <v>1000</v>
      </c>
      <c r="K41" s="17">
        <v>46041</v>
      </c>
      <c r="L41" s="10">
        <v>10</v>
      </c>
      <c r="M41" s="18">
        <f t="shared" si="0"/>
        <v>10</v>
      </c>
      <c r="N41" s="19">
        <f t="shared" si="1"/>
        <v>0</v>
      </c>
      <c r="O41" s="10" t="str">
        <f t="shared" si="2"/>
        <v>COMPLETE</v>
      </c>
      <c r="P41" s="10"/>
      <c r="Q41" s="10" t="str">
        <f t="shared" si="3"/>
        <v>OK</v>
      </c>
    </row>
    <row r="42" spans="1:17" x14ac:dyDescent="0.3">
      <c r="A42" s="32" t="s">
        <v>88</v>
      </c>
      <c r="B42" s="13" t="s">
        <v>70</v>
      </c>
      <c r="C42" s="13" t="s">
        <v>174</v>
      </c>
      <c r="D42" s="13" t="s">
        <v>43</v>
      </c>
      <c r="E42" s="13" t="s">
        <v>43</v>
      </c>
      <c r="F42" s="13" t="s">
        <v>99</v>
      </c>
      <c r="G42" s="13" t="s">
        <v>100</v>
      </c>
      <c r="H42" s="14">
        <v>10</v>
      </c>
      <c r="I42" s="15">
        <v>100</v>
      </c>
      <c r="J42" s="16">
        <f t="shared" si="4"/>
        <v>1000</v>
      </c>
      <c r="K42" s="17">
        <v>46041</v>
      </c>
      <c r="L42" s="10">
        <v>10</v>
      </c>
      <c r="M42" s="18">
        <f t="shared" si="0"/>
        <v>10</v>
      </c>
      <c r="N42" s="19">
        <f t="shared" si="1"/>
        <v>0</v>
      </c>
      <c r="O42" s="10" t="str">
        <f t="shared" si="2"/>
        <v>COMPLETE</v>
      </c>
      <c r="P42" s="10"/>
      <c r="Q42" s="10" t="str">
        <f t="shared" si="3"/>
        <v>OK</v>
      </c>
    </row>
    <row r="43" spans="1:17" x14ac:dyDescent="0.3">
      <c r="A43" s="33" t="s">
        <v>90</v>
      </c>
      <c r="B43" s="13" t="s">
        <v>328</v>
      </c>
      <c r="C43" s="13" t="s">
        <v>176</v>
      </c>
      <c r="D43" s="13" t="s">
        <v>21</v>
      </c>
      <c r="E43" s="13" t="s">
        <v>21</v>
      </c>
      <c r="F43" s="13" t="s">
        <v>125</v>
      </c>
      <c r="G43" s="13" t="s">
        <v>126</v>
      </c>
      <c r="H43" s="14">
        <v>5</v>
      </c>
      <c r="I43" s="15">
        <v>90</v>
      </c>
      <c r="J43" s="16">
        <f t="shared" si="4"/>
        <v>450</v>
      </c>
      <c r="K43" s="17">
        <v>46041</v>
      </c>
      <c r="L43" s="14">
        <v>5</v>
      </c>
      <c r="M43" s="18">
        <f t="shared" si="0"/>
        <v>5</v>
      </c>
      <c r="N43" s="19">
        <f t="shared" si="1"/>
        <v>0</v>
      </c>
      <c r="O43" s="10" t="str">
        <f t="shared" si="2"/>
        <v>COMPLETE</v>
      </c>
      <c r="P43" s="10"/>
      <c r="Q43" s="10" t="str">
        <f t="shared" si="3"/>
        <v>OK</v>
      </c>
    </row>
    <row r="44" spans="1:17" x14ac:dyDescent="0.3">
      <c r="A44" s="33" t="s">
        <v>90</v>
      </c>
      <c r="B44" s="13" t="s">
        <v>328</v>
      </c>
      <c r="C44" s="13" t="s">
        <v>176</v>
      </c>
      <c r="D44" s="13" t="s">
        <v>21</v>
      </c>
      <c r="E44" s="13" t="s">
        <v>21</v>
      </c>
      <c r="F44" s="13" t="s">
        <v>40</v>
      </c>
      <c r="G44" s="13" t="s">
        <v>41</v>
      </c>
      <c r="H44" s="14">
        <v>10</v>
      </c>
      <c r="I44" s="15">
        <v>90</v>
      </c>
      <c r="J44" s="16">
        <f t="shared" si="4"/>
        <v>900</v>
      </c>
      <c r="K44" s="17">
        <v>46041</v>
      </c>
      <c r="L44" s="14">
        <v>10</v>
      </c>
      <c r="M44" s="18">
        <f t="shared" si="0"/>
        <v>10</v>
      </c>
      <c r="N44" s="19">
        <f t="shared" si="1"/>
        <v>0</v>
      </c>
      <c r="O44" s="10" t="str">
        <f t="shared" si="2"/>
        <v>COMPLETE</v>
      </c>
      <c r="P44" s="10"/>
      <c r="Q44" s="10" t="str">
        <f t="shared" si="3"/>
        <v>OK</v>
      </c>
    </row>
    <row r="45" spans="1:17" x14ac:dyDescent="0.3">
      <c r="A45" s="34" t="s">
        <v>108</v>
      </c>
      <c r="B45" s="13" t="s">
        <v>50</v>
      </c>
      <c r="C45" s="13" t="s">
        <v>190</v>
      </c>
      <c r="D45" s="13" t="s">
        <v>165</v>
      </c>
      <c r="E45" s="13" t="s">
        <v>165</v>
      </c>
      <c r="F45" s="13" t="s">
        <v>36</v>
      </c>
      <c r="G45" s="13" t="s">
        <v>37</v>
      </c>
      <c r="H45" s="14">
        <v>10</v>
      </c>
      <c r="I45" s="15">
        <v>115</v>
      </c>
      <c r="J45" s="16">
        <f t="shared" si="4"/>
        <v>1150</v>
      </c>
      <c r="K45" s="17">
        <v>46043</v>
      </c>
      <c r="L45" s="10">
        <v>30</v>
      </c>
      <c r="M45" s="18">
        <f t="shared" si="0"/>
        <v>10</v>
      </c>
      <c r="N45" s="19">
        <f t="shared" si="1"/>
        <v>20</v>
      </c>
      <c r="O45" s="10" t="str">
        <f t="shared" si="2"/>
        <v>INCOMPLETE</v>
      </c>
      <c r="P45" s="10"/>
      <c r="Q45" s="10" t="str">
        <f t="shared" si="3"/>
        <v>OK</v>
      </c>
    </row>
    <row r="46" spans="1:17" x14ac:dyDescent="0.3">
      <c r="A46" s="34" t="s">
        <v>108</v>
      </c>
      <c r="B46" s="13" t="s">
        <v>50</v>
      </c>
      <c r="C46" s="13" t="s">
        <v>190</v>
      </c>
      <c r="D46" s="13" t="s">
        <v>269</v>
      </c>
      <c r="E46" s="13" t="s">
        <v>269</v>
      </c>
      <c r="F46" s="13" t="s">
        <v>36</v>
      </c>
      <c r="G46" s="13" t="s">
        <v>37</v>
      </c>
      <c r="H46" s="14">
        <v>10</v>
      </c>
      <c r="I46" s="15">
        <v>115</v>
      </c>
      <c r="J46" s="16">
        <f t="shared" si="4"/>
        <v>1150</v>
      </c>
      <c r="K46" s="17">
        <v>46059</v>
      </c>
      <c r="L46" s="10">
        <v>20</v>
      </c>
      <c r="M46" s="18">
        <f t="shared" si="0"/>
        <v>10</v>
      </c>
      <c r="N46" s="19">
        <f t="shared" si="1"/>
        <v>10</v>
      </c>
      <c r="O46" s="10" t="str">
        <f t="shared" si="2"/>
        <v>INCOMPLETE</v>
      </c>
      <c r="P46" s="10"/>
      <c r="Q46" s="10" t="str">
        <f t="shared" si="3"/>
        <v>OK</v>
      </c>
    </row>
    <row r="47" spans="1:17" x14ac:dyDescent="0.3">
      <c r="A47" s="35" t="s">
        <v>115</v>
      </c>
      <c r="B47" s="13" t="s">
        <v>218</v>
      </c>
      <c r="C47" s="13" t="s">
        <v>219</v>
      </c>
      <c r="D47" s="13" t="s">
        <v>21</v>
      </c>
      <c r="E47" s="13" t="s">
        <v>21</v>
      </c>
      <c r="F47" s="13" t="s">
        <v>99</v>
      </c>
      <c r="G47" s="13" t="s">
        <v>100</v>
      </c>
      <c r="H47" s="14">
        <v>30</v>
      </c>
      <c r="I47" s="15">
        <v>85</v>
      </c>
      <c r="J47" s="16">
        <f t="shared" si="4"/>
        <v>2550</v>
      </c>
      <c r="K47" s="17">
        <v>46049</v>
      </c>
      <c r="L47" s="14">
        <v>150</v>
      </c>
      <c r="M47" s="18">
        <f t="shared" si="0"/>
        <v>30</v>
      </c>
      <c r="N47" s="19">
        <f t="shared" si="1"/>
        <v>120</v>
      </c>
      <c r="O47" s="10" t="str">
        <f t="shared" si="2"/>
        <v>INCOMPLETE</v>
      </c>
      <c r="P47" s="10"/>
      <c r="Q47" s="10" t="str">
        <f t="shared" si="3"/>
        <v>OK</v>
      </c>
    </row>
    <row r="48" spans="1:17" x14ac:dyDescent="0.3">
      <c r="A48" s="35" t="s">
        <v>115</v>
      </c>
      <c r="B48" s="13" t="s">
        <v>218</v>
      </c>
      <c r="C48" s="13" t="s">
        <v>219</v>
      </c>
      <c r="D48" s="13" t="s">
        <v>21</v>
      </c>
      <c r="E48" s="13" t="s">
        <v>21</v>
      </c>
      <c r="F48" s="13" t="s">
        <v>30</v>
      </c>
      <c r="G48" s="13" t="s">
        <v>31</v>
      </c>
      <c r="H48" s="14">
        <v>70</v>
      </c>
      <c r="I48" s="15">
        <v>85</v>
      </c>
      <c r="J48" s="16">
        <f t="shared" si="4"/>
        <v>5950</v>
      </c>
      <c r="K48" s="17">
        <v>46049</v>
      </c>
      <c r="L48" s="14">
        <v>400</v>
      </c>
      <c r="M48" s="18">
        <f t="shared" si="0"/>
        <v>70</v>
      </c>
      <c r="N48" s="19">
        <f t="shared" si="1"/>
        <v>330</v>
      </c>
      <c r="O48" s="10" t="str">
        <f t="shared" si="2"/>
        <v>INCOMPLETE</v>
      </c>
      <c r="P48" s="10"/>
      <c r="Q48" s="10" t="str">
        <f t="shared" si="3"/>
        <v>OK</v>
      </c>
    </row>
    <row r="49" spans="1:17" x14ac:dyDescent="0.3">
      <c r="A49" s="35" t="s">
        <v>115</v>
      </c>
      <c r="B49" s="13" t="s">
        <v>218</v>
      </c>
      <c r="C49" s="13" t="s">
        <v>219</v>
      </c>
      <c r="D49" s="13" t="s">
        <v>21</v>
      </c>
      <c r="E49" s="13" t="s">
        <v>21</v>
      </c>
      <c r="F49" s="13" t="s">
        <v>36</v>
      </c>
      <c r="G49" s="13" t="s">
        <v>37</v>
      </c>
      <c r="H49" s="14">
        <v>70</v>
      </c>
      <c r="I49" s="15">
        <v>85</v>
      </c>
      <c r="J49" s="16">
        <f t="shared" si="4"/>
        <v>5950</v>
      </c>
      <c r="K49" s="17">
        <v>46049</v>
      </c>
      <c r="L49" s="14">
        <v>400</v>
      </c>
      <c r="M49" s="18">
        <f t="shared" si="0"/>
        <v>70</v>
      </c>
      <c r="N49" s="19">
        <f t="shared" si="1"/>
        <v>330</v>
      </c>
      <c r="O49" s="10" t="str">
        <f t="shared" si="2"/>
        <v>INCOMPLETE</v>
      </c>
      <c r="P49" s="10"/>
      <c r="Q49" s="10" t="str">
        <f t="shared" si="3"/>
        <v>OK</v>
      </c>
    </row>
    <row r="50" spans="1:17" x14ac:dyDescent="0.3">
      <c r="A50" s="35" t="s">
        <v>115</v>
      </c>
      <c r="B50" s="13" t="s">
        <v>218</v>
      </c>
      <c r="C50" s="13" t="s">
        <v>219</v>
      </c>
      <c r="D50" s="13" t="s">
        <v>21</v>
      </c>
      <c r="E50" s="13" t="s">
        <v>21</v>
      </c>
      <c r="F50" s="13" t="s">
        <v>125</v>
      </c>
      <c r="G50" s="13" t="s">
        <v>126</v>
      </c>
      <c r="H50" s="14">
        <v>10</v>
      </c>
      <c r="I50" s="15">
        <v>80</v>
      </c>
      <c r="J50" s="16">
        <f t="shared" si="4"/>
        <v>800</v>
      </c>
      <c r="K50" s="17">
        <v>46049</v>
      </c>
      <c r="L50" s="14">
        <v>100</v>
      </c>
      <c r="M50" s="18">
        <f t="shared" si="0"/>
        <v>10</v>
      </c>
      <c r="N50" s="19">
        <f t="shared" si="1"/>
        <v>90</v>
      </c>
      <c r="O50" s="10" t="str">
        <f t="shared" si="2"/>
        <v>INCOMPLETE</v>
      </c>
      <c r="P50" s="10"/>
      <c r="Q50" s="10" t="str">
        <f t="shared" si="3"/>
        <v>OK</v>
      </c>
    </row>
    <row r="51" spans="1:17" x14ac:dyDescent="0.3">
      <c r="A51" s="35" t="s">
        <v>115</v>
      </c>
      <c r="B51" s="13" t="s">
        <v>218</v>
      </c>
      <c r="C51" s="13" t="s">
        <v>219</v>
      </c>
      <c r="D51" s="13" t="s">
        <v>21</v>
      </c>
      <c r="E51" s="13" t="s">
        <v>21</v>
      </c>
      <c r="F51" s="13" t="s">
        <v>40</v>
      </c>
      <c r="G51" s="13" t="s">
        <v>41</v>
      </c>
      <c r="H51" s="14">
        <v>10</v>
      </c>
      <c r="I51" s="15">
        <v>80</v>
      </c>
      <c r="J51" s="16">
        <f t="shared" si="4"/>
        <v>800</v>
      </c>
      <c r="K51" s="17">
        <v>46049</v>
      </c>
      <c r="L51" s="14">
        <v>75</v>
      </c>
      <c r="M51" s="18">
        <f t="shared" si="0"/>
        <v>10</v>
      </c>
      <c r="N51" s="19">
        <f t="shared" si="1"/>
        <v>65</v>
      </c>
      <c r="O51" s="10" t="str">
        <f t="shared" si="2"/>
        <v>INCOMPLETE</v>
      </c>
      <c r="P51" s="10"/>
      <c r="Q51" s="10" t="str">
        <f t="shared" si="3"/>
        <v>OK</v>
      </c>
    </row>
    <row r="52" spans="1:17" x14ac:dyDescent="0.3">
      <c r="A52" s="35" t="s">
        <v>115</v>
      </c>
      <c r="B52" s="13" t="s">
        <v>218</v>
      </c>
      <c r="C52" s="13" t="s">
        <v>219</v>
      </c>
      <c r="D52" s="13" t="s">
        <v>21</v>
      </c>
      <c r="E52" s="13" t="s">
        <v>21</v>
      </c>
      <c r="F52" s="13" t="s">
        <v>65</v>
      </c>
      <c r="G52" s="13" t="s">
        <v>66</v>
      </c>
      <c r="H52" s="14">
        <v>10</v>
      </c>
      <c r="I52" s="15">
        <v>80</v>
      </c>
      <c r="J52" s="16">
        <f t="shared" si="4"/>
        <v>800</v>
      </c>
      <c r="K52" s="17">
        <v>46049</v>
      </c>
      <c r="L52" s="14">
        <v>75</v>
      </c>
      <c r="M52" s="18">
        <f t="shared" si="0"/>
        <v>10</v>
      </c>
      <c r="N52" s="19">
        <f t="shared" si="1"/>
        <v>65</v>
      </c>
      <c r="O52" s="10" t="str">
        <f t="shared" si="2"/>
        <v>INCOMPLETE</v>
      </c>
      <c r="P52" s="10"/>
      <c r="Q52" s="10" t="str">
        <f t="shared" si="3"/>
        <v>OK</v>
      </c>
    </row>
    <row r="53" spans="1:17" x14ac:dyDescent="0.3">
      <c r="A53" s="35" t="s">
        <v>115</v>
      </c>
      <c r="B53" s="13" t="s">
        <v>218</v>
      </c>
      <c r="C53" s="13" t="s">
        <v>219</v>
      </c>
      <c r="D53" s="13" t="s">
        <v>43</v>
      </c>
      <c r="E53" s="13" t="s">
        <v>43</v>
      </c>
      <c r="F53" s="13" t="s">
        <v>125</v>
      </c>
      <c r="G53" s="13" t="s">
        <v>126</v>
      </c>
      <c r="H53" s="14">
        <v>50</v>
      </c>
      <c r="I53" s="15">
        <v>80</v>
      </c>
      <c r="J53" s="16">
        <f t="shared" si="4"/>
        <v>4000</v>
      </c>
      <c r="K53" s="17">
        <v>46084</v>
      </c>
      <c r="L53" s="14">
        <v>90</v>
      </c>
      <c r="M53" s="18">
        <f t="shared" si="0"/>
        <v>50</v>
      </c>
      <c r="N53" s="19">
        <f t="shared" si="1"/>
        <v>40</v>
      </c>
      <c r="O53" s="10" t="str">
        <f t="shared" si="2"/>
        <v>INCOMPLETE</v>
      </c>
      <c r="P53" s="10"/>
      <c r="Q53" s="10" t="str">
        <f t="shared" si="3"/>
        <v>OK</v>
      </c>
    </row>
    <row r="54" spans="1:17" x14ac:dyDescent="0.3">
      <c r="A54" s="35" t="s">
        <v>115</v>
      </c>
      <c r="B54" s="13" t="s">
        <v>218</v>
      </c>
      <c r="C54" s="13" t="s">
        <v>219</v>
      </c>
      <c r="D54" s="13" t="s">
        <v>43</v>
      </c>
      <c r="E54" s="13" t="s">
        <v>43</v>
      </c>
      <c r="F54" s="13" t="s">
        <v>99</v>
      </c>
      <c r="G54" s="13" t="s">
        <v>100</v>
      </c>
      <c r="H54" s="14">
        <v>30</v>
      </c>
      <c r="I54" s="15">
        <v>85</v>
      </c>
      <c r="J54" s="16">
        <f t="shared" si="4"/>
        <v>2550</v>
      </c>
      <c r="K54" s="17">
        <v>46084</v>
      </c>
      <c r="L54" s="14">
        <v>120</v>
      </c>
      <c r="M54" s="18">
        <f t="shared" si="0"/>
        <v>30</v>
      </c>
      <c r="N54" s="19">
        <f t="shared" si="1"/>
        <v>90</v>
      </c>
      <c r="O54" s="10" t="str">
        <f t="shared" si="2"/>
        <v>INCOMPLETE</v>
      </c>
      <c r="P54" s="10"/>
      <c r="Q54" s="10" t="str">
        <f t="shared" si="3"/>
        <v>OK</v>
      </c>
    </row>
    <row r="55" spans="1:17" x14ac:dyDescent="0.3">
      <c r="A55" s="35" t="s">
        <v>115</v>
      </c>
      <c r="B55" s="13" t="s">
        <v>218</v>
      </c>
      <c r="C55" s="13" t="s">
        <v>219</v>
      </c>
      <c r="D55" s="13" t="s">
        <v>43</v>
      </c>
      <c r="E55" s="13" t="s">
        <v>43</v>
      </c>
      <c r="F55" s="13" t="s">
        <v>30</v>
      </c>
      <c r="G55" s="13" t="s">
        <v>31</v>
      </c>
      <c r="H55" s="14">
        <v>38</v>
      </c>
      <c r="I55" s="15">
        <v>85</v>
      </c>
      <c r="J55" s="16">
        <f t="shared" si="4"/>
        <v>3230</v>
      </c>
      <c r="K55" s="17">
        <v>46084</v>
      </c>
      <c r="L55" s="14">
        <v>330</v>
      </c>
      <c r="M55" s="18">
        <f t="shared" si="0"/>
        <v>38</v>
      </c>
      <c r="N55" s="19">
        <f t="shared" si="1"/>
        <v>292</v>
      </c>
      <c r="O55" s="10" t="str">
        <f t="shared" si="2"/>
        <v>INCOMPLETE</v>
      </c>
      <c r="P55" s="10"/>
      <c r="Q55" s="10" t="str">
        <f t="shared" si="3"/>
        <v>OK</v>
      </c>
    </row>
    <row r="56" spans="1:17" x14ac:dyDescent="0.3">
      <c r="A56" s="35" t="s">
        <v>115</v>
      </c>
      <c r="B56" s="13" t="s">
        <v>218</v>
      </c>
      <c r="C56" s="13" t="s">
        <v>219</v>
      </c>
      <c r="D56" s="13" t="s">
        <v>43</v>
      </c>
      <c r="E56" s="13" t="s">
        <v>43</v>
      </c>
      <c r="F56" s="13" t="s">
        <v>334</v>
      </c>
      <c r="G56" s="13" t="s">
        <v>337</v>
      </c>
      <c r="H56" s="14">
        <v>62</v>
      </c>
      <c r="I56" s="15">
        <v>85</v>
      </c>
      <c r="J56" s="16">
        <f t="shared" si="4"/>
        <v>5270</v>
      </c>
      <c r="K56" s="17">
        <v>46084</v>
      </c>
      <c r="L56" s="14">
        <v>292</v>
      </c>
      <c r="M56" s="18">
        <f t="shared" si="0"/>
        <v>62</v>
      </c>
      <c r="N56" s="19">
        <f t="shared" si="1"/>
        <v>230</v>
      </c>
      <c r="O56" s="10" t="str">
        <f t="shared" si="2"/>
        <v>INCOMPLETE</v>
      </c>
      <c r="P56" s="10"/>
      <c r="Q56" s="10" t="str">
        <f t="shared" si="3"/>
        <v>OK</v>
      </c>
    </row>
    <row r="57" spans="1:17" x14ac:dyDescent="0.3">
      <c r="A57" s="35" t="s">
        <v>115</v>
      </c>
      <c r="B57" s="13" t="s">
        <v>218</v>
      </c>
      <c r="C57" s="13" t="s">
        <v>219</v>
      </c>
      <c r="D57" s="13" t="s">
        <v>43</v>
      </c>
      <c r="E57" s="13" t="s">
        <v>43</v>
      </c>
      <c r="F57" s="13" t="s">
        <v>36</v>
      </c>
      <c r="G57" s="13" t="s">
        <v>37</v>
      </c>
      <c r="H57" s="14">
        <v>17</v>
      </c>
      <c r="I57" s="15">
        <v>85</v>
      </c>
      <c r="J57" s="16">
        <f t="shared" si="4"/>
        <v>1445</v>
      </c>
      <c r="K57" s="17">
        <v>46084</v>
      </c>
      <c r="L57" s="14">
        <v>330</v>
      </c>
      <c r="M57" s="18">
        <f t="shared" si="0"/>
        <v>17</v>
      </c>
      <c r="N57" s="19">
        <f t="shared" si="1"/>
        <v>313</v>
      </c>
      <c r="O57" s="10" t="str">
        <f t="shared" si="2"/>
        <v>INCOMPLETE</v>
      </c>
      <c r="P57" s="10"/>
      <c r="Q57" s="10" t="str">
        <f t="shared" si="3"/>
        <v>OK</v>
      </c>
    </row>
    <row r="58" spans="1:17" x14ac:dyDescent="0.3">
      <c r="A58" s="35" t="s">
        <v>115</v>
      </c>
      <c r="B58" s="13" t="s">
        <v>218</v>
      </c>
      <c r="C58" s="13" t="s">
        <v>219</v>
      </c>
      <c r="D58" s="13" t="s">
        <v>43</v>
      </c>
      <c r="E58" s="13" t="s">
        <v>43</v>
      </c>
      <c r="F58" s="13" t="s">
        <v>335</v>
      </c>
      <c r="G58" s="13" t="s">
        <v>338</v>
      </c>
      <c r="H58" s="14">
        <v>43</v>
      </c>
      <c r="I58" s="15">
        <v>85</v>
      </c>
      <c r="J58" s="16">
        <f t="shared" si="4"/>
        <v>3655</v>
      </c>
      <c r="K58" s="17">
        <v>46084</v>
      </c>
      <c r="L58" s="14">
        <v>313</v>
      </c>
      <c r="M58" s="18">
        <f t="shared" si="0"/>
        <v>43</v>
      </c>
      <c r="N58" s="19">
        <f t="shared" si="1"/>
        <v>270</v>
      </c>
      <c r="O58" s="10" t="str">
        <f t="shared" si="2"/>
        <v>INCOMPLETE</v>
      </c>
      <c r="P58" s="10"/>
      <c r="Q58" s="10" t="str">
        <f t="shared" si="3"/>
        <v>OK</v>
      </c>
    </row>
    <row r="59" spans="1:17" x14ac:dyDescent="0.3">
      <c r="A59" s="35" t="s">
        <v>115</v>
      </c>
      <c r="B59" s="13" t="s">
        <v>218</v>
      </c>
      <c r="C59" s="13" t="s">
        <v>219</v>
      </c>
      <c r="D59" s="13" t="s">
        <v>134</v>
      </c>
      <c r="E59" s="13" t="s">
        <v>134</v>
      </c>
      <c r="F59" s="13" t="s">
        <v>65</v>
      </c>
      <c r="G59" s="13" t="s">
        <v>66</v>
      </c>
      <c r="H59" s="14">
        <v>25</v>
      </c>
      <c r="I59" s="15">
        <v>80</v>
      </c>
      <c r="J59" s="16">
        <f t="shared" si="4"/>
        <v>2000</v>
      </c>
      <c r="K59" s="17">
        <v>46120</v>
      </c>
      <c r="L59" s="14">
        <v>65</v>
      </c>
      <c r="M59" s="18">
        <f t="shared" si="0"/>
        <v>25</v>
      </c>
      <c r="N59" s="19">
        <f t="shared" si="1"/>
        <v>40</v>
      </c>
      <c r="O59" s="10" t="str">
        <f t="shared" si="2"/>
        <v>INCOMPLETE</v>
      </c>
      <c r="P59" s="10"/>
      <c r="Q59" s="10" t="str">
        <f t="shared" si="3"/>
        <v>OK</v>
      </c>
    </row>
    <row r="60" spans="1:17" x14ac:dyDescent="0.3">
      <c r="A60" s="35" t="s">
        <v>115</v>
      </c>
      <c r="B60" s="13" t="s">
        <v>218</v>
      </c>
      <c r="C60" s="13" t="s">
        <v>219</v>
      </c>
      <c r="D60" s="13" t="s">
        <v>134</v>
      </c>
      <c r="E60" s="13" t="s">
        <v>134</v>
      </c>
      <c r="F60" s="13" t="s">
        <v>385</v>
      </c>
      <c r="G60" s="13" t="s">
        <v>386</v>
      </c>
      <c r="H60" s="14">
        <v>25</v>
      </c>
      <c r="I60" s="15">
        <v>85</v>
      </c>
      <c r="J60" s="16">
        <f t="shared" si="4"/>
        <v>2125</v>
      </c>
      <c r="K60" s="17">
        <v>46120</v>
      </c>
      <c r="L60" s="14">
        <v>90</v>
      </c>
      <c r="M60" s="18">
        <f t="shared" si="0"/>
        <v>25</v>
      </c>
      <c r="N60" s="19">
        <f t="shared" si="1"/>
        <v>65</v>
      </c>
      <c r="O60" s="10" t="str">
        <f t="shared" si="2"/>
        <v>INCOMPLETE</v>
      </c>
      <c r="P60" s="10"/>
      <c r="Q60" s="10" t="str">
        <f t="shared" si="3"/>
        <v>OK</v>
      </c>
    </row>
    <row r="61" spans="1:17" x14ac:dyDescent="0.3">
      <c r="A61" s="35" t="s">
        <v>115</v>
      </c>
      <c r="B61" s="13" t="s">
        <v>218</v>
      </c>
      <c r="C61" s="13" t="s">
        <v>219</v>
      </c>
      <c r="D61" s="13" t="s">
        <v>134</v>
      </c>
      <c r="E61" s="13" t="s">
        <v>134</v>
      </c>
      <c r="F61" s="13" t="s">
        <v>334</v>
      </c>
      <c r="G61" s="13" t="s">
        <v>337</v>
      </c>
      <c r="H61" s="14">
        <v>25</v>
      </c>
      <c r="I61" s="15">
        <v>85</v>
      </c>
      <c r="J61" s="16">
        <f t="shared" si="4"/>
        <v>2125</v>
      </c>
      <c r="K61" s="17">
        <v>46120</v>
      </c>
      <c r="L61" s="14">
        <v>230</v>
      </c>
      <c r="M61" s="18">
        <f t="shared" si="0"/>
        <v>25</v>
      </c>
      <c r="N61" s="19">
        <f t="shared" si="1"/>
        <v>205</v>
      </c>
      <c r="O61" s="10" t="str">
        <f t="shared" si="2"/>
        <v>INCOMPLETE</v>
      </c>
      <c r="P61" s="10"/>
      <c r="Q61" s="10" t="str">
        <f t="shared" si="3"/>
        <v>OK</v>
      </c>
    </row>
    <row r="62" spans="1:17" x14ac:dyDescent="0.3">
      <c r="A62" s="35" t="s">
        <v>115</v>
      </c>
      <c r="B62" s="13" t="s">
        <v>218</v>
      </c>
      <c r="C62" s="13" t="s">
        <v>219</v>
      </c>
      <c r="D62" s="13" t="s">
        <v>134</v>
      </c>
      <c r="E62" s="13" t="s">
        <v>134</v>
      </c>
      <c r="F62" s="13" t="s">
        <v>335</v>
      </c>
      <c r="G62" s="13" t="s">
        <v>338</v>
      </c>
      <c r="H62" s="14">
        <v>40</v>
      </c>
      <c r="I62" s="15">
        <v>85</v>
      </c>
      <c r="J62" s="16">
        <f t="shared" si="4"/>
        <v>3400</v>
      </c>
      <c r="K62" s="17">
        <v>46120</v>
      </c>
      <c r="L62" s="14">
        <v>270</v>
      </c>
      <c r="M62" s="18">
        <f t="shared" si="0"/>
        <v>40</v>
      </c>
      <c r="N62" s="19">
        <f t="shared" si="1"/>
        <v>230</v>
      </c>
      <c r="O62" s="10" t="str">
        <f t="shared" si="2"/>
        <v>INCOMPLETE</v>
      </c>
      <c r="P62" s="10"/>
      <c r="Q62" s="10" t="str">
        <f t="shared" si="3"/>
        <v>OK</v>
      </c>
    </row>
    <row r="63" spans="1:17" x14ac:dyDescent="0.3">
      <c r="A63" s="35" t="s">
        <v>115</v>
      </c>
      <c r="B63" s="13" t="s">
        <v>218</v>
      </c>
      <c r="C63" s="13" t="s">
        <v>219</v>
      </c>
      <c r="D63" s="13" t="s">
        <v>248</v>
      </c>
      <c r="E63" s="13" t="s">
        <v>248</v>
      </c>
      <c r="F63" s="13" t="s">
        <v>65</v>
      </c>
      <c r="G63" s="13" t="s">
        <v>66</v>
      </c>
      <c r="H63" s="14">
        <v>25</v>
      </c>
      <c r="I63" s="15">
        <v>80</v>
      </c>
      <c r="J63" s="16">
        <f t="shared" si="4"/>
        <v>2000</v>
      </c>
      <c r="K63" s="17">
        <v>46132</v>
      </c>
      <c r="L63" s="14">
        <v>40</v>
      </c>
      <c r="M63" s="18">
        <f t="shared" si="0"/>
        <v>25</v>
      </c>
      <c r="N63" s="19">
        <f t="shared" si="1"/>
        <v>15</v>
      </c>
      <c r="O63" s="10" t="str">
        <f t="shared" si="2"/>
        <v>INCOMPLETE</v>
      </c>
      <c r="P63" s="10"/>
      <c r="Q63" s="10" t="str">
        <f t="shared" si="3"/>
        <v>OK</v>
      </c>
    </row>
    <row r="64" spans="1:17" x14ac:dyDescent="0.3">
      <c r="A64" s="35">
        <v>11</v>
      </c>
      <c r="B64" s="13" t="s">
        <v>218</v>
      </c>
      <c r="C64" s="13" t="s">
        <v>219</v>
      </c>
      <c r="D64" s="13" t="s">
        <v>271</v>
      </c>
      <c r="E64" s="13" t="s">
        <v>271</v>
      </c>
      <c r="F64" s="13" t="s">
        <v>334</v>
      </c>
      <c r="G64" s="13" t="s">
        <v>337</v>
      </c>
      <c r="H64" s="14">
        <v>50</v>
      </c>
      <c r="I64" s="15">
        <v>85</v>
      </c>
      <c r="J64" s="16">
        <f t="shared" si="4"/>
        <v>4250</v>
      </c>
      <c r="K64" s="17">
        <v>46142</v>
      </c>
      <c r="L64" s="14">
        <v>205</v>
      </c>
      <c r="M64" s="18">
        <f t="shared" si="0"/>
        <v>50</v>
      </c>
      <c r="N64" s="19">
        <f t="shared" si="1"/>
        <v>155</v>
      </c>
      <c r="O64" s="10" t="str">
        <f t="shared" si="2"/>
        <v>INCOMPLETE</v>
      </c>
      <c r="P64" s="10"/>
      <c r="Q64" s="10" t="str">
        <f t="shared" si="3"/>
        <v>OK</v>
      </c>
    </row>
    <row r="65" spans="1:17" x14ac:dyDescent="0.3">
      <c r="A65" s="35">
        <v>11</v>
      </c>
      <c r="B65" s="13" t="s">
        <v>218</v>
      </c>
      <c r="C65" s="13" t="s">
        <v>219</v>
      </c>
      <c r="D65" s="13" t="s">
        <v>271</v>
      </c>
      <c r="E65" s="13" t="s">
        <v>271</v>
      </c>
      <c r="F65" s="13" t="s">
        <v>335</v>
      </c>
      <c r="G65" s="13" t="s">
        <v>338</v>
      </c>
      <c r="H65" s="14">
        <v>40</v>
      </c>
      <c r="I65" s="15">
        <v>85</v>
      </c>
      <c r="J65" s="16">
        <f t="shared" si="4"/>
        <v>3400</v>
      </c>
      <c r="K65" s="17">
        <v>46142</v>
      </c>
      <c r="L65" s="14">
        <v>230</v>
      </c>
      <c r="M65" s="18">
        <f t="shared" si="0"/>
        <v>40</v>
      </c>
      <c r="N65" s="19">
        <f t="shared" si="1"/>
        <v>190</v>
      </c>
      <c r="O65" s="10" t="str">
        <f t="shared" si="2"/>
        <v>INCOMPLETE</v>
      </c>
      <c r="P65" s="10"/>
      <c r="Q65" s="10" t="str">
        <f t="shared" si="3"/>
        <v>OK</v>
      </c>
    </row>
    <row r="66" spans="1:17" x14ac:dyDescent="0.3">
      <c r="A66" s="35">
        <v>11</v>
      </c>
      <c r="B66" s="13" t="s">
        <v>218</v>
      </c>
      <c r="C66" s="13" t="s">
        <v>219</v>
      </c>
      <c r="D66" s="13" t="s">
        <v>286</v>
      </c>
      <c r="E66" s="13" t="s">
        <v>286</v>
      </c>
      <c r="F66" s="13" t="s">
        <v>385</v>
      </c>
      <c r="G66" s="13" t="s">
        <v>386</v>
      </c>
      <c r="H66" s="14">
        <v>2</v>
      </c>
      <c r="I66" s="15">
        <v>85</v>
      </c>
      <c r="J66" s="16">
        <f t="shared" si="4"/>
        <v>170</v>
      </c>
      <c r="K66" s="17">
        <v>46149</v>
      </c>
      <c r="L66" s="14">
        <v>65</v>
      </c>
      <c r="M66" s="18">
        <f t="shared" si="0"/>
        <v>2</v>
      </c>
      <c r="N66" s="19">
        <f t="shared" si="1"/>
        <v>63</v>
      </c>
      <c r="O66" s="10" t="str">
        <f t="shared" si="2"/>
        <v>INCOMPLETE</v>
      </c>
      <c r="P66" s="10"/>
      <c r="Q66" s="10" t="str">
        <f t="shared" si="3"/>
        <v>OK</v>
      </c>
    </row>
    <row r="67" spans="1:17" x14ac:dyDescent="0.3">
      <c r="A67" s="35">
        <v>11</v>
      </c>
      <c r="B67" s="13" t="s">
        <v>218</v>
      </c>
      <c r="C67" s="13" t="s">
        <v>219</v>
      </c>
      <c r="D67" s="13" t="s">
        <v>286</v>
      </c>
      <c r="E67" s="13" t="s">
        <v>286</v>
      </c>
      <c r="F67" s="13" t="s">
        <v>334</v>
      </c>
      <c r="G67" s="13" t="s">
        <v>337</v>
      </c>
      <c r="H67" s="14">
        <v>2</v>
      </c>
      <c r="I67" s="15">
        <v>85</v>
      </c>
      <c r="J67" s="16">
        <f t="shared" si="4"/>
        <v>170</v>
      </c>
      <c r="K67" s="17">
        <v>46149</v>
      </c>
      <c r="L67" s="14">
        <v>155</v>
      </c>
      <c r="M67" s="18">
        <f t="shared" si="0"/>
        <v>2</v>
      </c>
      <c r="N67" s="19">
        <f t="shared" si="1"/>
        <v>153</v>
      </c>
      <c r="O67" s="10" t="str">
        <f t="shared" si="2"/>
        <v>INCOMPLETE</v>
      </c>
      <c r="P67" s="10"/>
      <c r="Q67" s="10" t="str">
        <f t="shared" si="3"/>
        <v>OK</v>
      </c>
    </row>
    <row r="68" spans="1:17" x14ac:dyDescent="0.3">
      <c r="A68" s="35">
        <v>11</v>
      </c>
      <c r="B68" s="13" t="s">
        <v>218</v>
      </c>
      <c r="C68" s="13" t="s">
        <v>219</v>
      </c>
      <c r="D68" s="13" t="s">
        <v>286</v>
      </c>
      <c r="E68" s="13" t="s">
        <v>286</v>
      </c>
      <c r="F68" s="13" t="s">
        <v>335</v>
      </c>
      <c r="G68" s="13" t="s">
        <v>338</v>
      </c>
      <c r="H68" s="14">
        <v>2</v>
      </c>
      <c r="I68" s="15">
        <v>85</v>
      </c>
      <c r="J68" s="16">
        <f t="shared" si="4"/>
        <v>170</v>
      </c>
      <c r="K68" s="17">
        <v>46149</v>
      </c>
      <c r="L68" s="14">
        <v>190</v>
      </c>
      <c r="M68" s="18">
        <f t="shared" si="0"/>
        <v>2</v>
      </c>
      <c r="N68" s="19">
        <f t="shared" si="1"/>
        <v>188</v>
      </c>
      <c r="O68" s="10" t="str">
        <f t="shared" si="2"/>
        <v>INCOMPLETE</v>
      </c>
      <c r="P68" s="10"/>
      <c r="Q68" s="10" t="str">
        <f t="shared" si="3"/>
        <v>OK</v>
      </c>
    </row>
    <row r="69" spans="1:17" x14ac:dyDescent="0.3">
      <c r="A69" s="36" t="s">
        <v>128</v>
      </c>
      <c r="B69" s="13" t="s">
        <v>225</v>
      </c>
      <c r="C69" s="13" t="s">
        <v>226</v>
      </c>
      <c r="D69" s="13" t="s">
        <v>21</v>
      </c>
      <c r="E69" s="13" t="s">
        <v>21</v>
      </c>
      <c r="F69" s="13" t="s">
        <v>125</v>
      </c>
      <c r="G69" s="13" t="s">
        <v>126</v>
      </c>
      <c r="H69" s="14">
        <v>90</v>
      </c>
      <c r="I69" s="15">
        <v>90</v>
      </c>
      <c r="J69" s="16">
        <f t="shared" si="4"/>
        <v>8100</v>
      </c>
      <c r="K69" s="17">
        <v>46050</v>
      </c>
      <c r="L69" s="10">
        <v>90</v>
      </c>
      <c r="M69" s="18">
        <f t="shared" si="0"/>
        <v>90</v>
      </c>
      <c r="N69" s="19">
        <f t="shared" si="1"/>
        <v>0</v>
      </c>
      <c r="O69" s="10" t="str">
        <f t="shared" si="2"/>
        <v>COMPLETE</v>
      </c>
      <c r="P69" s="10"/>
      <c r="Q69" s="10" t="str">
        <f t="shared" si="3"/>
        <v>OK</v>
      </c>
    </row>
    <row r="70" spans="1:17" x14ac:dyDescent="0.3">
      <c r="A70" s="36" t="s">
        <v>128</v>
      </c>
      <c r="B70" s="13" t="s">
        <v>225</v>
      </c>
      <c r="C70" s="13" t="s">
        <v>226</v>
      </c>
      <c r="D70" s="13" t="s">
        <v>21</v>
      </c>
      <c r="E70" s="13" t="s">
        <v>21</v>
      </c>
      <c r="F70" s="13" t="s">
        <v>40</v>
      </c>
      <c r="G70" s="13" t="s">
        <v>41</v>
      </c>
      <c r="H70" s="14">
        <v>18</v>
      </c>
      <c r="I70" s="15">
        <v>90</v>
      </c>
      <c r="J70" s="16">
        <f t="shared" si="4"/>
        <v>1620</v>
      </c>
      <c r="K70" s="17">
        <v>46050</v>
      </c>
      <c r="L70" s="10">
        <v>120</v>
      </c>
      <c r="M70" s="18">
        <f t="shared" si="0"/>
        <v>18</v>
      </c>
      <c r="N70" s="19">
        <f t="shared" si="1"/>
        <v>102</v>
      </c>
      <c r="O70" s="10" t="str">
        <f t="shared" si="2"/>
        <v>INCOMPLETE</v>
      </c>
      <c r="P70" s="10"/>
      <c r="Q70" s="10" t="str">
        <f t="shared" si="3"/>
        <v>OK</v>
      </c>
    </row>
    <row r="71" spans="1:17" x14ac:dyDescent="0.3">
      <c r="A71" s="36" t="s">
        <v>128</v>
      </c>
      <c r="B71" s="13" t="s">
        <v>225</v>
      </c>
      <c r="C71" s="13" t="s">
        <v>226</v>
      </c>
      <c r="D71" s="13" t="s">
        <v>39</v>
      </c>
      <c r="E71" s="13" t="s">
        <v>39</v>
      </c>
      <c r="F71" s="13" t="s">
        <v>65</v>
      </c>
      <c r="G71" s="13" t="s">
        <v>66</v>
      </c>
      <c r="H71" s="14">
        <v>30</v>
      </c>
      <c r="I71" s="15">
        <v>90</v>
      </c>
      <c r="J71" s="16">
        <f t="shared" si="4"/>
        <v>2700</v>
      </c>
      <c r="K71" s="17">
        <v>46058</v>
      </c>
      <c r="L71" s="10">
        <v>102</v>
      </c>
      <c r="M71" s="18">
        <f t="shared" si="0"/>
        <v>30</v>
      </c>
      <c r="N71" s="19">
        <f t="shared" si="1"/>
        <v>72</v>
      </c>
      <c r="O71" s="10" t="str">
        <f t="shared" si="2"/>
        <v>INCOMPLETE</v>
      </c>
      <c r="P71" s="12" t="s">
        <v>264</v>
      </c>
      <c r="Q71" s="10" t="str">
        <f t="shared" si="3"/>
        <v>OK</v>
      </c>
    </row>
    <row r="72" spans="1:17" x14ac:dyDescent="0.3">
      <c r="A72" s="36" t="s">
        <v>128</v>
      </c>
      <c r="B72" s="13" t="s">
        <v>225</v>
      </c>
      <c r="C72" s="13" t="s">
        <v>226</v>
      </c>
      <c r="D72" s="13" t="s">
        <v>43</v>
      </c>
      <c r="E72" s="13" t="s">
        <v>43</v>
      </c>
      <c r="F72" s="13" t="s">
        <v>319</v>
      </c>
      <c r="G72" s="13" t="s">
        <v>320</v>
      </c>
      <c r="H72" s="14">
        <v>72</v>
      </c>
      <c r="I72" s="15">
        <v>90</v>
      </c>
      <c r="J72" s="16">
        <f t="shared" si="4"/>
        <v>6480</v>
      </c>
      <c r="K72" s="17">
        <v>46071</v>
      </c>
      <c r="L72" s="10">
        <v>72</v>
      </c>
      <c r="M72" s="18">
        <f t="shared" si="0"/>
        <v>72</v>
      </c>
      <c r="N72" s="19">
        <f t="shared" si="1"/>
        <v>0</v>
      </c>
      <c r="O72" s="10" t="str">
        <f t="shared" si="2"/>
        <v>COMPLETE</v>
      </c>
      <c r="P72" s="10"/>
      <c r="Q72" s="10" t="str">
        <f t="shared" si="3"/>
        <v>OK</v>
      </c>
    </row>
    <row r="73" spans="1:17" x14ac:dyDescent="0.3">
      <c r="A73" s="37" t="s">
        <v>142</v>
      </c>
      <c r="B73" s="13" t="s">
        <v>73</v>
      </c>
      <c r="C73" s="13" t="s">
        <v>229</v>
      </c>
      <c r="D73" s="13" t="s">
        <v>135</v>
      </c>
      <c r="E73" s="13" t="s">
        <v>135</v>
      </c>
      <c r="F73" s="13" t="s">
        <v>125</v>
      </c>
      <c r="G73" s="13" t="s">
        <v>126</v>
      </c>
      <c r="H73" s="14">
        <v>40</v>
      </c>
      <c r="I73" s="15">
        <v>95</v>
      </c>
      <c r="J73" s="16">
        <f t="shared" ref="J73:J74" si="5">H73*I73</f>
        <v>3800</v>
      </c>
      <c r="K73" s="17">
        <v>46050</v>
      </c>
      <c r="L73" s="10">
        <v>40</v>
      </c>
      <c r="M73" s="18">
        <f t="shared" si="0"/>
        <v>40</v>
      </c>
      <c r="N73" s="19">
        <f t="shared" ref="N73:N74" si="6">L73-M73</f>
        <v>0</v>
      </c>
      <c r="O73" s="10" t="str">
        <f t="shared" ref="O73:O74" si="7">IF(N73=0,"COMPLETE","INCOMPLETE")</f>
        <v>COMPLETE</v>
      </c>
      <c r="P73" s="10"/>
      <c r="Q73" s="10" t="str">
        <f t="shared" si="3"/>
        <v>OK</v>
      </c>
    </row>
    <row r="74" spans="1:17" x14ac:dyDescent="0.3">
      <c r="A74" s="37" t="s">
        <v>142</v>
      </c>
      <c r="B74" s="13" t="s">
        <v>73</v>
      </c>
      <c r="C74" s="13" t="s">
        <v>229</v>
      </c>
      <c r="D74" s="13" t="s">
        <v>207</v>
      </c>
      <c r="E74" s="13" t="s">
        <v>208</v>
      </c>
      <c r="F74" s="13" t="s">
        <v>319</v>
      </c>
      <c r="G74" s="13" t="s">
        <v>320</v>
      </c>
      <c r="H74" s="14">
        <v>40</v>
      </c>
      <c r="I74" s="15">
        <v>115</v>
      </c>
      <c r="J74" s="16">
        <f t="shared" si="5"/>
        <v>4600</v>
      </c>
      <c r="K74" s="17">
        <v>46071</v>
      </c>
      <c r="L74" s="10">
        <v>40</v>
      </c>
      <c r="M74" s="18">
        <f t="shared" si="0"/>
        <v>40</v>
      </c>
      <c r="N74" s="19">
        <f t="shared" si="6"/>
        <v>0</v>
      </c>
      <c r="O74" s="10" t="str">
        <f t="shared" si="7"/>
        <v>COMPLETE</v>
      </c>
      <c r="P74" s="10"/>
      <c r="Q74" s="10" t="str">
        <f t="shared" si="3"/>
        <v>OK</v>
      </c>
    </row>
    <row r="75" spans="1:17" x14ac:dyDescent="0.3">
      <c r="A75" s="10" t="s">
        <v>148</v>
      </c>
      <c r="B75" s="13" t="s">
        <v>102</v>
      </c>
      <c r="C75" s="13" t="s">
        <v>240</v>
      </c>
      <c r="D75" s="13" t="s">
        <v>43</v>
      </c>
      <c r="E75" s="13" t="s">
        <v>43</v>
      </c>
      <c r="F75" s="13" t="s">
        <v>125</v>
      </c>
      <c r="G75" s="13" t="s">
        <v>126</v>
      </c>
      <c r="H75" s="14">
        <v>15</v>
      </c>
      <c r="I75" s="15">
        <v>75</v>
      </c>
      <c r="J75" s="16">
        <f t="shared" si="4"/>
        <v>1125</v>
      </c>
      <c r="K75" s="17">
        <v>46051</v>
      </c>
      <c r="L75" s="10">
        <v>15</v>
      </c>
      <c r="M75" s="18">
        <f t="shared" si="0"/>
        <v>15</v>
      </c>
      <c r="N75" s="19">
        <f t="shared" si="1"/>
        <v>0</v>
      </c>
      <c r="O75" s="10" t="str">
        <f t="shared" si="2"/>
        <v>COMPLETE</v>
      </c>
      <c r="P75" s="10"/>
      <c r="Q75" s="10" t="str">
        <f t="shared" si="3"/>
        <v>OK</v>
      </c>
    </row>
    <row r="76" spans="1:17" x14ac:dyDescent="0.3">
      <c r="A76" s="10" t="s">
        <v>152</v>
      </c>
      <c r="B76" s="13" t="s">
        <v>143</v>
      </c>
      <c r="C76" s="13" t="s">
        <v>241</v>
      </c>
      <c r="D76" s="13" t="s">
        <v>43</v>
      </c>
      <c r="E76" s="13" t="s">
        <v>43</v>
      </c>
      <c r="F76" s="13" t="s">
        <v>125</v>
      </c>
      <c r="G76" s="13" t="s">
        <v>126</v>
      </c>
      <c r="H76" s="14">
        <v>60</v>
      </c>
      <c r="I76" s="15">
        <v>85</v>
      </c>
      <c r="J76" s="16">
        <f t="shared" ref="J76:J100" si="8">H76*I76</f>
        <v>5100</v>
      </c>
      <c r="K76" s="17">
        <v>46052</v>
      </c>
      <c r="L76" s="10">
        <v>60</v>
      </c>
      <c r="M76" s="18">
        <f t="shared" si="0"/>
        <v>60</v>
      </c>
      <c r="N76" s="19">
        <f t="shared" ref="N76:N100" si="9">L76-M76</f>
        <v>0</v>
      </c>
      <c r="O76" s="10" t="str">
        <f t="shared" ref="O76:O100" si="10">IF(N76=0,"COMPLETE","INCOMPLETE")</f>
        <v>COMPLETE</v>
      </c>
      <c r="P76" s="10"/>
      <c r="Q76" s="10" t="str">
        <f t="shared" si="3"/>
        <v>OK</v>
      </c>
    </row>
    <row r="77" spans="1:17" x14ac:dyDescent="0.3">
      <c r="A77" s="38" t="s">
        <v>160</v>
      </c>
      <c r="B77" s="13" t="s">
        <v>130</v>
      </c>
      <c r="C77" s="13" t="s">
        <v>246</v>
      </c>
      <c r="D77" s="13" t="s">
        <v>47</v>
      </c>
      <c r="E77" s="13" t="s">
        <v>47</v>
      </c>
      <c r="F77" s="13" t="s">
        <v>125</v>
      </c>
      <c r="G77" s="13" t="s">
        <v>126</v>
      </c>
      <c r="H77" s="14">
        <v>10</v>
      </c>
      <c r="I77" s="15">
        <v>73</v>
      </c>
      <c r="J77" s="16">
        <f t="shared" si="8"/>
        <v>730</v>
      </c>
      <c r="K77" s="17">
        <v>46055</v>
      </c>
      <c r="L77" s="10">
        <v>36</v>
      </c>
      <c r="M77" s="18">
        <f t="shared" si="0"/>
        <v>10</v>
      </c>
      <c r="N77" s="19">
        <f t="shared" si="9"/>
        <v>26</v>
      </c>
      <c r="O77" s="10" t="str">
        <f t="shared" si="10"/>
        <v>INCOMPLETE</v>
      </c>
      <c r="P77" s="10"/>
      <c r="Q77" s="10" t="str">
        <f t="shared" si="3"/>
        <v>OK</v>
      </c>
    </row>
    <row r="78" spans="1:17" x14ac:dyDescent="0.3">
      <c r="A78" s="38" t="s">
        <v>160</v>
      </c>
      <c r="B78" s="13" t="s">
        <v>130</v>
      </c>
      <c r="C78" s="13" t="s">
        <v>246</v>
      </c>
      <c r="D78" s="13" t="s">
        <v>94</v>
      </c>
      <c r="E78" s="13" t="s">
        <v>94</v>
      </c>
      <c r="F78" s="13" t="s">
        <v>125</v>
      </c>
      <c r="G78" s="13" t="s">
        <v>126</v>
      </c>
      <c r="H78" s="14">
        <v>26</v>
      </c>
      <c r="I78" s="15">
        <v>73</v>
      </c>
      <c r="J78" s="16">
        <f t="shared" si="8"/>
        <v>1898</v>
      </c>
      <c r="K78" s="17">
        <v>46071</v>
      </c>
      <c r="L78" s="10">
        <v>26</v>
      </c>
      <c r="M78" s="18">
        <f t="shared" si="0"/>
        <v>26</v>
      </c>
      <c r="N78" s="19">
        <f t="shared" si="9"/>
        <v>0</v>
      </c>
      <c r="O78" s="10" t="str">
        <f t="shared" si="10"/>
        <v>COMPLETE</v>
      </c>
      <c r="P78" s="10"/>
      <c r="Q78" s="10" t="str">
        <f t="shared" si="3"/>
        <v>OK</v>
      </c>
    </row>
    <row r="79" spans="1:17" x14ac:dyDescent="0.3">
      <c r="A79" s="38" t="s">
        <v>160</v>
      </c>
      <c r="B79" s="13" t="s">
        <v>130</v>
      </c>
      <c r="C79" s="13" t="s">
        <v>246</v>
      </c>
      <c r="D79" s="13" t="s">
        <v>94</v>
      </c>
      <c r="E79" s="13" t="s">
        <v>94</v>
      </c>
      <c r="F79" s="13" t="s">
        <v>319</v>
      </c>
      <c r="G79" s="13" t="s">
        <v>320</v>
      </c>
      <c r="H79" s="14">
        <v>20</v>
      </c>
      <c r="I79" s="15">
        <v>73</v>
      </c>
      <c r="J79" s="16">
        <f t="shared" si="8"/>
        <v>1460</v>
      </c>
      <c r="K79" s="17">
        <v>46071</v>
      </c>
      <c r="L79" s="10">
        <v>20</v>
      </c>
      <c r="M79" s="18">
        <f t="shared" si="0"/>
        <v>20</v>
      </c>
      <c r="N79" s="19">
        <f t="shared" si="9"/>
        <v>0</v>
      </c>
      <c r="O79" s="10" t="str">
        <f t="shared" si="10"/>
        <v>COMPLETE</v>
      </c>
      <c r="P79" s="10"/>
      <c r="Q79" s="10" t="str">
        <f t="shared" si="3"/>
        <v>OK</v>
      </c>
    </row>
    <row r="80" spans="1:17" x14ac:dyDescent="0.3">
      <c r="A80" s="39" t="s">
        <v>163</v>
      </c>
      <c r="B80" s="13" t="s">
        <v>257</v>
      </c>
      <c r="C80" s="13" t="s">
        <v>258</v>
      </c>
      <c r="D80" s="13" t="s">
        <v>248</v>
      </c>
      <c r="E80" s="13" t="s">
        <v>259</v>
      </c>
      <c r="F80" s="13" t="s">
        <v>30</v>
      </c>
      <c r="G80" s="13" t="s">
        <v>31</v>
      </c>
      <c r="H80" s="14">
        <v>10</v>
      </c>
      <c r="I80" s="15">
        <v>104</v>
      </c>
      <c r="J80" s="16">
        <f t="shared" si="8"/>
        <v>1040</v>
      </c>
      <c r="K80" s="17">
        <v>46057</v>
      </c>
      <c r="L80" s="10">
        <v>10</v>
      </c>
      <c r="M80" s="18">
        <f t="shared" si="0"/>
        <v>10</v>
      </c>
      <c r="N80" s="19">
        <f t="shared" si="9"/>
        <v>0</v>
      </c>
      <c r="O80" s="10" t="str">
        <f t="shared" si="10"/>
        <v>COMPLETE</v>
      </c>
      <c r="P80" s="10"/>
      <c r="Q80" s="10" t="str">
        <f t="shared" si="3"/>
        <v>OK</v>
      </c>
    </row>
    <row r="81" spans="1:17" x14ac:dyDescent="0.3">
      <c r="A81" s="39" t="s">
        <v>163</v>
      </c>
      <c r="B81" s="13" t="s">
        <v>257</v>
      </c>
      <c r="C81" s="13" t="s">
        <v>258</v>
      </c>
      <c r="D81" s="13" t="s">
        <v>248</v>
      </c>
      <c r="E81" s="13" t="s">
        <v>259</v>
      </c>
      <c r="F81" s="13" t="s">
        <v>36</v>
      </c>
      <c r="G81" s="13" t="s">
        <v>37</v>
      </c>
      <c r="H81" s="14">
        <v>10</v>
      </c>
      <c r="I81" s="15">
        <v>104</v>
      </c>
      <c r="J81" s="16">
        <f t="shared" si="8"/>
        <v>1040</v>
      </c>
      <c r="K81" s="17">
        <v>46057</v>
      </c>
      <c r="L81" s="10">
        <v>10</v>
      </c>
      <c r="M81" s="18">
        <f t="shared" si="0"/>
        <v>10</v>
      </c>
      <c r="N81" s="19">
        <f t="shared" si="9"/>
        <v>0</v>
      </c>
      <c r="O81" s="10" t="str">
        <f t="shared" si="10"/>
        <v>COMPLETE</v>
      </c>
      <c r="P81" s="10"/>
      <c r="Q81" s="10" t="str">
        <f t="shared" si="3"/>
        <v>OK</v>
      </c>
    </row>
    <row r="82" spans="1:17" x14ac:dyDescent="0.3">
      <c r="A82" s="10" t="s">
        <v>166</v>
      </c>
      <c r="B82" s="13" t="s">
        <v>73</v>
      </c>
      <c r="C82" s="13" t="s">
        <v>268</v>
      </c>
      <c r="D82" s="13" t="s">
        <v>133</v>
      </c>
      <c r="E82" s="13" t="s">
        <v>133</v>
      </c>
      <c r="F82" s="13" t="s">
        <v>125</v>
      </c>
      <c r="G82" s="13" t="s">
        <v>126</v>
      </c>
      <c r="H82" s="14">
        <v>40</v>
      </c>
      <c r="I82" s="15">
        <v>95</v>
      </c>
      <c r="J82" s="16">
        <f t="shared" si="8"/>
        <v>3800</v>
      </c>
      <c r="K82" s="17">
        <v>46059</v>
      </c>
      <c r="L82" s="10">
        <v>40</v>
      </c>
      <c r="M82" s="18">
        <f t="shared" si="0"/>
        <v>40</v>
      </c>
      <c r="N82" s="19">
        <f t="shared" si="9"/>
        <v>0</v>
      </c>
      <c r="O82" s="10" t="str">
        <f t="shared" si="10"/>
        <v>COMPLETE</v>
      </c>
      <c r="P82" s="10"/>
      <c r="Q82" s="10" t="str">
        <f t="shared" si="3"/>
        <v>OK</v>
      </c>
    </row>
    <row r="83" spans="1:17" x14ac:dyDescent="0.3">
      <c r="A83" s="10" t="s">
        <v>170</v>
      </c>
      <c r="B83" s="13" t="s">
        <v>50</v>
      </c>
      <c r="C83" s="13" t="s">
        <v>270</v>
      </c>
      <c r="D83" s="13" t="s">
        <v>271</v>
      </c>
      <c r="E83" s="13" t="s">
        <v>271</v>
      </c>
      <c r="F83" s="13" t="s">
        <v>65</v>
      </c>
      <c r="G83" s="13" t="s">
        <v>66</v>
      </c>
      <c r="H83" s="14">
        <v>5</v>
      </c>
      <c r="I83" s="15">
        <v>105</v>
      </c>
      <c r="J83" s="16">
        <f t="shared" si="8"/>
        <v>525</v>
      </c>
      <c r="K83" s="17">
        <v>46059</v>
      </c>
      <c r="L83" s="10">
        <v>5</v>
      </c>
      <c r="M83" s="18">
        <f t="shared" si="0"/>
        <v>5</v>
      </c>
      <c r="N83" s="19">
        <f t="shared" si="9"/>
        <v>0</v>
      </c>
      <c r="O83" s="10" t="str">
        <f t="shared" si="10"/>
        <v>COMPLETE</v>
      </c>
      <c r="P83" s="10"/>
      <c r="Q83" s="10" t="str">
        <f t="shared" si="3"/>
        <v>OK</v>
      </c>
    </row>
    <row r="84" spans="1:17" x14ac:dyDescent="0.3">
      <c r="A84" s="40" t="s">
        <v>172</v>
      </c>
      <c r="B84" s="13" t="s">
        <v>34</v>
      </c>
      <c r="C84" s="13" t="s">
        <v>276</v>
      </c>
      <c r="D84" s="13" t="s">
        <v>208</v>
      </c>
      <c r="E84" s="13" t="s">
        <v>208</v>
      </c>
      <c r="F84" s="13" t="s">
        <v>30</v>
      </c>
      <c r="G84" s="13" t="s">
        <v>31</v>
      </c>
      <c r="H84" s="14">
        <v>250</v>
      </c>
      <c r="I84" s="15">
        <v>69</v>
      </c>
      <c r="J84" s="16">
        <f t="shared" si="8"/>
        <v>17250</v>
      </c>
      <c r="K84" s="17">
        <v>46062</v>
      </c>
      <c r="L84" s="10">
        <v>500</v>
      </c>
      <c r="M84" s="18">
        <f t="shared" si="0"/>
        <v>250</v>
      </c>
      <c r="N84" s="19">
        <f t="shared" si="9"/>
        <v>250</v>
      </c>
      <c r="O84" s="10" t="str">
        <f t="shared" si="10"/>
        <v>INCOMPLETE</v>
      </c>
      <c r="P84" s="10"/>
      <c r="Q84" s="10" t="str">
        <f t="shared" si="3"/>
        <v>OK</v>
      </c>
    </row>
    <row r="85" spans="1:17" x14ac:dyDescent="0.3">
      <c r="A85" s="40" t="s">
        <v>172</v>
      </c>
      <c r="B85" s="13" t="s">
        <v>34</v>
      </c>
      <c r="C85" s="13" t="s">
        <v>276</v>
      </c>
      <c r="D85" s="13" t="s">
        <v>271</v>
      </c>
      <c r="E85" s="13" t="s">
        <v>271</v>
      </c>
      <c r="F85" s="13" t="s">
        <v>30</v>
      </c>
      <c r="G85" s="13" t="s">
        <v>31</v>
      </c>
      <c r="H85" s="14">
        <v>25</v>
      </c>
      <c r="I85" s="15">
        <v>69</v>
      </c>
      <c r="J85" s="16">
        <f t="shared" si="8"/>
        <v>1725</v>
      </c>
      <c r="K85" s="17">
        <v>46066</v>
      </c>
      <c r="L85" s="10">
        <v>250</v>
      </c>
      <c r="M85" s="18">
        <f t="shared" si="0"/>
        <v>25</v>
      </c>
      <c r="N85" s="19">
        <f t="shared" si="9"/>
        <v>225</v>
      </c>
      <c r="O85" s="10" t="str">
        <f t="shared" si="10"/>
        <v>INCOMPLETE</v>
      </c>
      <c r="P85" s="10"/>
      <c r="Q85" s="10" t="str">
        <f t="shared" si="3"/>
        <v>OK</v>
      </c>
    </row>
    <row r="86" spans="1:17" x14ac:dyDescent="0.3">
      <c r="A86" s="40" t="s">
        <v>172</v>
      </c>
      <c r="B86" s="13" t="s">
        <v>34</v>
      </c>
      <c r="C86" s="13" t="s">
        <v>276</v>
      </c>
      <c r="D86" s="13" t="s">
        <v>356</v>
      </c>
      <c r="E86" s="13" t="s">
        <v>356</v>
      </c>
      <c r="F86" s="13" t="s">
        <v>334</v>
      </c>
      <c r="G86" s="13" t="s">
        <v>337</v>
      </c>
      <c r="H86" s="14">
        <v>225</v>
      </c>
      <c r="I86" s="15">
        <v>69</v>
      </c>
      <c r="J86" s="16">
        <f t="shared" si="8"/>
        <v>15525</v>
      </c>
      <c r="K86" s="17">
        <v>46087</v>
      </c>
      <c r="L86" s="10">
        <v>225</v>
      </c>
      <c r="M86" s="18">
        <f t="shared" si="0"/>
        <v>225</v>
      </c>
      <c r="N86" s="19">
        <f t="shared" si="9"/>
        <v>0</v>
      </c>
      <c r="O86" s="10" t="str">
        <f t="shared" si="10"/>
        <v>COMPLETE</v>
      </c>
      <c r="P86" s="10"/>
      <c r="Q86" s="10" t="str">
        <f t="shared" si="3"/>
        <v>OK</v>
      </c>
    </row>
    <row r="87" spans="1:17" x14ac:dyDescent="0.3">
      <c r="A87" s="10" t="s">
        <v>177</v>
      </c>
      <c r="B87" s="13" t="s">
        <v>73</v>
      </c>
      <c r="C87" s="13" t="s">
        <v>280</v>
      </c>
      <c r="D87" s="13" t="s">
        <v>165</v>
      </c>
      <c r="E87" s="13" t="s">
        <v>165</v>
      </c>
      <c r="F87" s="13" t="s">
        <v>125</v>
      </c>
      <c r="G87" s="13" t="s">
        <v>126</v>
      </c>
      <c r="H87" s="14">
        <v>40</v>
      </c>
      <c r="I87" s="15">
        <v>95</v>
      </c>
      <c r="J87" s="16">
        <f t="shared" si="8"/>
        <v>3800</v>
      </c>
      <c r="K87" s="17">
        <v>46062</v>
      </c>
      <c r="L87" s="10">
        <v>40</v>
      </c>
      <c r="M87" s="18">
        <f t="shared" si="0"/>
        <v>40</v>
      </c>
      <c r="N87" s="19">
        <f t="shared" si="9"/>
        <v>0</v>
      </c>
      <c r="O87" s="10" t="str">
        <f t="shared" si="10"/>
        <v>COMPLETE</v>
      </c>
      <c r="P87" s="10"/>
      <c r="Q87" s="10" t="str">
        <f t="shared" si="3"/>
        <v>OK</v>
      </c>
    </row>
    <row r="88" spans="1:17" x14ac:dyDescent="0.3">
      <c r="A88" s="10" t="s">
        <v>183</v>
      </c>
      <c r="B88" s="13" t="s">
        <v>50</v>
      </c>
      <c r="C88" s="13" t="s">
        <v>283</v>
      </c>
      <c r="D88" s="13" t="s">
        <v>284</v>
      </c>
      <c r="E88" s="13" t="s">
        <v>284</v>
      </c>
      <c r="F88" s="13" t="s">
        <v>99</v>
      </c>
      <c r="G88" s="13" t="s">
        <v>100</v>
      </c>
      <c r="H88" s="14">
        <v>10</v>
      </c>
      <c r="I88" s="15">
        <v>115</v>
      </c>
      <c r="J88" s="16">
        <f t="shared" si="8"/>
        <v>1150</v>
      </c>
      <c r="K88" s="17">
        <v>46062</v>
      </c>
      <c r="L88" s="10">
        <v>60</v>
      </c>
      <c r="M88" s="18">
        <f t="shared" si="0"/>
        <v>10</v>
      </c>
      <c r="N88" s="19">
        <f t="shared" si="9"/>
        <v>50</v>
      </c>
      <c r="O88" s="10" t="str">
        <f t="shared" si="10"/>
        <v>INCOMPLETE</v>
      </c>
      <c r="P88" s="10"/>
      <c r="Q88" s="10" t="str">
        <f t="shared" si="3"/>
        <v>OK</v>
      </c>
    </row>
    <row r="89" spans="1:17" x14ac:dyDescent="0.3">
      <c r="A89" s="10" t="s">
        <v>194</v>
      </c>
      <c r="B89" s="13" t="s">
        <v>73</v>
      </c>
      <c r="C89" s="13" t="s">
        <v>308</v>
      </c>
      <c r="D89" s="13" t="s">
        <v>189</v>
      </c>
      <c r="E89" s="13" t="s">
        <v>189</v>
      </c>
      <c r="F89" s="13" t="s">
        <v>125</v>
      </c>
      <c r="G89" s="13" t="s">
        <v>126</v>
      </c>
      <c r="H89" s="14">
        <v>50</v>
      </c>
      <c r="I89" s="15">
        <v>95</v>
      </c>
      <c r="J89" s="16">
        <f t="shared" si="8"/>
        <v>4750</v>
      </c>
      <c r="K89" s="17">
        <v>46066</v>
      </c>
      <c r="L89" s="10">
        <v>50</v>
      </c>
      <c r="M89" s="18">
        <f t="shared" si="0"/>
        <v>50</v>
      </c>
      <c r="N89" s="19">
        <f t="shared" si="9"/>
        <v>0</v>
      </c>
      <c r="O89" s="10" t="str">
        <f t="shared" si="10"/>
        <v>COMPLETE</v>
      </c>
      <c r="P89" s="10"/>
      <c r="Q89" s="10" t="str">
        <f t="shared" si="3"/>
        <v>OK</v>
      </c>
    </row>
    <row r="90" spans="1:17" x14ac:dyDescent="0.3">
      <c r="A90" s="10" t="s">
        <v>201</v>
      </c>
      <c r="B90" s="13" t="s">
        <v>50</v>
      </c>
      <c r="C90" s="13" t="s">
        <v>318</v>
      </c>
      <c r="D90" s="13" t="s">
        <v>306</v>
      </c>
      <c r="E90" s="13" t="s">
        <v>306</v>
      </c>
      <c r="F90" s="13" t="s">
        <v>319</v>
      </c>
      <c r="G90" s="13" t="s">
        <v>320</v>
      </c>
      <c r="H90" s="14">
        <v>5</v>
      </c>
      <c r="I90" s="15">
        <v>105</v>
      </c>
      <c r="J90" s="16">
        <f t="shared" si="8"/>
        <v>525</v>
      </c>
      <c r="K90" s="17">
        <v>46071</v>
      </c>
      <c r="L90" s="10">
        <v>5</v>
      </c>
      <c r="M90" s="18">
        <f t="shared" si="0"/>
        <v>5</v>
      </c>
      <c r="N90" s="19">
        <f t="shared" si="9"/>
        <v>0</v>
      </c>
      <c r="O90" s="10" t="str">
        <f t="shared" si="10"/>
        <v>COMPLETE</v>
      </c>
      <c r="P90" s="10"/>
      <c r="Q90" s="10" t="str">
        <f t="shared" si="3"/>
        <v>OK</v>
      </c>
    </row>
    <row r="91" spans="1:17" x14ac:dyDescent="0.3">
      <c r="A91" s="10" t="s">
        <v>203</v>
      </c>
      <c r="B91" s="13" t="s">
        <v>50</v>
      </c>
      <c r="C91" s="13" t="s">
        <v>349</v>
      </c>
      <c r="D91" s="13" t="s">
        <v>317</v>
      </c>
      <c r="E91" s="13" t="s">
        <v>317</v>
      </c>
      <c r="F91" s="13" t="s">
        <v>30</v>
      </c>
      <c r="G91" s="13" t="s">
        <v>31</v>
      </c>
      <c r="H91" s="14">
        <v>15</v>
      </c>
      <c r="I91" s="15">
        <v>108</v>
      </c>
      <c r="J91" s="16">
        <f t="shared" si="8"/>
        <v>1620</v>
      </c>
      <c r="K91" s="17">
        <v>46079</v>
      </c>
      <c r="L91" s="10">
        <v>15</v>
      </c>
      <c r="M91" s="18">
        <f t="shared" si="0"/>
        <v>15</v>
      </c>
      <c r="N91" s="19">
        <f t="shared" si="9"/>
        <v>0</v>
      </c>
      <c r="O91" s="10" t="str">
        <f t="shared" si="10"/>
        <v>COMPLETE</v>
      </c>
      <c r="P91" s="10"/>
      <c r="Q91" s="10" t="str">
        <f t="shared" si="3"/>
        <v>OK</v>
      </c>
    </row>
    <row r="92" spans="1:17" x14ac:dyDescent="0.3">
      <c r="A92" s="10" t="s">
        <v>205</v>
      </c>
      <c r="B92" s="13" t="s">
        <v>73</v>
      </c>
      <c r="C92" s="13" t="s">
        <v>351</v>
      </c>
      <c r="D92" s="13" t="s">
        <v>222</v>
      </c>
      <c r="E92" s="13" t="s">
        <v>222</v>
      </c>
      <c r="F92" s="13" t="s">
        <v>319</v>
      </c>
      <c r="G92" s="13" t="s">
        <v>320</v>
      </c>
      <c r="H92" s="14">
        <v>20</v>
      </c>
      <c r="I92" s="15">
        <v>95</v>
      </c>
      <c r="J92" s="16">
        <f t="shared" si="8"/>
        <v>1900</v>
      </c>
      <c r="K92" s="17">
        <v>46079</v>
      </c>
      <c r="L92" s="10">
        <v>20</v>
      </c>
      <c r="M92" s="18">
        <f t="shared" si="0"/>
        <v>20</v>
      </c>
      <c r="N92" s="19">
        <f t="shared" si="9"/>
        <v>0</v>
      </c>
      <c r="O92" s="10" t="str">
        <f t="shared" si="10"/>
        <v>COMPLETE</v>
      </c>
      <c r="P92" s="10"/>
      <c r="Q92" s="10" t="str">
        <f t="shared" si="3"/>
        <v>OK</v>
      </c>
    </row>
    <row r="93" spans="1:17" x14ac:dyDescent="0.3">
      <c r="A93" s="10" t="s">
        <v>210</v>
      </c>
      <c r="B93" s="13" t="s">
        <v>102</v>
      </c>
      <c r="C93" s="13" t="s">
        <v>359</v>
      </c>
      <c r="D93" s="13" t="s">
        <v>98</v>
      </c>
      <c r="E93" s="13" t="s">
        <v>98</v>
      </c>
      <c r="F93" s="13" t="s">
        <v>125</v>
      </c>
      <c r="G93" s="13" t="s">
        <v>126</v>
      </c>
      <c r="H93" s="14">
        <v>25</v>
      </c>
      <c r="I93" s="15">
        <v>75</v>
      </c>
      <c r="J93" s="16">
        <f t="shared" si="8"/>
        <v>1875</v>
      </c>
      <c r="K93" s="17">
        <v>46083</v>
      </c>
      <c r="L93" s="10">
        <v>25</v>
      </c>
      <c r="M93" s="18">
        <f t="shared" si="0"/>
        <v>25</v>
      </c>
      <c r="N93" s="19">
        <f t="shared" si="9"/>
        <v>0</v>
      </c>
      <c r="O93" s="10" t="str">
        <f t="shared" si="10"/>
        <v>COMPLETE</v>
      </c>
      <c r="P93" s="10"/>
      <c r="Q93" s="10" t="str">
        <f t="shared" si="3"/>
        <v>OK</v>
      </c>
    </row>
    <row r="94" spans="1:17" x14ac:dyDescent="0.3">
      <c r="A94" s="41" t="s">
        <v>212</v>
      </c>
      <c r="B94" s="13" t="s">
        <v>63</v>
      </c>
      <c r="C94" s="13" t="s">
        <v>369</v>
      </c>
      <c r="D94" s="13" t="s">
        <v>94</v>
      </c>
      <c r="E94" s="13" t="s">
        <v>94</v>
      </c>
      <c r="F94" s="13" t="s">
        <v>99</v>
      </c>
      <c r="G94" s="13" t="s">
        <v>100</v>
      </c>
      <c r="H94" s="14">
        <v>20</v>
      </c>
      <c r="I94" s="15">
        <v>100</v>
      </c>
      <c r="J94" s="16">
        <f t="shared" si="8"/>
        <v>2000</v>
      </c>
      <c r="K94" s="17">
        <v>46085</v>
      </c>
      <c r="L94" s="10">
        <v>20</v>
      </c>
      <c r="M94" s="18">
        <f t="shared" si="0"/>
        <v>20</v>
      </c>
      <c r="N94" s="19">
        <f t="shared" si="9"/>
        <v>0</v>
      </c>
      <c r="O94" s="10" t="str">
        <f t="shared" si="10"/>
        <v>COMPLETE</v>
      </c>
      <c r="P94" s="10"/>
      <c r="Q94" s="10" t="str">
        <f t="shared" si="3"/>
        <v>OK</v>
      </c>
    </row>
    <row r="95" spans="1:17" x14ac:dyDescent="0.3">
      <c r="A95" s="41" t="s">
        <v>212</v>
      </c>
      <c r="B95" s="13" t="s">
        <v>63</v>
      </c>
      <c r="C95" s="13" t="s">
        <v>369</v>
      </c>
      <c r="D95" s="13" t="s">
        <v>94</v>
      </c>
      <c r="E95" s="13" t="s">
        <v>94</v>
      </c>
      <c r="F95" s="13" t="s">
        <v>30</v>
      </c>
      <c r="G95" s="13" t="s">
        <v>31</v>
      </c>
      <c r="H95" s="14">
        <v>20</v>
      </c>
      <c r="I95" s="15">
        <v>100</v>
      </c>
      <c r="J95" s="16">
        <f t="shared" si="8"/>
        <v>2000</v>
      </c>
      <c r="K95" s="17">
        <v>46085</v>
      </c>
      <c r="L95" s="10">
        <v>20</v>
      </c>
      <c r="M95" s="18">
        <f t="shared" si="0"/>
        <v>20</v>
      </c>
      <c r="N95" s="19">
        <f t="shared" si="9"/>
        <v>0</v>
      </c>
      <c r="O95" s="10" t="str">
        <f t="shared" si="10"/>
        <v>COMPLETE</v>
      </c>
      <c r="P95" s="10"/>
      <c r="Q95" s="10" t="str">
        <f t="shared" si="3"/>
        <v>OK</v>
      </c>
    </row>
    <row r="96" spans="1:17" x14ac:dyDescent="0.3">
      <c r="A96" s="10" t="s">
        <v>214</v>
      </c>
      <c r="B96" s="13" t="s">
        <v>63</v>
      </c>
      <c r="C96" s="13" t="s">
        <v>370</v>
      </c>
      <c r="D96" s="13" t="s">
        <v>98</v>
      </c>
      <c r="E96" s="13" t="s">
        <v>98</v>
      </c>
      <c r="F96" s="13" t="s">
        <v>36</v>
      </c>
      <c r="G96" s="13" t="s">
        <v>37</v>
      </c>
      <c r="H96" s="14">
        <v>30</v>
      </c>
      <c r="I96" s="15">
        <v>100</v>
      </c>
      <c r="J96" s="16">
        <f t="shared" si="8"/>
        <v>3000</v>
      </c>
      <c r="K96" s="17">
        <v>46085</v>
      </c>
      <c r="L96" s="10">
        <v>30</v>
      </c>
      <c r="M96" s="18">
        <f t="shared" si="0"/>
        <v>30</v>
      </c>
      <c r="N96" s="19">
        <f t="shared" si="9"/>
        <v>0</v>
      </c>
      <c r="O96" s="10" t="str">
        <f t="shared" si="10"/>
        <v>COMPLETE</v>
      </c>
      <c r="P96" s="10"/>
      <c r="Q96" s="10" t="str">
        <f t="shared" si="3"/>
        <v>OK</v>
      </c>
    </row>
    <row r="97" spans="1:17" x14ac:dyDescent="0.3">
      <c r="A97" s="10" t="s">
        <v>215</v>
      </c>
      <c r="B97" s="13" t="s">
        <v>34</v>
      </c>
      <c r="C97" s="13" t="s">
        <v>389</v>
      </c>
      <c r="D97" s="13" t="s">
        <v>343</v>
      </c>
      <c r="E97" s="13" t="s">
        <v>343</v>
      </c>
      <c r="F97" s="13" t="s">
        <v>65</v>
      </c>
      <c r="G97" s="13" t="s">
        <v>66</v>
      </c>
      <c r="H97" s="14">
        <v>50</v>
      </c>
      <c r="I97" s="15">
        <v>65</v>
      </c>
      <c r="J97" s="16">
        <f t="shared" si="8"/>
        <v>3250</v>
      </c>
      <c r="K97" s="17">
        <v>46087</v>
      </c>
      <c r="L97" s="10">
        <v>100</v>
      </c>
      <c r="M97" s="18">
        <f t="shared" si="0"/>
        <v>50</v>
      </c>
      <c r="N97" s="19">
        <f t="shared" si="9"/>
        <v>50</v>
      </c>
      <c r="O97" s="10" t="str">
        <f t="shared" si="10"/>
        <v>INCOMPLETE</v>
      </c>
      <c r="P97" s="10"/>
      <c r="Q97" s="10" t="str">
        <f t="shared" si="3"/>
        <v>OK</v>
      </c>
    </row>
    <row r="98" spans="1:17" x14ac:dyDescent="0.3">
      <c r="A98" s="10" t="s">
        <v>220</v>
      </c>
      <c r="B98" s="13" t="s">
        <v>130</v>
      </c>
      <c r="C98" s="13" t="s">
        <v>390</v>
      </c>
      <c r="D98" s="13" t="s">
        <v>98</v>
      </c>
      <c r="E98" s="13" t="s">
        <v>98</v>
      </c>
      <c r="F98" s="13" t="s">
        <v>65</v>
      </c>
      <c r="G98" s="13" t="s">
        <v>66</v>
      </c>
      <c r="H98" s="14">
        <v>2</v>
      </c>
      <c r="I98" s="15">
        <v>73</v>
      </c>
      <c r="J98" s="16">
        <f t="shared" si="8"/>
        <v>146</v>
      </c>
      <c r="K98" s="17">
        <v>46086</v>
      </c>
      <c r="L98" s="10">
        <v>2</v>
      </c>
      <c r="M98" s="18">
        <f t="shared" si="0"/>
        <v>2</v>
      </c>
      <c r="N98" s="19">
        <f t="shared" si="9"/>
        <v>0</v>
      </c>
      <c r="O98" s="10" t="str">
        <f t="shared" si="10"/>
        <v>COMPLETE</v>
      </c>
      <c r="P98" s="10"/>
      <c r="Q98" s="10" t="str">
        <f t="shared" si="3"/>
        <v>OK</v>
      </c>
    </row>
    <row r="99" spans="1:17" x14ac:dyDescent="0.3">
      <c r="A99" s="10" t="s">
        <v>227</v>
      </c>
      <c r="B99" s="13" t="s">
        <v>130</v>
      </c>
      <c r="C99" s="13" t="s">
        <v>391</v>
      </c>
      <c r="D99" s="13" t="s">
        <v>135</v>
      </c>
      <c r="E99" s="13" t="s">
        <v>135</v>
      </c>
      <c r="F99" s="13" t="s">
        <v>65</v>
      </c>
      <c r="G99" s="13" t="s">
        <v>66</v>
      </c>
      <c r="H99" s="14">
        <v>12</v>
      </c>
      <c r="I99" s="15">
        <v>73</v>
      </c>
      <c r="J99" s="16">
        <f t="shared" si="8"/>
        <v>876</v>
      </c>
      <c r="K99" s="17">
        <v>46087</v>
      </c>
      <c r="L99" s="10">
        <v>12</v>
      </c>
      <c r="M99" s="18">
        <f t="shared" si="0"/>
        <v>12</v>
      </c>
      <c r="N99" s="19">
        <f t="shared" si="9"/>
        <v>0</v>
      </c>
      <c r="O99" s="10" t="str">
        <f t="shared" si="10"/>
        <v>COMPLETE</v>
      </c>
      <c r="P99" s="10"/>
      <c r="Q99" s="10" t="str">
        <f t="shared" si="3"/>
        <v>OK</v>
      </c>
    </row>
    <row r="100" spans="1:17" x14ac:dyDescent="0.3">
      <c r="A100" s="10" t="s">
        <v>230</v>
      </c>
      <c r="B100" s="13" t="s">
        <v>73</v>
      </c>
      <c r="C100" s="13" t="s">
        <v>393</v>
      </c>
      <c r="D100" s="13" t="s">
        <v>248</v>
      </c>
      <c r="E100" s="13" t="s">
        <v>248</v>
      </c>
      <c r="F100" s="13" t="s">
        <v>125</v>
      </c>
      <c r="G100" s="13" t="s">
        <v>126</v>
      </c>
      <c r="H100" s="14">
        <v>20</v>
      </c>
      <c r="I100" s="15">
        <v>95</v>
      </c>
      <c r="J100" s="16">
        <f t="shared" si="8"/>
        <v>1900</v>
      </c>
      <c r="K100" s="17">
        <v>46088</v>
      </c>
      <c r="L100" s="10">
        <v>20</v>
      </c>
      <c r="M100" s="18">
        <f t="shared" si="0"/>
        <v>20</v>
      </c>
      <c r="N100" s="19">
        <f t="shared" si="9"/>
        <v>0</v>
      </c>
      <c r="O100" s="10" t="str">
        <f t="shared" si="10"/>
        <v>COMPLETE</v>
      </c>
      <c r="P100" s="10"/>
      <c r="Q100" s="10" t="str">
        <f t="shared" si="3"/>
        <v>OK</v>
      </c>
    </row>
    <row r="101" spans="1:17" x14ac:dyDescent="0.3">
      <c r="A101" s="42" t="s">
        <v>233</v>
      </c>
      <c r="B101" s="13" t="s">
        <v>34</v>
      </c>
      <c r="C101" s="13" t="s">
        <v>396</v>
      </c>
      <c r="D101" s="13" t="s">
        <v>382</v>
      </c>
      <c r="E101" s="13" t="s">
        <v>382</v>
      </c>
      <c r="F101" s="13" t="s">
        <v>334</v>
      </c>
      <c r="G101" s="13" t="s">
        <v>337</v>
      </c>
      <c r="H101" s="14">
        <v>88</v>
      </c>
      <c r="I101" s="15">
        <v>69</v>
      </c>
      <c r="J101" s="16">
        <f t="shared" ref="J101:J134" si="11">H101*I101</f>
        <v>6072</v>
      </c>
      <c r="K101" s="17">
        <v>46089</v>
      </c>
      <c r="L101" s="10">
        <v>500</v>
      </c>
      <c r="M101" s="18">
        <f t="shared" ref="M101:M134" si="12">H101</f>
        <v>88</v>
      </c>
      <c r="N101" s="19">
        <f t="shared" ref="N101:N134" si="13">L101-M101</f>
        <v>412</v>
      </c>
      <c r="O101" s="10" t="str">
        <f t="shared" ref="O101:O134" si="14">IF(N101=0,"COMPLETE","INCOMPLETE")</f>
        <v>INCOMPLETE</v>
      </c>
      <c r="P101" s="10"/>
      <c r="Q101" s="10" t="str">
        <f t="shared" ref="Q101:Q134" si="15">IF(M101=H101,"OK","X")</f>
        <v>OK</v>
      </c>
    </row>
    <row r="102" spans="1:17" x14ac:dyDescent="0.3">
      <c r="A102" s="42" t="s">
        <v>233</v>
      </c>
      <c r="B102" s="13" t="s">
        <v>34</v>
      </c>
      <c r="C102" s="13" t="s">
        <v>396</v>
      </c>
      <c r="D102" s="13" t="s">
        <v>398</v>
      </c>
      <c r="E102" s="13" t="s">
        <v>398</v>
      </c>
      <c r="F102" s="13" t="s">
        <v>99</v>
      </c>
      <c r="G102" s="13" t="s">
        <v>100</v>
      </c>
      <c r="H102" s="14">
        <v>63</v>
      </c>
      <c r="I102" s="15">
        <v>69</v>
      </c>
      <c r="J102" s="16">
        <f t="shared" si="11"/>
        <v>4347</v>
      </c>
      <c r="K102" s="17">
        <v>46089</v>
      </c>
      <c r="L102" s="10">
        <v>500</v>
      </c>
      <c r="M102" s="18">
        <f t="shared" si="12"/>
        <v>63</v>
      </c>
      <c r="N102" s="19">
        <f t="shared" si="13"/>
        <v>437</v>
      </c>
      <c r="O102" s="10" t="str">
        <f t="shared" si="14"/>
        <v>INCOMPLETE</v>
      </c>
      <c r="P102" s="10"/>
      <c r="Q102" s="10" t="str">
        <f t="shared" si="15"/>
        <v>OK</v>
      </c>
    </row>
    <row r="103" spans="1:17" x14ac:dyDescent="0.3">
      <c r="A103" s="42" t="s">
        <v>233</v>
      </c>
      <c r="B103" s="13" t="s">
        <v>34</v>
      </c>
      <c r="C103" s="13" t="s">
        <v>396</v>
      </c>
      <c r="D103" s="13" t="s">
        <v>406</v>
      </c>
      <c r="E103" s="13" t="s">
        <v>406</v>
      </c>
      <c r="F103" s="13" t="s">
        <v>385</v>
      </c>
      <c r="G103" s="13" t="s">
        <v>386</v>
      </c>
      <c r="H103" s="14">
        <v>60</v>
      </c>
      <c r="I103" s="15">
        <v>69</v>
      </c>
      <c r="J103" s="16">
        <f t="shared" si="11"/>
        <v>4140</v>
      </c>
      <c r="K103" s="17">
        <v>46092</v>
      </c>
      <c r="L103" s="10">
        <v>437</v>
      </c>
      <c r="M103" s="18">
        <f t="shared" si="12"/>
        <v>60</v>
      </c>
      <c r="N103" s="19">
        <f t="shared" si="13"/>
        <v>377</v>
      </c>
      <c r="O103" s="10" t="str">
        <f t="shared" si="14"/>
        <v>INCOMPLETE</v>
      </c>
      <c r="P103" s="10"/>
      <c r="Q103" s="10" t="str">
        <f t="shared" si="15"/>
        <v>OK</v>
      </c>
    </row>
    <row r="104" spans="1:17" x14ac:dyDescent="0.3">
      <c r="A104" s="42" t="s">
        <v>233</v>
      </c>
      <c r="B104" s="13" t="s">
        <v>34</v>
      </c>
      <c r="C104" s="13" t="s">
        <v>396</v>
      </c>
      <c r="D104" s="13" t="s">
        <v>406</v>
      </c>
      <c r="E104" s="13" t="s">
        <v>406</v>
      </c>
      <c r="F104" s="13" t="s">
        <v>334</v>
      </c>
      <c r="G104" s="13" t="s">
        <v>337</v>
      </c>
      <c r="H104" s="14">
        <v>60</v>
      </c>
      <c r="I104" s="15">
        <v>69</v>
      </c>
      <c r="J104" s="16">
        <f t="shared" si="11"/>
        <v>4140</v>
      </c>
      <c r="K104" s="17">
        <v>46092</v>
      </c>
      <c r="L104" s="10">
        <v>412</v>
      </c>
      <c r="M104" s="18">
        <f t="shared" si="12"/>
        <v>60</v>
      </c>
      <c r="N104" s="19">
        <f t="shared" si="13"/>
        <v>352</v>
      </c>
      <c r="O104" s="10" t="str">
        <f t="shared" si="14"/>
        <v>INCOMPLETE</v>
      </c>
      <c r="P104" s="10"/>
      <c r="Q104" s="10" t="str">
        <f t="shared" si="15"/>
        <v>OK</v>
      </c>
    </row>
    <row r="105" spans="1:17" x14ac:dyDescent="0.3">
      <c r="A105" s="42" t="s">
        <v>233</v>
      </c>
      <c r="B105" s="13" t="s">
        <v>34</v>
      </c>
      <c r="C105" s="13" t="s">
        <v>396</v>
      </c>
      <c r="D105" s="13" t="s">
        <v>427</v>
      </c>
      <c r="E105" s="13" t="s">
        <v>427</v>
      </c>
      <c r="F105" s="13" t="s">
        <v>334</v>
      </c>
      <c r="G105" s="13" t="s">
        <v>337</v>
      </c>
      <c r="H105" s="14">
        <v>25</v>
      </c>
      <c r="I105" s="15">
        <v>69</v>
      </c>
      <c r="J105" s="16">
        <f t="shared" si="11"/>
        <v>1725</v>
      </c>
      <c r="K105" s="17">
        <v>46097</v>
      </c>
      <c r="L105" s="10">
        <v>352</v>
      </c>
      <c r="M105" s="18">
        <f t="shared" si="12"/>
        <v>25</v>
      </c>
      <c r="N105" s="19">
        <f t="shared" si="13"/>
        <v>327</v>
      </c>
      <c r="O105" s="10" t="str">
        <f t="shared" si="14"/>
        <v>INCOMPLETE</v>
      </c>
      <c r="P105" s="10"/>
      <c r="Q105" s="10" t="str">
        <f t="shared" si="15"/>
        <v>OK</v>
      </c>
    </row>
    <row r="106" spans="1:17" x14ac:dyDescent="0.3">
      <c r="A106" s="42" t="s">
        <v>233</v>
      </c>
      <c r="B106" s="13" t="s">
        <v>34</v>
      </c>
      <c r="C106" s="13" t="s">
        <v>396</v>
      </c>
      <c r="D106" s="13" t="s">
        <v>427</v>
      </c>
      <c r="E106" s="13" t="s">
        <v>427</v>
      </c>
      <c r="F106" s="13" t="s">
        <v>335</v>
      </c>
      <c r="G106" s="13" t="s">
        <v>338</v>
      </c>
      <c r="H106" s="14">
        <v>20</v>
      </c>
      <c r="I106" s="15">
        <v>69</v>
      </c>
      <c r="J106" s="16">
        <f t="shared" si="11"/>
        <v>1380</v>
      </c>
      <c r="K106" s="17">
        <v>46097</v>
      </c>
      <c r="L106" s="10">
        <v>200</v>
      </c>
      <c r="M106" s="18">
        <f t="shared" si="12"/>
        <v>20</v>
      </c>
      <c r="N106" s="19">
        <f t="shared" si="13"/>
        <v>180</v>
      </c>
      <c r="O106" s="10" t="str">
        <f t="shared" si="14"/>
        <v>INCOMPLETE</v>
      </c>
      <c r="P106" s="10"/>
      <c r="Q106" s="10" t="str">
        <f t="shared" si="15"/>
        <v>OK</v>
      </c>
    </row>
    <row r="107" spans="1:17" x14ac:dyDescent="0.3">
      <c r="A107" s="42" t="s">
        <v>233</v>
      </c>
      <c r="B107" s="13" t="s">
        <v>34</v>
      </c>
      <c r="C107" s="13" t="s">
        <v>396</v>
      </c>
      <c r="D107" s="13" t="s">
        <v>447</v>
      </c>
      <c r="E107" s="13" t="s">
        <v>447</v>
      </c>
      <c r="F107" s="13" t="s">
        <v>334</v>
      </c>
      <c r="G107" s="13" t="s">
        <v>337</v>
      </c>
      <c r="H107" s="14">
        <v>50</v>
      </c>
      <c r="I107" s="15">
        <v>69</v>
      </c>
      <c r="J107" s="16">
        <f t="shared" si="11"/>
        <v>3450</v>
      </c>
      <c r="K107" s="17">
        <v>46104</v>
      </c>
      <c r="L107" s="10">
        <v>327</v>
      </c>
      <c r="M107" s="18">
        <f t="shared" si="12"/>
        <v>50</v>
      </c>
      <c r="N107" s="19">
        <f t="shared" si="13"/>
        <v>277</v>
      </c>
      <c r="O107" s="10" t="str">
        <f t="shared" si="14"/>
        <v>INCOMPLETE</v>
      </c>
      <c r="P107" s="10"/>
      <c r="Q107" s="10" t="str">
        <f t="shared" si="15"/>
        <v>OK</v>
      </c>
    </row>
    <row r="108" spans="1:17" x14ac:dyDescent="0.3">
      <c r="A108" s="42" t="s">
        <v>233</v>
      </c>
      <c r="B108" s="13" t="s">
        <v>34</v>
      </c>
      <c r="C108" s="13" t="s">
        <v>396</v>
      </c>
      <c r="D108" s="13" t="s">
        <v>447</v>
      </c>
      <c r="E108" s="13" t="s">
        <v>447</v>
      </c>
      <c r="F108" s="13" t="s">
        <v>335</v>
      </c>
      <c r="G108" s="13" t="s">
        <v>338</v>
      </c>
      <c r="H108" s="14">
        <v>40</v>
      </c>
      <c r="I108" s="15">
        <v>69</v>
      </c>
      <c r="J108" s="16">
        <f t="shared" si="11"/>
        <v>2760</v>
      </c>
      <c r="K108" s="17">
        <v>46104</v>
      </c>
      <c r="L108" s="10">
        <v>180</v>
      </c>
      <c r="M108" s="18">
        <f t="shared" si="12"/>
        <v>40</v>
      </c>
      <c r="N108" s="19">
        <f t="shared" si="13"/>
        <v>140</v>
      </c>
      <c r="O108" s="10" t="str">
        <f t="shared" si="14"/>
        <v>INCOMPLETE</v>
      </c>
      <c r="P108" s="10"/>
      <c r="Q108" s="10" t="str">
        <f t="shared" si="15"/>
        <v>OK</v>
      </c>
    </row>
    <row r="109" spans="1:17" x14ac:dyDescent="0.3">
      <c r="A109" s="42" t="s">
        <v>233</v>
      </c>
      <c r="B109" s="13" t="s">
        <v>34</v>
      </c>
      <c r="C109" s="13" t="s">
        <v>396</v>
      </c>
      <c r="D109" s="13" t="s">
        <v>596</v>
      </c>
      <c r="E109" s="13" t="s">
        <v>596</v>
      </c>
      <c r="F109" s="13" t="s">
        <v>334</v>
      </c>
      <c r="G109" s="13" t="s">
        <v>337</v>
      </c>
      <c r="H109" s="14">
        <v>75</v>
      </c>
      <c r="I109" s="15">
        <v>69</v>
      </c>
      <c r="J109" s="16">
        <f t="shared" si="11"/>
        <v>5175</v>
      </c>
      <c r="K109" s="17">
        <v>46139</v>
      </c>
      <c r="L109" s="10">
        <v>277</v>
      </c>
      <c r="M109" s="18">
        <f t="shared" si="12"/>
        <v>75</v>
      </c>
      <c r="N109" s="19">
        <f t="shared" si="13"/>
        <v>202</v>
      </c>
      <c r="O109" s="10" t="str">
        <f t="shared" si="14"/>
        <v>INCOMPLETE</v>
      </c>
      <c r="P109" s="10"/>
      <c r="Q109" s="10" t="str">
        <f t="shared" si="15"/>
        <v>OK</v>
      </c>
    </row>
    <row r="110" spans="1:17" x14ac:dyDescent="0.3">
      <c r="A110" s="42" t="s">
        <v>233</v>
      </c>
      <c r="B110" s="13" t="s">
        <v>34</v>
      </c>
      <c r="C110" s="13" t="s">
        <v>396</v>
      </c>
      <c r="D110" s="13" t="s">
        <v>596</v>
      </c>
      <c r="E110" s="13" t="s">
        <v>596</v>
      </c>
      <c r="F110" s="13" t="s">
        <v>335</v>
      </c>
      <c r="G110" s="13" t="s">
        <v>338</v>
      </c>
      <c r="H110" s="14">
        <v>80</v>
      </c>
      <c r="I110" s="15">
        <v>69</v>
      </c>
      <c r="J110" s="16">
        <f t="shared" si="11"/>
        <v>5520</v>
      </c>
      <c r="K110" s="17">
        <v>46139</v>
      </c>
      <c r="L110" s="10">
        <v>140</v>
      </c>
      <c r="M110" s="18">
        <f t="shared" si="12"/>
        <v>80</v>
      </c>
      <c r="N110" s="19">
        <f t="shared" si="13"/>
        <v>60</v>
      </c>
      <c r="O110" s="10" t="str">
        <f t="shared" si="14"/>
        <v>INCOMPLETE</v>
      </c>
      <c r="P110" s="10"/>
      <c r="Q110" s="10" t="str">
        <f t="shared" si="15"/>
        <v>OK</v>
      </c>
    </row>
    <row r="111" spans="1:17" x14ac:dyDescent="0.3">
      <c r="A111" s="42" t="s">
        <v>233</v>
      </c>
      <c r="B111" s="13" t="s">
        <v>34</v>
      </c>
      <c r="C111" s="13" t="s">
        <v>396</v>
      </c>
      <c r="D111" s="13" t="s">
        <v>597</v>
      </c>
      <c r="E111" s="13" t="s">
        <v>597</v>
      </c>
      <c r="F111" s="13" t="s">
        <v>385</v>
      </c>
      <c r="G111" s="13" t="s">
        <v>386</v>
      </c>
      <c r="H111" s="14">
        <v>75</v>
      </c>
      <c r="I111" s="15">
        <v>69</v>
      </c>
      <c r="J111" s="16">
        <f t="shared" si="11"/>
        <v>5175</v>
      </c>
      <c r="K111" s="17">
        <v>46139</v>
      </c>
      <c r="L111" s="10">
        <v>377</v>
      </c>
      <c r="M111" s="18">
        <f t="shared" si="12"/>
        <v>75</v>
      </c>
      <c r="N111" s="19">
        <f t="shared" si="13"/>
        <v>302</v>
      </c>
      <c r="O111" s="10" t="str">
        <f t="shared" si="14"/>
        <v>INCOMPLETE</v>
      </c>
      <c r="P111" s="10"/>
      <c r="Q111" s="10" t="str">
        <f t="shared" si="15"/>
        <v>OK</v>
      </c>
    </row>
    <row r="112" spans="1:17" x14ac:dyDescent="0.3">
      <c r="A112" s="42">
        <v>34</v>
      </c>
      <c r="B112" s="13" t="s">
        <v>34</v>
      </c>
      <c r="C112" s="13" t="s">
        <v>396</v>
      </c>
      <c r="D112" s="13" t="s">
        <v>603</v>
      </c>
      <c r="E112" s="13" t="s">
        <v>603</v>
      </c>
      <c r="F112" s="13" t="s">
        <v>385</v>
      </c>
      <c r="G112" s="13" t="s">
        <v>386</v>
      </c>
      <c r="H112" s="14">
        <v>30</v>
      </c>
      <c r="I112" s="15">
        <v>69</v>
      </c>
      <c r="J112" s="16">
        <f t="shared" si="11"/>
        <v>2070</v>
      </c>
      <c r="K112" s="17">
        <v>46141</v>
      </c>
      <c r="L112" s="10">
        <v>302</v>
      </c>
      <c r="M112" s="18">
        <f t="shared" si="12"/>
        <v>30</v>
      </c>
      <c r="N112" s="19">
        <f t="shared" si="13"/>
        <v>272</v>
      </c>
      <c r="O112" s="10" t="str">
        <f t="shared" si="14"/>
        <v>INCOMPLETE</v>
      </c>
      <c r="P112" s="10"/>
      <c r="Q112" s="10" t="str">
        <f t="shared" si="15"/>
        <v>OK</v>
      </c>
    </row>
    <row r="113" spans="1:17" x14ac:dyDescent="0.3">
      <c r="A113" s="42">
        <v>34</v>
      </c>
      <c r="B113" s="13" t="s">
        <v>34</v>
      </c>
      <c r="C113" s="13" t="s">
        <v>396</v>
      </c>
      <c r="D113" s="13" t="s">
        <v>603</v>
      </c>
      <c r="E113" s="13" t="s">
        <v>603</v>
      </c>
      <c r="F113" s="13" t="s">
        <v>334</v>
      </c>
      <c r="G113" s="13" t="s">
        <v>337</v>
      </c>
      <c r="H113" s="14">
        <v>30</v>
      </c>
      <c r="I113" s="15">
        <v>69</v>
      </c>
      <c r="J113" s="16">
        <f t="shared" si="11"/>
        <v>2070</v>
      </c>
      <c r="K113" s="17">
        <v>46141</v>
      </c>
      <c r="L113" s="10">
        <v>202</v>
      </c>
      <c r="M113" s="18">
        <f t="shared" si="12"/>
        <v>30</v>
      </c>
      <c r="N113" s="19">
        <f t="shared" si="13"/>
        <v>172</v>
      </c>
      <c r="O113" s="10" t="str">
        <f t="shared" si="14"/>
        <v>INCOMPLETE</v>
      </c>
      <c r="P113" s="10"/>
      <c r="Q113" s="10" t="str">
        <f t="shared" si="15"/>
        <v>OK</v>
      </c>
    </row>
    <row r="114" spans="1:17" x14ac:dyDescent="0.3">
      <c r="A114" s="42">
        <v>34</v>
      </c>
      <c r="B114" s="13" t="s">
        <v>34</v>
      </c>
      <c r="C114" s="13" t="s">
        <v>396</v>
      </c>
      <c r="D114" s="13" t="s">
        <v>603</v>
      </c>
      <c r="E114" s="13" t="s">
        <v>603</v>
      </c>
      <c r="F114" s="13" t="s">
        <v>335</v>
      </c>
      <c r="G114" s="13" t="s">
        <v>338</v>
      </c>
      <c r="H114" s="14">
        <v>30</v>
      </c>
      <c r="I114" s="15">
        <v>69</v>
      </c>
      <c r="J114" s="16">
        <f t="shared" si="11"/>
        <v>2070</v>
      </c>
      <c r="K114" s="17">
        <v>46141</v>
      </c>
      <c r="L114" s="10">
        <v>60</v>
      </c>
      <c r="M114" s="18">
        <f t="shared" si="12"/>
        <v>30</v>
      </c>
      <c r="N114" s="19">
        <f t="shared" si="13"/>
        <v>30</v>
      </c>
      <c r="O114" s="10" t="str">
        <f t="shared" si="14"/>
        <v>INCOMPLETE</v>
      </c>
      <c r="P114" s="10"/>
      <c r="Q114" s="10" t="str">
        <f t="shared" si="15"/>
        <v>OK</v>
      </c>
    </row>
    <row r="115" spans="1:17" x14ac:dyDescent="0.3">
      <c r="A115" s="42">
        <v>34</v>
      </c>
      <c r="B115" s="13" t="s">
        <v>34</v>
      </c>
      <c r="C115" s="13" t="s">
        <v>396</v>
      </c>
      <c r="D115" s="13" t="s">
        <v>605</v>
      </c>
      <c r="E115" s="13" t="s">
        <v>605</v>
      </c>
      <c r="F115" s="13" t="s">
        <v>385</v>
      </c>
      <c r="G115" s="13" t="s">
        <v>386</v>
      </c>
      <c r="H115" s="14">
        <v>50</v>
      </c>
      <c r="I115" s="15">
        <v>69</v>
      </c>
      <c r="J115" s="16">
        <f t="shared" si="11"/>
        <v>3450</v>
      </c>
      <c r="K115" s="17">
        <v>46142</v>
      </c>
      <c r="L115" s="10">
        <v>272</v>
      </c>
      <c r="M115" s="18">
        <f t="shared" si="12"/>
        <v>50</v>
      </c>
      <c r="N115" s="19">
        <f t="shared" si="13"/>
        <v>222</v>
      </c>
      <c r="O115" s="10" t="str">
        <f t="shared" si="14"/>
        <v>INCOMPLETE</v>
      </c>
      <c r="P115" s="10"/>
      <c r="Q115" s="10" t="str">
        <f t="shared" si="15"/>
        <v>OK</v>
      </c>
    </row>
    <row r="116" spans="1:17" x14ac:dyDescent="0.3">
      <c r="A116" s="42">
        <v>34</v>
      </c>
      <c r="B116" s="13" t="s">
        <v>34</v>
      </c>
      <c r="C116" s="13" t="s">
        <v>396</v>
      </c>
      <c r="D116" s="13" t="s">
        <v>605</v>
      </c>
      <c r="E116" s="13" t="s">
        <v>605</v>
      </c>
      <c r="F116" s="13" t="s">
        <v>334</v>
      </c>
      <c r="G116" s="13" t="s">
        <v>337</v>
      </c>
      <c r="H116" s="14">
        <v>75</v>
      </c>
      <c r="I116" s="15">
        <v>69</v>
      </c>
      <c r="J116" s="16">
        <f t="shared" si="11"/>
        <v>5175</v>
      </c>
      <c r="K116" s="17">
        <v>46142</v>
      </c>
      <c r="L116" s="10">
        <v>172</v>
      </c>
      <c r="M116" s="18">
        <f t="shared" si="12"/>
        <v>75</v>
      </c>
      <c r="N116" s="19">
        <f t="shared" si="13"/>
        <v>97</v>
      </c>
      <c r="O116" s="10" t="str">
        <f t="shared" si="14"/>
        <v>INCOMPLETE</v>
      </c>
      <c r="P116" s="10"/>
      <c r="Q116" s="10" t="str">
        <f t="shared" si="15"/>
        <v>OK</v>
      </c>
    </row>
    <row r="117" spans="1:17" x14ac:dyDescent="0.3">
      <c r="A117" s="42">
        <v>34</v>
      </c>
      <c r="B117" s="13" t="s">
        <v>34</v>
      </c>
      <c r="C117" s="13" t="s">
        <v>396</v>
      </c>
      <c r="D117" s="13" t="s">
        <v>614</v>
      </c>
      <c r="E117" s="13" t="s">
        <v>614</v>
      </c>
      <c r="F117" s="13" t="s">
        <v>334</v>
      </c>
      <c r="G117" s="13" t="s">
        <v>337</v>
      </c>
      <c r="H117" s="14">
        <v>25</v>
      </c>
      <c r="I117" s="15">
        <v>69</v>
      </c>
      <c r="J117" s="16">
        <f t="shared" si="11"/>
        <v>1725</v>
      </c>
      <c r="K117" s="17">
        <v>46143</v>
      </c>
      <c r="L117" s="10">
        <v>97</v>
      </c>
      <c r="M117" s="18">
        <f t="shared" si="12"/>
        <v>25</v>
      </c>
      <c r="N117" s="19">
        <f t="shared" si="13"/>
        <v>72</v>
      </c>
      <c r="O117" s="10" t="str">
        <f t="shared" si="14"/>
        <v>INCOMPLETE</v>
      </c>
      <c r="P117" s="10"/>
      <c r="Q117" s="10" t="str">
        <f t="shared" si="15"/>
        <v>OK</v>
      </c>
    </row>
    <row r="118" spans="1:17" x14ac:dyDescent="0.3">
      <c r="A118" s="42">
        <v>34</v>
      </c>
      <c r="B118" s="13" t="s">
        <v>34</v>
      </c>
      <c r="C118" s="13" t="s">
        <v>396</v>
      </c>
      <c r="D118" s="13" t="s">
        <v>614</v>
      </c>
      <c r="E118" s="13" t="s">
        <v>614</v>
      </c>
      <c r="F118" s="13" t="s">
        <v>335</v>
      </c>
      <c r="G118" s="13" t="s">
        <v>338</v>
      </c>
      <c r="H118" s="14">
        <v>20</v>
      </c>
      <c r="I118" s="15">
        <v>69</v>
      </c>
      <c r="J118" s="16">
        <f t="shared" si="11"/>
        <v>1380</v>
      </c>
      <c r="K118" s="17">
        <v>46143</v>
      </c>
      <c r="L118" s="10">
        <v>30</v>
      </c>
      <c r="M118" s="18">
        <f t="shared" si="12"/>
        <v>20</v>
      </c>
      <c r="N118" s="19">
        <f t="shared" si="13"/>
        <v>10</v>
      </c>
      <c r="O118" s="10" t="str">
        <f t="shared" si="14"/>
        <v>INCOMPLETE</v>
      </c>
      <c r="P118" s="10"/>
      <c r="Q118" s="10" t="str">
        <f t="shared" si="15"/>
        <v>OK</v>
      </c>
    </row>
    <row r="119" spans="1:17" x14ac:dyDescent="0.3">
      <c r="A119" s="42">
        <v>34</v>
      </c>
      <c r="B119" s="13" t="s">
        <v>34</v>
      </c>
      <c r="C119" s="13" t="s">
        <v>396</v>
      </c>
      <c r="D119" s="13" t="s">
        <v>635</v>
      </c>
      <c r="E119" s="13" t="s">
        <v>635</v>
      </c>
      <c r="F119" s="13" t="s">
        <v>385</v>
      </c>
      <c r="G119" s="13" t="s">
        <v>386</v>
      </c>
      <c r="H119" s="14">
        <v>25</v>
      </c>
      <c r="I119" s="15">
        <v>69</v>
      </c>
      <c r="J119" s="16">
        <f t="shared" si="11"/>
        <v>1725</v>
      </c>
      <c r="K119" s="17">
        <v>46150</v>
      </c>
      <c r="L119" s="10">
        <v>222</v>
      </c>
      <c r="M119" s="18">
        <f t="shared" si="12"/>
        <v>25</v>
      </c>
      <c r="N119" s="19">
        <f t="shared" si="13"/>
        <v>197</v>
      </c>
      <c r="O119" s="10" t="str">
        <f t="shared" si="14"/>
        <v>INCOMPLETE</v>
      </c>
      <c r="P119" s="10"/>
      <c r="Q119" s="10" t="str">
        <f t="shared" si="15"/>
        <v>OK</v>
      </c>
    </row>
    <row r="120" spans="1:17" x14ac:dyDescent="0.3">
      <c r="A120" s="42">
        <v>34</v>
      </c>
      <c r="B120" s="13" t="s">
        <v>34</v>
      </c>
      <c r="C120" s="13" t="s">
        <v>396</v>
      </c>
      <c r="D120" s="13" t="s">
        <v>635</v>
      </c>
      <c r="E120" s="13" t="s">
        <v>635</v>
      </c>
      <c r="F120" s="13" t="s">
        <v>334</v>
      </c>
      <c r="G120" s="13" t="s">
        <v>337</v>
      </c>
      <c r="H120" s="14">
        <v>25</v>
      </c>
      <c r="I120" s="15">
        <v>69</v>
      </c>
      <c r="J120" s="16">
        <f t="shared" si="11"/>
        <v>1725</v>
      </c>
      <c r="K120" s="17">
        <v>46150</v>
      </c>
      <c r="L120" s="10">
        <v>72</v>
      </c>
      <c r="M120" s="18">
        <f t="shared" si="12"/>
        <v>25</v>
      </c>
      <c r="N120" s="19">
        <f t="shared" si="13"/>
        <v>47</v>
      </c>
      <c r="O120" s="10" t="str">
        <f t="shared" si="14"/>
        <v>INCOMPLETE</v>
      </c>
      <c r="P120" s="10"/>
      <c r="Q120" s="10" t="str">
        <f t="shared" si="15"/>
        <v>OK</v>
      </c>
    </row>
    <row r="121" spans="1:17" x14ac:dyDescent="0.3">
      <c r="A121" s="42">
        <v>34</v>
      </c>
      <c r="B121" s="13" t="s">
        <v>34</v>
      </c>
      <c r="C121" s="13" t="s">
        <v>396</v>
      </c>
      <c r="D121" s="13" t="s">
        <v>644</v>
      </c>
      <c r="E121" s="13" t="s">
        <v>644</v>
      </c>
      <c r="F121" s="13" t="s">
        <v>334</v>
      </c>
      <c r="G121" s="13" t="s">
        <v>337</v>
      </c>
      <c r="H121" s="14">
        <v>25</v>
      </c>
      <c r="I121" s="15">
        <v>69</v>
      </c>
      <c r="J121" s="16">
        <f t="shared" si="11"/>
        <v>1725</v>
      </c>
      <c r="K121" s="17">
        <v>46151</v>
      </c>
      <c r="L121" s="10">
        <v>47</v>
      </c>
      <c r="M121" s="18">
        <f t="shared" si="12"/>
        <v>25</v>
      </c>
      <c r="N121" s="19">
        <f t="shared" si="13"/>
        <v>22</v>
      </c>
      <c r="O121" s="10" t="str">
        <f t="shared" si="14"/>
        <v>INCOMPLETE</v>
      </c>
      <c r="P121" s="10"/>
      <c r="Q121" s="10" t="str">
        <f t="shared" si="15"/>
        <v>OK</v>
      </c>
    </row>
    <row r="122" spans="1:17" x14ac:dyDescent="0.3">
      <c r="A122" s="42">
        <v>34</v>
      </c>
      <c r="B122" s="13" t="s">
        <v>34</v>
      </c>
      <c r="C122" s="13" t="s">
        <v>396</v>
      </c>
      <c r="D122" s="13" t="s">
        <v>659</v>
      </c>
      <c r="E122" s="13" t="s">
        <v>659</v>
      </c>
      <c r="F122" s="13" t="s">
        <v>385</v>
      </c>
      <c r="G122" s="13" t="s">
        <v>386</v>
      </c>
      <c r="H122" s="14">
        <v>15</v>
      </c>
      <c r="I122" s="15">
        <v>69</v>
      </c>
      <c r="J122" s="16">
        <f t="shared" si="11"/>
        <v>1035</v>
      </c>
      <c r="K122" s="17">
        <v>46157</v>
      </c>
      <c r="L122" s="10">
        <v>197</v>
      </c>
      <c r="M122" s="18">
        <f t="shared" si="12"/>
        <v>15</v>
      </c>
      <c r="N122" s="19">
        <f t="shared" si="13"/>
        <v>182</v>
      </c>
      <c r="O122" s="10" t="str">
        <f t="shared" si="14"/>
        <v>INCOMPLETE</v>
      </c>
      <c r="P122" s="10"/>
      <c r="Q122" s="10" t="str">
        <f t="shared" si="15"/>
        <v>OK</v>
      </c>
    </row>
    <row r="123" spans="1:17" x14ac:dyDescent="0.3">
      <c r="A123" s="42">
        <v>34</v>
      </c>
      <c r="B123" s="13" t="s">
        <v>34</v>
      </c>
      <c r="C123" s="13" t="s">
        <v>396</v>
      </c>
      <c r="D123" s="13" t="s">
        <v>659</v>
      </c>
      <c r="E123" s="13" t="s">
        <v>659</v>
      </c>
      <c r="F123" s="13" t="s">
        <v>334</v>
      </c>
      <c r="G123" s="13" t="s">
        <v>337</v>
      </c>
      <c r="H123" s="14">
        <v>15</v>
      </c>
      <c r="I123" s="15">
        <v>69</v>
      </c>
      <c r="J123" s="16">
        <f t="shared" si="11"/>
        <v>1035</v>
      </c>
      <c r="K123" s="17">
        <v>46157</v>
      </c>
      <c r="L123" s="10">
        <v>22</v>
      </c>
      <c r="M123" s="18">
        <f t="shared" si="12"/>
        <v>15</v>
      </c>
      <c r="N123" s="19">
        <f t="shared" si="13"/>
        <v>7</v>
      </c>
      <c r="O123" s="10" t="str">
        <f t="shared" si="14"/>
        <v>INCOMPLETE</v>
      </c>
      <c r="P123" s="10"/>
      <c r="Q123" s="10" t="str">
        <f t="shared" si="15"/>
        <v>OK</v>
      </c>
    </row>
    <row r="124" spans="1:17" x14ac:dyDescent="0.3">
      <c r="A124" s="42">
        <v>34</v>
      </c>
      <c r="B124" s="13" t="s">
        <v>34</v>
      </c>
      <c r="C124" s="13" t="s">
        <v>396</v>
      </c>
      <c r="D124" s="13" t="s">
        <v>659</v>
      </c>
      <c r="E124" s="13" t="s">
        <v>659</v>
      </c>
      <c r="F124" s="13" t="s">
        <v>335</v>
      </c>
      <c r="G124" s="13" t="s">
        <v>338</v>
      </c>
      <c r="H124" s="14">
        <v>10</v>
      </c>
      <c r="I124" s="15">
        <v>69</v>
      </c>
      <c r="J124" s="16">
        <f t="shared" si="11"/>
        <v>690</v>
      </c>
      <c r="K124" s="17">
        <v>46157</v>
      </c>
      <c r="L124" s="10">
        <v>10</v>
      </c>
      <c r="M124" s="18">
        <f t="shared" si="12"/>
        <v>10</v>
      </c>
      <c r="N124" s="19">
        <f t="shared" si="13"/>
        <v>0</v>
      </c>
      <c r="O124" s="10" t="str">
        <f t="shared" si="14"/>
        <v>COMPLETE</v>
      </c>
      <c r="P124" s="10"/>
      <c r="Q124" s="10" t="str">
        <f t="shared" si="15"/>
        <v>OK</v>
      </c>
    </row>
    <row r="125" spans="1:17" x14ac:dyDescent="0.3">
      <c r="A125" s="42">
        <v>34</v>
      </c>
      <c r="B125" s="13" t="s">
        <v>34</v>
      </c>
      <c r="C125" s="13" t="s">
        <v>396</v>
      </c>
      <c r="D125" s="13" t="s">
        <v>667</v>
      </c>
      <c r="E125" s="13" t="s">
        <v>667</v>
      </c>
      <c r="F125" s="13" t="s">
        <v>385</v>
      </c>
      <c r="G125" s="13" t="s">
        <v>386</v>
      </c>
      <c r="H125" s="14">
        <v>25</v>
      </c>
      <c r="I125" s="15">
        <v>69</v>
      </c>
      <c r="J125" s="16">
        <f t="shared" si="11"/>
        <v>1725</v>
      </c>
      <c r="K125" s="17">
        <v>46160</v>
      </c>
      <c r="L125" s="10">
        <v>182</v>
      </c>
      <c r="M125" s="18">
        <f t="shared" si="12"/>
        <v>25</v>
      </c>
      <c r="N125" s="19">
        <f t="shared" si="13"/>
        <v>157</v>
      </c>
      <c r="O125" s="10" t="str">
        <f t="shared" si="14"/>
        <v>INCOMPLETE</v>
      </c>
      <c r="P125" s="10"/>
      <c r="Q125" s="10" t="str">
        <f t="shared" si="15"/>
        <v>OK</v>
      </c>
    </row>
    <row r="126" spans="1:17" x14ac:dyDescent="0.3">
      <c r="A126" s="42">
        <v>34</v>
      </c>
      <c r="B126" s="13" t="s">
        <v>34</v>
      </c>
      <c r="C126" s="13" t="s">
        <v>396</v>
      </c>
      <c r="D126" s="13" t="s">
        <v>667</v>
      </c>
      <c r="E126" s="13" t="s">
        <v>667</v>
      </c>
      <c r="F126" s="13" t="s">
        <v>334</v>
      </c>
      <c r="G126" s="13" t="s">
        <v>337</v>
      </c>
      <c r="H126" s="14">
        <v>7</v>
      </c>
      <c r="I126" s="15">
        <v>69</v>
      </c>
      <c r="J126" s="16">
        <f t="shared" si="11"/>
        <v>483</v>
      </c>
      <c r="K126" s="17">
        <v>46160</v>
      </c>
      <c r="L126" s="10">
        <v>7</v>
      </c>
      <c r="M126" s="18">
        <f t="shared" si="12"/>
        <v>7</v>
      </c>
      <c r="N126" s="19">
        <f t="shared" si="13"/>
        <v>0</v>
      </c>
      <c r="O126" s="10" t="str">
        <f t="shared" si="14"/>
        <v>COMPLETE</v>
      </c>
      <c r="P126" s="10"/>
      <c r="Q126" s="10" t="str">
        <f t="shared" si="15"/>
        <v>OK</v>
      </c>
    </row>
    <row r="127" spans="1:17" x14ac:dyDescent="0.3">
      <c r="A127" s="10" t="s">
        <v>239</v>
      </c>
      <c r="B127" s="13" t="s">
        <v>130</v>
      </c>
      <c r="C127" s="13" t="s">
        <v>413</v>
      </c>
      <c r="D127" s="13" t="s">
        <v>133</v>
      </c>
      <c r="E127" s="13" t="s">
        <v>133</v>
      </c>
      <c r="F127" s="13" t="s">
        <v>385</v>
      </c>
      <c r="G127" s="13" t="s">
        <v>386</v>
      </c>
      <c r="H127" s="14">
        <v>2</v>
      </c>
      <c r="I127" s="15">
        <v>120</v>
      </c>
      <c r="J127" s="16">
        <f t="shared" si="11"/>
        <v>240</v>
      </c>
      <c r="K127" s="17">
        <v>46093</v>
      </c>
      <c r="L127" s="10">
        <v>2</v>
      </c>
      <c r="M127" s="18">
        <f t="shared" si="12"/>
        <v>2</v>
      </c>
      <c r="N127" s="19">
        <f t="shared" si="13"/>
        <v>0</v>
      </c>
      <c r="O127" s="10" t="str">
        <f t="shared" si="14"/>
        <v>COMPLETE</v>
      </c>
      <c r="P127" s="10"/>
      <c r="Q127" s="10" t="str">
        <f t="shared" si="15"/>
        <v>OK</v>
      </c>
    </row>
    <row r="128" spans="1:17" x14ac:dyDescent="0.3">
      <c r="A128" s="10" t="s">
        <v>249</v>
      </c>
      <c r="B128" s="13" t="s">
        <v>73</v>
      </c>
      <c r="C128" s="13" t="s">
        <v>416</v>
      </c>
      <c r="D128" s="13" t="s">
        <v>259</v>
      </c>
      <c r="E128" s="13" t="s">
        <v>259</v>
      </c>
      <c r="F128" s="13" t="s">
        <v>319</v>
      </c>
      <c r="G128" s="13" t="s">
        <v>320</v>
      </c>
      <c r="H128" s="14">
        <v>20</v>
      </c>
      <c r="I128" s="15">
        <v>95</v>
      </c>
      <c r="J128" s="16">
        <f t="shared" si="11"/>
        <v>1900</v>
      </c>
      <c r="K128" s="17">
        <v>46093</v>
      </c>
      <c r="L128" s="10">
        <v>20</v>
      </c>
      <c r="M128" s="18">
        <f t="shared" si="12"/>
        <v>20</v>
      </c>
      <c r="N128" s="19">
        <f t="shared" si="13"/>
        <v>0</v>
      </c>
      <c r="O128" s="10" t="str">
        <f t="shared" si="14"/>
        <v>COMPLETE</v>
      </c>
      <c r="P128" s="10"/>
      <c r="Q128" s="10" t="str">
        <f t="shared" si="15"/>
        <v>OK</v>
      </c>
    </row>
    <row r="129" spans="1:17" x14ac:dyDescent="0.3">
      <c r="A129" s="43" t="s">
        <v>253</v>
      </c>
      <c r="B129" s="13" t="s">
        <v>63</v>
      </c>
      <c r="C129" s="13" t="s">
        <v>418</v>
      </c>
      <c r="D129" s="13" t="s">
        <v>134</v>
      </c>
      <c r="E129" s="13" t="s">
        <v>134</v>
      </c>
      <c r="F129" s="13" t="s">
        <v>385</v>
      </c>
      <c r="G129" s="13" t="s">
        <v>386</v>
      </c>
      <c r="H129" s="14">
        <v>20</v>
      </c>
      <c r="I129" s="15">
        <v>100</v>
      </c>
      <c r="J129" s="16">
        <f t="shared" si="11"/>
        <v>2000</v>
      </c>
      <c r="K129" s="17">
        <v>46094</v>
      </c>
      <c r="L129" s="10">
        <v>20</v>
      </c>
      <c r="M129" s="18">
        <f t="shared" si="12"/>
        <v>20</v>
      </c>
      <c r="N129" s="19">
        <f t="shared" si="13"/>
        <v>0</v>
      </c>
      <c r="O129" s="10" t="str">
        <f t="shared" si="14"/>
        <v>COMPLETE</v>
      </c>
      <c r="P129" s="10"/>
      <c r="Q129" s="10" t="str">
        <f t="shared" si="15"/>
        <v>OK</v>
      </c>
    </row>
    <row r="130" spans="1:17" x14ac:dyDescent="0.3">
      <c r="A130" s="43" t="s">
        <v>253</v>
      </c>
      <c r="B130" s="13" t="s">
        <v>63</v>
      </c>
      <c r="C130" s="13" t="s">
        <v>418</v>
      </c>
      <c r="D130" s="13" t="s">
        <v>134</v>
      </c>
      <c r="E130" s="13" t="s">
        <v>134</v>
      </c>
      <c r="F130" s="13" t="s">
        <v>334</v>
      </c>
      <c r="G130" s="13" t="s">
        <v>337</v>
      </c>
      <c r="H130" s="14">
        <v>30</v>
      </c>
      <c r="I130" s="15">
        <v>100</v>
      </c>
      <c r="J130" s="16">
        <f t="shared" si="11"/>
        <v>3000</v>
      </c>
      <c r="K130" s="17">
        <v>46094</v>
      </c>
      <c r="L130" s="10">
        <v>30</v>
      </c>
      <c r="M130" s="18">
        <f t="shared" si="12"/>
        <v>30</v>
      </c>
      <c r="N130" s="19">
        <f t="shared" si="13"/>
        <v>0</v>
      </c>
      <c r="O130" s="10" t="str">
        <f t="shared" si="14"/>
        <v>COMPLETE</v>
      </c>
      <c r="P130" s="10"/>
      <c r="Q130" s="10" t="str">
        <f t="shared" si="15"/>
        <v>OK</v>
      </c>
    </row>
    <row r="131" spans="1:17" x14ac:dyDescent="0.3">
      <c r="A131" s="43" t="s">
        <v>253</v>
      </c>
      <c r="B131" s="13" t="s">
        <v>63</v>
      </c>
      <c r="C131" s="13" t="s">
        <v>418</v>
      </c>
      <c r="D131" s="13" t="s">
        <v>134</v>
      </c>
      <c r="E131" s="13" t="s">
        <v>134</v>
      </c>
      <c r="F131" s="13" t="s">
        <v>335</v>
      </c>
      <c r="G131" s="13" t="s">
        <v>338</v>
      </c>
      <c r="H131" s="14">
        <v>30</v>
      </c>
      <c r="I131" s="15">
        <v>100</v>
      </c>
      <c r="J131" s="16">
        <f t="shared" si="11"/>
        <v>3000</v>
      </c>
      <c r="K131" s="17">
        <v>46094</v>
      </c>
      <c r="L131" s="10">
        <v>30</v>
      </c>
      <c r="M131" s="18">
        <f t="shared" si="12"/>
        <v>30</v>
      </c>
      <c r="N131" s="19">
        <f t="shared" si="13"/>
        <v>0</v>
      </c>
      <c r="O131" s="10" t="str">
        <f t="shared" si="14"/>
        <v>COMPLETE</v>
      </c>
      <c r="P131" s="10"/>
      <c r="Q131" s="10" t="str">
        <f t="shared" si="15"/>
        <v>OK</v>
      </c>
    </row>
    <row r="132" spans="1:17" x14ac:dyDescent="0.3">
      <c r="A132" s="31" t="s">
        <v>260</v>
      </c>
      <c r="B132" s="13" t="s">
        <v>421</v>
      </c>
      <c r="C132" s="13" t="s">
        <v>422</v>
      </c>
      <c r="D132" s="13" t="s">
        <v>406</v>
      </c>
      <c r="E132" s="13" t="s">
        <v>39</v>
      </c>
      <c r="F132" s="13" t="s">
        <v>99</v>
      </c>
      <c r="G132" s="13" t="s">
        <v>100</v>
      </c>
      <c r="H132" s="14">
        <v>10</v>
      </c>
      <c r="I132" s="15">
        <v>104</v>
      </c>
      <c r="J132" s="16">
        <f t="shared" si="11"/>
        <v>1040</v>
      </c>
      <c r="K132" s="17">
        <v>46094</v>
      </c>
      <c r="L132" s="10">
        <v>10</v>
      </c>
      <c r="M132" s="18">
        <f t="shared" si="12"/>
        <v>10</v>
      </c>
      <c r="N132" s="19">
        <f t="shared" si="13"/>
        <v>0</v>
      </c>
      <c r="O132" s="10" t="str">
        <f t="shared" si="14"/>
        <v>COMPLETE</v>
      </c>
      <c r="P132" s="10"/>
      <c r="Q132" s="10" t="str">
        <f t="shared" si="15"/>
        <v>OK</v>
      </c>
    </row>
    <row r="133" spans="1:17" x14ac:dyDescent="0.3">
      <c r="A133" s="31" t="s">
        <v>260</v>
      </c>
      <c r="B133" s="13" t="s">
        <v>421</v>
      </c>
      <c r="C133" s="13" t="s">
        <v>422</v>
      </c>
      <c r="D133" s="13" t="s">
        <v>406</v>
      </c>
      <c r="E133" s="13" t="s">
        <v>39</v>
      </c>
      <c r="F133" s="13" t="s">
        <v>30</v>
      </c>
      <c r="G133" s="13" t="s">
        <v>31</v>
      </c>
      <c r="H133" s="14">
        <v>10</v>
      </c>
      <c r="I133" s="15">
        <v>104</v>
      </c>
      <c r="J133" s="16">
        <f t="shared" si="11"/>
        <v>1040</v>
      </c>
      <c r="K133" s="17">
        <v>46094</v>
      </c>
      <c r="L133" s="10">
        <v>10</v>
      </c>
      <c r="M133" s="18">
        <f t="shared" si="12"/>
        <v>10</v>
      </c>
      <c r="N133" s="19">
        <f t="shared" si="13"/>
        <v>0</v>
      </c>
      <c r="O133" s="10" t="str">
        <f t="shared" si="14"/>
        <v>COMPLETE</v>
      </c>
      <c r="P133" s="10"/>
      <c r="Q133" s="10" t="str">
        <f t="shared" si="15"/>
        <v>OK</v>
      </c>
    </row>
    <row r="134" spans="1:17" x14ac:dyDescent="0.3">
      <c r="A134" s="40" t="s">
        <v>265</v>
      </c>
      <c r="B134" s="13" t="s">
        <v>421</v>
      </c>
      <c r="C134" s="13" t="s">
        <v>423</v>
      </c>
      <c r="D134" s="13" t="s">
        <v>412</v>
      </c>
      <c r="E134" s="13" t="s">
        <v>282</v>
      </c>
      <c r="F134" s="13" t="s">
        <v>30</v>
      </c>
      <c r="G134" s="13" t="s">
        <v>31</v>
      </c>
      <c r="H134" s="14">
        <v>5</v>
      </c>
      <c r="I134" s="15">
        <v>104</v>
      </c>
      <c r="J134" s="16">
        <f t="shared" si="11"/>
        <v>520</v>
      </c>
      <c r="K134" s="17">
        <v>46094</v>
      </c>
      <c r="L134" s="10">
        <v>5</v>
      </c>
      <c r="M134" s="18">
        <f t="shared" si="12"/>
        <v>5</v>
      </c>
      <c r="N134" s="19">
        <f t="shared" si="13"/>
        <v>0</v>
      </c>
      <c r="O134" s="10" t="str">
        <f t="shared" si="14"/>
        <v>COMPLETE</v>
      </c>
      <c r="P134" s="10"/>
      <c r="Q134" s="10" t="str">
        <f t="shared" si="15"/>
        <v>OK</v>
      </c>
    </row>
    <row r="135" spans="1:17" x14ac:dyDescent="0.3">
      <c r="A135" s="40" t="s">
        <v>265</v>
      </c>
      <c r="B135" s="13" t="s">
        <v>421</v>
      </c>
      <c r="C135" s="13" t="s">
        <v>423</v>
      </c>
      <c r="D135" s="13" t="s">
        <v>412</v>
      </c>
      <c r="E135" s="13" t="s">
        <v>282</v>
      </c>
      <c r="F135" s="13" t="s">
        <v>36</v>
      </c>
      <c r="G135" s="13" t="s">
        <v>37</v>
      </c>
      <c r="H135" s="14">
        <v>5</v>
      </c>
      <c r="I135" s="15">
        <v>104</v>
      </c>
      <c r="J135" s="16">
        <f t="shared" ref="J135:J144" si="16">H135*I135</f>
        <v>520</v>
      </c>
      <c r="K135" s="17">
        <v>46094</v>
      </c>
      <c r="L135" s="10">
        <v>5</v>
      </c>
      <c r="M135" s="18">
        <f t="shared" ref="M135:M144" si="17">H135</f>
        <v>5</v>
      </c>
      <c r="N135" s="19">
        <f t="shared" ref="N135:N144" si="18">L135-M135</f>
        <v>0</v>
      </c>
      <c r="O135" s="10" t="str">
        <f t="shared" ref="O135:O144" si="19">IF(N135=0,"COMPLETE","INCOMPLETE")</f>
        <v>COMPLETE</v>
      </c>
      <c r="P135" s="10"/>
      <c r="Q135" s="10" t="str">
        <f t="shared" ref="Q135:Q144" si="20">IF(M135=H135,"OK","X")</f>
        <v>OK</v>
      </c>
    </row>
    <row r="136" spans="1:17" x14ac:dyDescent="0.3">
      <c r="A136" s="40" t="s">
        <v>265</v>
      </c>
      <c r="B136" s="13" t="s">
        <v>421</v>
      </c>
      <c r="C136" s="13" t="s">
        <v>423</v>
      </c>
      <c r="D136" s="13" t="s">
        <v>412</v>
      </c>
      <c r="E136" s="13" t="s">
        <v>282</v>
      </c>
      <c r="F136" s="13" t="s">
        <v>125</v>
      </c>
      <c r="G136" s="13" t="s">
        <v>126</v>
      </c>
      <c r="H136" s="14">
        <v>5</v>
      </c>
      <c r="I136" s="15">
        <v>104</v>
      </c>
      <c r="J136" s="16">
        <f t="shared" si="16"/>
        <v>520</v>
      </c>
      <c r="K136" s="17">
        <v>46094</v>
      </c>
      <c r="L136" s="10">
        <v>5</v>
      </c>
      <c r="M136" s="18">
        <f t="shared" si="17"/>
        <v>5</v>
      </c>
      <c r="N136" s="19">
        <f t="shared" si="18"/>
        <v>0</v>
      </c>
      <c r="O136" s="10" t="str">
        <f t="shared" si="19"/>
        <v>COMPLETE</v>
      </c>
      <c r="P136" s="10"/>
      <c r="Q136" s="10" t="str">
        <f t="shared" si="20"/>
        <v>OK</v>
      </c>
    </row>
    <row r="137" spans="1:17" x14ac:dyDescent="0.3">
      <c r="A137" s="40" t="s">
        <v>265</v>
      </c>
      <c r="B137" s="13" t="s">
        <v>421</v>
      </c>
      <c r="C137" s="13" t="s">
        <v>423</v>
      </c>
      <c r="D137" s="13" t="s">
        <v>412</v>
      </c>
      <c r="E137" s="13" t="s">
        <v>282</v>
      </c>
      <c r="F137" s="13" t="s">
        <v>319</v>
      </c>
      <c r="G137" s="13" t="s">
        <v>320</v>
      </c>
      <c r="H137" s="14">
        <v>5</v>
      </c>
      <c r="I137" s="15">
        <v>104</v>
      </c>
      <c r="J137" s="16">
        <f t="shared" si="16"/>
        <v>520</v>
      </c>
      <c r="K137" s="17">
        <v>46094</v>
      </c>
      <c r="L137" s="10">
        <v>5</v>
      </c>
      <c r="M137" s="18">
        <f t="shared" si="17"/>
        <v>5</v>
      </c>
      <c r="N137" s="19">
        <f t="shared" si="18"/>
        <v>0</v>
      </c>
      <c r="O137" s="10" t="str">
        <f t="shared" si="19"/>
        <v>COMPLETE</v>
      </c>
      <c r="P137" s="10"/>
      <c r="Q137" s="10" t="str">
        <f t="shared" si="20"/>
        <v>OK</v>
      </c>
    </row>
    <row r="138" spans="1:17" x14ac:dyDescent="0.3">
      <c r="A138" s="9" t="s">
        <v>267</v>
      </c>
      <c r="B138" s="13" t="s">
        <v>257</v>
      </c>
      <c r="C138" s="13" t="s">
        <v>438</v>
      </c>
      <c r="D138" s="13" t="s">
        <v>427</v>
      </c>
      <c r="E138" s="13" t="s">
        <v>435</v>
      </c>
      <c r="F138" s="13" t="s">
        <v>334</v>
      </c>
      <c r="G138" s="13" t="s">
        <v>337</v>
      </c>
      <c r="H138" s="14">
        <v>20</v>
      </c>
      <c r="I138" s="15">
        <v>104</v>
      </c>
      <c r="J138" s="16">
        <f t="shared" si="16"/>
        <v>2080</v>
      </c>
      <c r="K138" s="17">
        <v>46098</v>
      </c>
      <c r="L138" s="10">
        <v>20</v>
      </c>
      <c r="M138" s="18">
        <f t="shared" si="17"/>
        <v>20</v>
      </c>
      <c r="N138" s="19">
        <f t="shared" si="18"/>
        <v>0</v>
      </c>
      <c r="O138" s="10" t="str">
        <f t="shared" si="19"/>
        <v>COMPLETE</v>
      </c>
      <c r="P138" s="10"/>
      <c r="Q138" s="10" t="str">
        <f t="shared" si="20"/>
        <v>OK</v>
      </c>
    </row>
    <row r="139" spans="1:17" x14ac:dyDescent="0.3">
      <c r="A139" s="9" t="s">
        <v>267</v>
      </c>
      <c r="B139" s="13" t="s">
        <v>257</v>
      </c>
      <c r="C139" s="13" t="s">
        <v>438</v>
      </c>
      <c r="D139" s="13" t="s">
        <v>427</v>
      </c>
      <c r="E139" s="13" t="s">
        <v>435</v>
      </c>
      <c r="F139" s="13" t="s">
        <v>335</v>
      </c>
      <c r="G139" s="13" t="s">
        <v>338</v>
      </c>
      <c r="H139" s="14">
        <v>20</v>
      </c>
      <c r="I139" s="15">
        <v>104</v>
      </c>
      <c r="J139" s="16">
        <f t="shared" si="16"/>
        <v>2080</v>
      </c>
      <c r="K139" s="17">
        <v>46098</v>
      </c>
      <c r="L139" s="10">
        <v>20</v>
      </c>
      <c r="M139" s="18">
        <f t="shared" si="17"/>
        <v>20</v>
      </c>
      <c r="N139" s="19">
        <f t="shared" si="18"/>
        <v>0</v>
      </c>
      <c r="O139" s="10" t="str">
        <f t="shared" si="19"/>
        <v>COMPLETE</v>
      </c>
      <c r="P139" s="10"/>
      <c r="Q139" s="10" t="str">
        <f t="shared" si="20"/>
        <v>OK</v>
      </c>
    </row>
    <row r="140" spans="1:17" x14ac:dyDescent="0.3">
      <c r="A140" s="10" t="s">
        <v>277</v>
      </c>
      <c r="B140" s="13" t="s">
        <v>73</v>
      </c>
      <c r="C140" s="13" t="s">
        <v>442</v>
      </c>
      <c r="D140" s="13" t="s">
        <v>269</v>
      </c>
      <c r="E140" s="13" t="s">
        <v>269</v>
      </c>
      <c r="F140" s="13" t="s">
        <v>125</v>
      </c>
      <c r="G140" s="13" t="s">
        <v>126</v>
      </c>
      <c r="H140" s="14">
        <v>60</v>
      </c>
      <c r="I140" s="15">
        <v>95</v>
      </c>
      <c r="J140" s="16">
        <f t="shared" si="16"/>
        <v>5700</v>
      </c>
      <c r="K140" s="17">
        <v>46098</v>
      </c>
      <c r="L140" s="10">
        <v>60</v>
      </c>
      <c r="M140" s="18">
        <f t="shared" si="17"/>
        <v>60</v>
      </c>
      <c r="N140" s="19">
        <f t="shared" si="18"/>
        <v>0</v>
      </c>
      <c r="O140" s="10" t="str">
        <f t="shared" si="19"/>
        <v>COMPLETE</v>
      </c>
      <c r="P140" s="10"/>
      <c r="Q140" s="10" t="str">
        <f t="shared" si="20"/>
        <v>OK</v>
      </c>
    </row>
    <row r="141" spans="1:17" x14ac:dyDescent="0.3">
      <c r="A141" s="44" t="s">
        <v>279</v>
      </c>
      <c r="B141" s="13" t="s">
        <v>19</v>
      </c>
      <c r="C141" s="13" t="s">
        <v>454</v>
      </c>
      <c r="D141" s="13" t="s">
        <v>133</v>
      </c>
      <c r="E141" s="13" t="s">
        <v>133</v>
      </c>
      <c r="F141" s="13" t="s">
        <v>334</v>
      </c>
      <c r="G141" s="13" t="s">
        <v>337</v>
      </c>
      <c r="H141" s="14">
        <v>10</v>
      </c>
      <c r="I141" s="15">
        <v>70</v>
      </c>
      <c r="J141" s="16">
        <f t="shared" si="16"/>
        <v>700</v>
      </c>
      <c r="K141" s="17">
        <v>46100</v>
      </c>
      <c r="L141" s="10">
        <v>10</v>
      </c>
      <c r="M141" s="18">
        <f t="shared" si="17"/>
        <v>10</v>
      </c>
      <c r="N141" s="19">
        <f t="shared" si="18"/>
        <v>0</v>
      </c>
      <c r="O141" s="10" t="str">
        <f t="shared" si="19"/>
        <v>COMPLETE</v>
      </c>
      <c r="P141" s="10"/>
      <c r="Q141" s="10" t="str">
        <f t="shared" si="20"/>
        <v>OK</v>
      </c>
    </row>
    <row r="142" spans="1:17" x14ac:dyDescent="0.3">
      <c r="A142" s="44" t="s">
        <v>279</v>
      </c>
      <c r="B142" s="13" t="s">
        <v>19</v>
      </c>
      <c r="C142" s="13" t="s">
        <v>454</v>
      </c>
      <c r="D142" s="13" t="s">
        <v>133</v>
      </c>
      <c r="E142" s="13" t="s">
        <v>133</v>
      </c>
      <c r="F142" s="13" t="s">
        <v>385</v>
      </c>
      <c r="G142" s="13" t="s">
        <v>386</v>
      </c>
      <c r="H142" s="14">
        <v>10</v>
      </c>
      <c r="I142" s="15">
        <v>70</v>
      </c>
      <c r="J142" s="16">
        <f t="shared" si="16"/>
        <v>700</v>
      </c>
      <c r="K142" s="17">
        <v>46100</v>
      </c>
      <c r="L142" s="10">
        <v>10</v>
      </c>
      <c r="M142" s="18">
        <f t="shared" si="17"/>
        <v>10</v>
      </c>
      <c r="N142" s="19">
        <f t="shared" si="18"/>
        <v>0</v>
      </c>
      <c r="O142" s="10" t="str">
        <f t="shared" si="19"/>
        <v>COMPLETE</v>
      </c>
      <c r="P142" s="10"/>
      <c r="Q142" s="10" t="str">
        <f t="shared" si="20"/>
        <v>OK</v>
      </c>
    </row>
    <row r="143" spans="1:17" x14ac:dyDescent="0.3">
      <c r="A143" s="45" t="s">
        <v>287</v>
      </c>
      <c r="B143" s="13" t="s">
        <v>130</v>
      </c>
      <c r="C143" s="13" t="s">
        <v>463</v>
      </c>
      <c r="D143" s="13" t="s">
        <v>165</v>
      </c>
      <c r="E143" s="13" t="s">
        <v>165</v>
      </c>
      <c r="F143" s="13" t="s">
        <v>335</v>
      </c>
      <c r="G143" s="13" t="s">
        <v>338</v>
      </c>
      <c r="H143" s="14">
        <v>2</v>
      </c>
      <c r="I143" s="15">
        <v>73</v>
      </c>
      <c r="J143" s="16">
        <f t="shared" si="16"/>
        <v>146</v>
      </c>
      <c r="K143" s="17">
        <v>46105</v>
      </c>
      <c r="L143" s="10">
        <v>2</v>
      </c>
      <c r="M143" s="18">
        <f t="shared" si="17"/>
        <v>2</v>
      </c>
      <c r="N143" s="19">
        <f t="shared" si="18"/>
        <v>0</v>
      </c>
      <c r="O143" s="10" t="str">
        <f t="shared" si="19"/>
        <v>COMPLETE</v>
      </c>
      <c r="P143" s="10"/>
      <c r="Q143" s="10" t="str">
        <f t="shared" si="20"/>
        <v>OK</v>
      </c>
    </row>
    <row r="144" spans="1:17" x14ac:dyDescent="0.3">
      <c r="A144" s="45" t="s">
        <v>287</v>
      </c>
      <c r="B144" s="13" t="s">
        <v>130</v>
      </c>
      <c r="C144" s="13" t="s">
        <v>463</v>
      </c>
      <c r="D144" s="13" t="s">
        <v>165</v>
      </c>
      <c r="E144" s="13" t="s">
        <v>165</v>
      </c>
      <c r="F144" s="13" t="s">
        <v>336</v>
      </c>
      <c r="G144" s="13" t="s">
        <v>339</v>
      </c>
      <c r="H144" s="14">
        <v>14</v>
      </c>
      <c r="I144" s="15">
        <v>73</v>
      </c>
      <c r="J144" s="16">
        <f t="shared" si="16"/>
        <v>1022</v>
      </c>
      <c r="K144" s="17">
        <v>46105</v>
      </c>
      <c r="L144" s="10">
        <v>14</v>
      </c>
      <c r="M144" s="18">
        <f t="shared" si="17"/>
        <v>14</v>
      </c>
      <c r="N144" s="19">
        <f t="shared" si="18"/>
        <v>0</v>
      </c>
      <c r="O144" s="10" t="str">
        <f t="shared" si="19"/>
        <v>COMPLETE</v>
      </c>
      <c r="P144" s="10"/>
      <c r="Q144" s="10" t="str">
        <f t="shared" si="20"/>
        <v>OK</v>
      </c>
    </row>
    <row r="145" spans="1:17" x14ac:dyDescent="0.3">
      <c r="A145" s="45" t="s">
        <v>287</v>
      </c>
      <c r="B145" s="13" t="s">
        <v>130</v>
      </c>
      <c r="C145" s="13" t="s">
        <v>463</v>
      </c>
      <c r="D145" s="13" t="s">
        <v>165</v>
      </c>
      <c r="E145" s="13" t="s">
        <v>165</v>
      </c>
      <c r="F145" s="13" t="s">
        <v>319</v>
      </c>
      <c r="G145" s="13" t="s">
        <v>320</v>
      </c>
      <c r="H145" s="14">
        <v>8</v>
      </c>
      <c r="I145" s="15">
        <v>73</v>
      </c>
      <c r="J145" s="16">
        <f t="shared" ref="J145:J173" si="21">H145*I145</f>
        <v>584</v>
      </c>
      <c r="K145" s="17">
        <v>46105</v>
      </c>
      <c r="L145" s="10">
        <v>8</v>
      </c>
      <c r="M145" s="18">
        <f t="shared" ref="M145:M173" si="22">H145</f>
        <v>8</v>
      </c>
      <c r="N145" s="19">
        <f t="shared" ref="N145:N173" si="23">L145-M145</f>
        <v>0</v>
      </c>
      <c r="O145" s="10" t="str">
        <f t="shared" ref="O145:O173" si="24">IF(N145=0,"COMPLETE","INCOMPLETE")</f>
        <v>COMPLETE</v>
      </c>
      <c r="P145" s="10"/>
      <c r="Q145" s="10" t="str">
        <f t="shared" ref="Q145:Q173" si="25">IF(M145=H145,"OK","X")</f>
        <v>OK</v>
      </c>
    </row>
    <row r="146" spans="1:17" x14ac:dyDescent="0.3">
      <c r="A146" s="31" t="s">
        <v>289</v>
      </c>
      <c r="B146" s="13" t="s">
        <v>225</v>
      </c>
      <c r="C146" s="13" t="s">
        <v>467</v>
      </c>
      <c r="D146" s="13" t="s">
        <v>47</v>
      </c>
      <c r="E146" s="13" t="s">
        <v>47</v>
      </c>
      <c r="F146" s="13" t="s">
        <v>334</v>
      </c>
      <c r="G146" s="13" t="s">
        <v>337</v>
      </c>
      <c r="H146" s="14">
        <v>50</v>
      </c>
      <c r="I146" s="15">
        <v>100</v>
      </c>
      <c r="J146" s="16">
        <f t="shared" si="21"/>
        <v>5000</v>
      </c>
      <c r="K146" s="17">
        <v>46107</v>
      </c>
      <c r="L146" s="10">
        <v>90</v>
      </c>
      <c r="M146" s="18">
        <f t="shared" si="22"/>
        <v>50</v>
      </c>
      <c r="N146" s="19">
        <f t="shared" si="23"/>
        <v>40</v>
      </c>
      <c r="O146" s="10" t="str">
        <f t="shared" si="24"/>
        <v>INCOMPLETE</v>
      </c>
      <c r="P146" s="10"/>
      <c r="Q146" s="10" t="str">
        <f t="shared" si="25"/>
        <v>OK</v>
      </c>
    </row>
    <row r="147" spans="1:17" x14ac:dyDescent="0.3">
      <c r="A147" s="31" t="s">
        <v>289</v>
      </c>
      <c r="B147" s="13" t="s">
        <v>225</v>
      </c>
      <c r="C147" s="13" t="s">
        <v>467</v>
      </c>
      <c r="D147" s="13" t="s">
        <v>47</v>
      </c>
      <c r="E147" s="13" t="s">
        <v>47</v>
      </c>
      <c r="F147" s="13" t="s">
        <v>319</v>
      </c>
      <c r="G147" s="13" t="s">
        <v>320</v>
      </c>
      <c r="H147" s="14">
        <v>25</v>
      </c>
      <c r="I147" s="15">
        <v>90</v>
      </c>
      <c r="J147" s="16">
        <f t="shared" si="21"/>
        <v>2250</v>
      </c>
      <c r="K147" s="17">
        <v>46107</v>
      </c>
      <c r="L147" s="10">
        <v>150</v>
      </c>
      <c r="M147" s="18">
        <f t="shared" si="22"/>
        <v>25</v>
      </c>
      <c r="N147" s="19">
        <f t="shared" si="23"/>
        <v>125</v>
      </c>
      <c r="O147" s="10" t="str">
        <f t="shared" si="24"/>
        <v>INCOMPLETE</v>
      </c>
      <c r="P147" s="10"/>
      <c r="Q147" s="10" t="str">
        <f t="shared" si="25"/>
        <v>OK</v>
      </c>
    </row>
    <row r="148" spans="1:17" x14ac:dyDescent="0.3">
      <c r="A148" s="31" t="s">
        <v>289</v>
      </c>
      <c r="B148" s="13" t="s">
        <v>225</v>
      </c>
      <c r="C148" s="13" t="s">
        <v>467</v>
      </c>
      <c r="D148" s="13" t="s">
        <v>98</v>
      </c>
      <c r="E148" s="13" t="s">
        <v>98</v>
      </c>
      <c r="F148" s="13" t="s">
        <v>334</v>
      </c>
      <c r="G148" s="13" t="s">
        <v>337</v>
      </c>
      <c r="H148" s="14">
        <v>40</v>
      </c>
      <c r="I148" s="15">
        <v>100</v>
      </c>
      <c r="J148" s="16">
        <f t="shared" si="21"/>
        <v>4000</v>
      </c>
      <c r="K148" s="17">
        <v>46121</v>
      </c>
      <c r="L148" s="10">
        <v>40</v>
      </c>
      <c r="M148" s="18">
        <f t="shared" si="22"/>
        <v>40</v>
      </c>
      <c r="N148" s="19">
        <f t="shared" si="23"/>
        <v>0</v>
      </c>
      <c r="O148" s="10" t="str">
        <f t="shared" si="24"/>
        <v>COMPLETE</v>
      </c>
      <c r="P148" s="10"/>
      <c r="Q148" s="10" t="str">
        <f t="shared" si="25"/>
        <v>OK</v>
      </c>
    </row>
    <row r="149" spans="1:17" x14ac:dyDescent="0.3">
      <c r="A149" s="31" t="s">
        <v>289</v>
      </c>
      <c r="B149" s="13" t="s">
        <v>225</v>
      </c>
      <c r="C149" s="13" t="s">
        <v>467</v>
      </c>
      <c r="D149" s="13" t="s">
        <v>98</v>
      </c>
      <c r="E149" s="13" t="s">
        <v>98</v>
      </c>
      <c r="F149" s="13" t="s">
        <v>319</v>
      </c>
      <c r="G149" s="13" t="s">
        <v>320</v>
      </c>
      <c r="H149" s="14">
        <v>15</v>
      </c>
      <c r="I149" s="15">
        <v>90</v>
      </c>
      <c r="J149" s="16">
        <f t="shared" si="21"/>
        <v>1350</v>
      </c>
      <c r="K149" s="17">
        <v>46121</v>
      </c>
      <c r="L149" s="10">
        <v>125</v>
      </c>
      <c r="M149" s="18">
        <f t="shared" si="22"/>
        <v>15</v>
      </c>
      <c r="N149" s="19">
        <f t="shared" si="23"/>
        <v>110</v>
      </c>
      <c r="O149" s="10" t="str">
        <f t="shared" si="24"/>
        <v>INCOMPLETE</v>
      </c>
      <c r="P149" s="10"/>
      <c r="Q149" s="10" t="str">
        <f t="shared" si="25"/>
        <v>OK</v>
      </c>
    </row>
    <row r="150" spans="1:17" x14ac:dyDescent="0.3">
      <c r="A150" s="31">
        <v>44</v>
      </c>
      <c r="B150" s="13" t="s">
        <v>225</v>
      </c>
      <c r="C150" s="13" t="s">
        <v>467</v>
      </c>
      <c r="D150" s="13" t="s">
        <v>135</v>
      </c>
      <c r="E150" s="13" t="s">
        <v>135</v>
      </c>
      <c r="F150" s="13" t="s">
        <v>65</v>
      </c>
      <c r="G150" s="13" t="s">
        <v>66</v>
      </c>
      <c r="H150" s="14">
        <v>50</v>
      </c>
      <c r="I150" s="15">
        <v>90</v>
      </c>
      <c r="J150" s="16">
        <f t="shared" si="21"/>
        <v>4500</v>
      </c>
      <c r="K150" s="17">
        <v>46143</v>
      </c>
      <c r="L150" s="10">
        <v>110</v>
      </c>
      <c r="M150" s="18">
        <f t="shared" si="22"/>
        <v>50</v>
      </c>
      <c r="N150" s="19">
        <f t="shared" si="23"/>
        <v>60</v>
      </c>
      <c r="O150" s="10" t="str">
        <f t="shared" si="24"/>
        <v>INCOMPLETE</v>
      </c>
      <c r="P150" s="28" t="s">
        <v>613</v>
      </c>
      <c r="Q150" s="10" t="str">
        <f t="shared" si="25"/>
        <v>OK</v>
      </c>
    </row>
    <row r="151" spans="1:17" x14ac:dyDescent="0.3">
      <c r="A151" s="31">
        <v>44</v>
      </c>
      <c r="B151" s="13" t="s">
        <v>225</v>
      </c>
      <c r="C151" s="13" t="s">
        <v>467</v>
      </c>
      <c r="D151" s="13" t="s">
        <v>189</v>
      </c>
      <c r="E151" s="13" t="s">
        <v>207</v>
      </c>
      <c r="F151" s="13" t="s">
        <v>319</v>
      </c>
      <c r="G151" s="13" t="s">
        <v>320</v>
      </c>
      <c r="H151" s="14">
        <v>60</v>
      </c>
      <c r="I151" s="15">
        <v>90</v>
      </c>
      <c r="J151" s="16">
        <f t="shared" si="21"/>
        <v>5400</v>
      </c>
      <c r="K151" s="17">
        <v>46174</v>
      </c>
      <c r="L151" s="10">
        <v>60</v>
      </c>
      <c r="M151" s="18">
        <f t="shared" si="22"/>
        <v>60</v>
      </c>
      <c r="N151" s="19">
        <f t="shared" si="23"/>
        <v>0</v>
      </c>
      <c r="O151" s="10" t="str">
        <f t="shared" si="24"/>
        <v>COMPLETE</v>
      </c>
      <c r="P151" s="10"/>
      <c r="Q151" s="10" t="str">
        <f t="shared" si="25"/>
        <v>OK</v>
      </c>
    </row>
    <row r="152" spans="1:17" x14ac:dyDescent="0.3">
      <c r="A152" s="46" t="s">
        <v>294</v>
      </c>
      <c r="B152" s="13" t="s">
        <v>130</v>
      </c>
      <c r="C152" s="13" t="s">
        <v>470</v>
      </c>
      <c r="D152" s="13" t="s">
        <v>189</v>
      </c>
      <c r="E152" s="13" t="s">
        <v>189</v>
      </c>
      <c r="F152" s="13" t="s">
        <v>336</v>
      </c>
      <c r="G152" s="13" t="s">
        <v>339</v>
      </c>
      <c r="H152" s="14">
        <v>6</v>
      </c>
      <c r="I152" s="15">
        <v>73</v>
      </c>
      <c r="J152" s="16">
        <f t="shared" si="21"/>
        <v>438</v>
      </c>
      <c r="K152" s="17">
        <v>46108</v>
      </c>
      <c r="L152" s="10">
        <v>6</v>
      </c>
      <c r="M152" s="18">
        <f t="shared" si="22"/>
        <v>6</v>
      </c>
      <c r="N152" s="19">
        <f t="shared" si="23"/>
        <v>0</v>
      </c>
      <c r="O152" s="10" t="str">
        <f t="shared" si="24"/>
        <v>COMPLETE</v>
      </c>
      <c r="P152" s="10"/>
      <c r="Q152" s="10" t="str">
        <f t="shared" si="25"/>
        <v>OK</v>
      </c>
    </row>
    <row r="153" spans="1:17" x14ac:dyDescent="0.3">
      <c r="A153" s="46" t="s">
        <v>294</v>
      </c>
      <c r="B153" s="13" t="s">
        <v>130</v>
      </c>
      <c r="C153" s="13" t="s">
        <v>470</v>
      </c>
      <c r="D153" s="13" t="s">
        <v>189</v>
      </c>
      <c r="E153" s="13" t="s">
        <v>189</v>
      </c>
      <c r="F153" s="13" t="s">
        <v>319</v>
      </c>
      <c r="G153" s="13" t="s">
        <v>320</v>
      </c>
      <c r="H153" s="14">
        <v>8</v>
      </c>
      <c r="I153" s="15">
        <v>73</v>
      </c>
      <c r="J153" s="16">
        <f t="shared" si="21"/>
        <v>584</v>
      </c>
      <c r="K153" s="17">
        <v>46108</v>
      </c>
      <c r="L153" s="10">
        <v>8</v>
      </c>
      <c r="M153" s="18">
        <f t="shared" si="22"/>
        <v>8</v>
      </c>
      <c r="N153" s="19">
        <f t="shared" si="23"/>
        <v>0</v>
      </c>
      <c r="O153" s="10" t="str">
        <f t="shared" si="24"/>
        <v>COMPLETE</v>
      </c>
      <c r="P153" s="10"/>
      <c r="Q153" s="10" t="str">
        <f t="shared" si="25"/>
        <v>OK</v>
      </c>
    </row>
    <row r="154" spans="1:17" x14ac:dyDescent="0.3">
      <c r="A154" s="10" t="s">
        <v>297</v>
      </c>
      <c r="B154" s="13" t="s">
        <v>130</v>
      </c>
      <c r="C154" s="13" t="s">
        <v>471</v>
      </c>
      <c r="D154" s="13" t="s">
        <v>207</v>
      </c>
      <c r="E154" s="13" t="s">
        <v>207</v>
      </c>
      <c r="F154" s="13" t="s">
        <v>335</v>
      </c>
      <c r="G154" s="13" t="s">
        <v>338</v>
      </c>
      <c r="H154" s="14">
        <v>2</v>
      </c>
      <c r="I154" s="15">
        <v>73</v>
      </c>
      <c r="J154" s="16">
        <f t="shared" si="21"/>
        <v>146</v>
      </c>
      <c r="K154" s="17">
        <v>46108</v>
      </c>
      <c r="L154" s="10">
        <v>2</v>
      </c>
      <c r="M154" s="18">
        <f t="shared" si="22"/>
        <v>2</v>
      </c>
      <c r="N154" s="19">
        <f t="shared" si="23"/>
        <v>0</v>
      </c>
      <c r="O154" s="10" t="str">
        <f t="shared" si="24"/>
        <v>COMPLETE</v>
      </c>
      <c r="P154" s="10"/>
      <c r="Q154" s="10" t="str">
        <f t="shared" si="25"/>
        <v>OK</v>
      </c>
    </row>
    <row r="155" spans="1:17" x14ac:dyDescent="0.3">
      <c r="A155" s="36" t="s">
        <v>299</v>
      </c>
      <c r="B155" s="13" t="s">
        <v>158</v>
      </c>
      <c r="C155" s="13" t="s">
        <v>472</v>
      </c>
      <c r="D155" s="13" t="s">
        <v>98</v>
      </c>
      <c r="E155" s="13" t="s">
        <v>98</v>
      </c>
      <c r="F155" s="13" t="s">
        <v>473</v>
      </c>
      <c r="G155" s="13" t="s">
        <v>474</v>
      </c>
      <c r="H155" s="14">
        <v>6</v>
      </c>
      <c r="I155" s="15">
        <v>77</v>
      </c>
      <c r="J155" s="16">
        <f t="shared" si="21"/>
        <v>462</v>
      </c>
      <c r="K155" s="17">
        <v>46111</v>
      </c>
      <c r="L155" s="10">
        <v>50</v>
      </c>
      <c r="M155" s="18">
        <f t="shared" si="22"/>
        <v>6</v>
      </c>
      <c r="N155" s="19">
        <f t="shared" si="23"/>
        <v>44</v>
      </c>
      <c r="O155" s="10" t="str">
        <f t="shared" si="24"/>
        <v>INCOMPLETE</v>
      </c>
      <c r="P155" s="10"/>
      <c r="Q155" s="10" t="str">
        <f t="shared" si="25"/>
        <v>OK</v>
      </c>
    </row>
    <row r="156" spans="1:17" x14ac:dyDescent="0.3">
      <c r="A156" s="36" t="s">
        <v>299</v>
      </c>
      <c r="B156" s="13" t="s">
        <v>158</v>
      </c>
      <c r="C156" s="13" t="s">
        <v>472</v>
      </c>
      <c r="D156" s="13" t="s">
        <v>98</v>
      </c>
      <c r="E156" s="13" t="s">
        <v>98</v>
      </c>
      <c r="F156" s="13" t="s">
        <v>125</v>
      </c>
      <c r="G156" s="13" t="s">
        <v>126</v>
      </c>
      <c r="H156" s="14">
        <v>6</v>
      </c>
      <c r="I156" s="15">
        <v>77</v>
      </c>
      <c r="J156" s="16">
        <f t="shared" si="21"/>
        <v>462</v>
      </c>
      <c r="K156" s="17">
        <v>46111</v>
      </c>
      <c r="L156" s="10">
        <v>50</v>
      </c>
      <c r="M156" s="18">
        <f t="shared" si="22"/>
        <v>6</v>
      </c>
      <c r="N156" s="19">
        <f t="shared" si="23"/>
        <v>44</v>
      </c>
      <c r="O156" s="10" t="str">
        <f t="shared" si="24"/>
        <v>INCOMPLETE</v>
      </c>
      <c r="P156" s="10"/>
      <c r="Q156" s="10" t="str">
        <f t="shared" si="25"/>
        <v>OK</v>
      </c>
    </row>
    <row r="157" spans="1:17" x14ac:dyDescent="0.3">
      <c r="A157" s="36" t="s">
        <v>299</v>
      </c>
      <c r="B157" s="13" t="s">
        <v>158</v>
      </c>
      <c r="C157" s="13" t="s">
        <v>472</v>
      </c>
      <c r="D157" s="13" t="s">
        <v>98</v>
      </c>
      <c r="E157" s="13" t="s">
        <v>98</v>
      </c>
      <c r="F157" s="13" t="s">
        <v>65</v>
      </c>
      <c r="G157" s="13" t="s">
        <v>66</v>
      </c>
      <c r="H157" s="14">
        <v>6</v>
      </c>
      <c r="I157" s="15">
        <v>77</v>
      </c>
      <c r="J157" s="16">
        <f t="shared" si="21"/>
        <v>462</v>
      </c>
      <c r="K157" s="17">
        <v>46111</v>
      </c>
      <c r="L157" s="10">
        <v>50</v>
      </c>
      <c r="M157" s="18">
        <f t="shared" si="22"/>
        <v>6</v>
      </c>
      <c r="N157" s="19">
        <f t="shared" si="23"/>
        <v>44</v>
      </c>
      <c r="O157" s="10" t="str">
        <f t="shared" si="24"/>
        <v>INCOMPLETE</v>
      </c>
      <c r="P157" s="10"/>
      <c r="Q157" s="10" t="str">
        <f t="shared" si="25"/>
        <v>OK</v>
      </c>
    </row>
    <row r="158" spans="1:17" x14ac:dyDescent="0.3">
      <c r="A158" s="36" t="s">
        <v>299</v>
      </c>
      <c r="B158" s="13" t="s">
        <v>158</v>
      </c>
      <c r="C158" s="13" t="s">
        <v>472</v>
      </c>
      <c r="D158" s="13" t="s">
        <v>98</v>
      </c>
      <c r="E158" s="13" t="s">
        <v>98</v>
      </c>
      <c r="F158" s="13" t="s">
        <v>385</v>
      </c>
      <c r="G158" s="13" t="s">
        <v>386</v>
      </c>
      <c r="H158" s="14">
        <v>6</v>
      </c>
      <c r="I158" s="15">
        <v>80</v>
      </c>
      <c r="J158" s="16">
        <f t="shared" si="21"/>
        <v>480</v>
      </c>
      <c r="K158" s="17">
        <v>46111</v>
      </c>
      <c r="L158" s="10">
        <v>50</v>
      </c>
      <c r="M158" s="18">
        <f t="shared" si="22"/>
        <v>6</v>
      </c>
      <c r="N158" s="19">
        <f t="shared" si="23"/>
        <v>44</v>
      </c>
      <c r="O158" s="10" t="str">
        <f t="shared" si="24"/>
        <v>INCOMPLETE</v>
      </c>
      <c r="P158" s="10"/>
      <c r="Q158" s="10" t="str">
        <f t="shared" si="25"/>
        <v>OK</v>
      </c>
    </row>
    <row r="159" spans="1:17" x14ac:dyDescent="0.3">
      <c r="A159" s="36" t="s">
        <v>299</v>
      </c>
      <c r="B159" s="13" t="s">
        <v>158</v>
      </c>
      <c r="C159" s="13" t="s">
        <v>472</v>
      </c>
      <c r="D159" s="13" t="s">
        <v>98</v>
      </c>
      <c r="E159" s="13" t="s">
        <v>98</v>
      </c>
      <c r="F159" s="13" t="s">
        <v>334</v>
      </c>
      <c r="G159" s="13" t="s">
        <v>337</v>
      </c>
      <c r="H159" s="14">
        <v>6</v>
      </c>
      <c r="I159" s="15">
        <v>80</v>
      </c>
      <c r="J159" s="16">
        <f t="shared" si="21"/>
        <v>480</v>
      </c>
      <c r="K159" s="17">
        <v>46111</v>
      </c>
      <c r="L159" s="10">
        <v>50</v>
      </c>
      <c r="M159" s="18">
        <f t="shared" si="22"/>
        <v>6</v>
      </c>
      <c r="N159" s="19">
        <f t="shared" si="23"/>
        <v>44</v>
      </c>
      <c r="O159" s="10" t="str">
        <f t="shared" si="24"/>
        <v>INCOMPLETE</v>
      </c>
      <c r="P159" s="10"/>
      <c r="Q159" s="10" t="str">
        <f t="shared" si="25"/>
        <v>OK</v>
      </c>
    </row>
    <row r="160" spans="1:17" x14ac:dyDescent="0.3">
      <c r="A160" s="36" t="s">
        <v>299</v>
      </c>
      <c r="B160" s="13" t="s">
        <v>158</v>
      </c>
      <c r="C160" s="13" t="s">
        <v>472</v>
      </c>
      <c r="D160" s="13" t="s">
        <v>98</v>
      </c>
      <c r="E160" s="13" t="s">
        <v>98</v>
      </c>
      <c r="F160" s="13" t="s">
        <v>335</v>
      </c>
      <c r="G160" s="13" t="s">
        <v>338</v>
      </c>
      <c r="H160" s="14">
        <v>6</v>
      </c>
      <c r="I160" s="15">
        <v>80</v>
      </c>
      <c r="J160" s="16">
        <f t="shared" si="21"/>
        <v>480</v>
      </c>
      <c r="K160" s="17">
        <v>46111</v>
      </c>
      <c r="L160" s="10">
        <v>50</v>
      </c>
      <c r="M160" s="18">
        <f t="shared" si="22"/>
        <v>6</v>
      </c>
      <c r="N160" s="19">
        <f t="shared" si="23"/>
        <v>44</v>
      </c>
      <c r="O160" s="10" t="str">
        <f t="shared" si="24"/>
        <v>INCOMPLETE</v>
      </c>
      <c r="P160" s="10"/>
      <c r="Q160" s="10" t="str">
        <f t="shared" si="25"/>
        <v>OK</v>
      </c>
    </row>
    <row r="161" spans="1:17" x14ac:dyDescent="0.3">
      <c r="A161" s="30" t="s">
        <v>304</v>
      </c>
      <c r="B161" s="13" t="s">
        <v>50</v>
      </c>
      <c r="C161" s="13" t="s">
        <v>477</v>
      </c>
      <c r="D161" s="13" t="s">
        <v>343</v>
      </c>
      <c r="E161" s="13" t="s">
        <v>343</v>
      </c>
      <c r="F161" s="13" t="s">
        <v>385</v>
      </c>
      <c r="G161" s="13" t="s">
        <v>386</v>
      </c>
      <c r="H161" s="14">
        <v>50</v>
      </c>
      <c r="I161" s="15">
        <v>115</v>
      </c>
      <c r="J161" s="16">
        <f t="shared" si="21"/>
        <v>5750</v>
      </c>
      <c r="K161" s="17">
        <v>46111</v>
      </c>
      <c r="L161" s="10">
        <v>50</v>
      </c>
      <c r="M161" s="18">
        <f t="shared" si="22"/>
        <v>50</v>
      </c>
      <c r="N161" s="19">
        <f t="shared" si="23"/>
        <v>0</v>
      </c>
      <c r="O161" s="10" t="str">
        <f t="shared" si="24"/>
        <v>COMPLETE</v>
      </c>
      <c r="P161" s="10"/>
      <c r="Q161" s="10" t="str">
        <f t="shared" si="25"/>
        <v>OK</v>
      </c>
    </row>
    <row r="162" spans="1:17" x14ac:dyDescent="0.3">
      <c r="A162" s="30" t="s">
        <v>304</v>
      </c>
      <c r="B162" s="13" t="s">
        <v>50</v>
      </c>
      <c r="C162" s="13" t="s">
        <v>477</v>
      </c>
      <c r="D162" s="13" t="s">
        <v>343</v>
      </c>
      <c r="E162" s="13" t="s">
        <v>343</v>
      </c>
      <c r="F162" s="13" t="s">
        <v>334</v>
      </c>
      <c r="G162" s="13" t="s">
        <v>337</v>
      </c>
      <c r="H162" s="14">
        <v>75</v>
      </c>
      <c r="I162" s="15">
        <v>108</v>
      </c>
      <c r="J162" s="16">
        <f t="shared" si="21"/>
        <v>8100</v>
      </c>
      <c r="K162" s="17">
        <v>46111</v>
      </c>
      <c r="L162" s="10">
        <v>130</v>
      </c>
      <c r="M162" s="18">
        <f t="shared" si="22"/>
        <v>75</v>
      </c>
      <c r="N162" s="19">
        <f t="shared" si="23"/>
        <v>55</v>
      </c>
      <c r="O162" s="10" t="str">
        <f t="shared" si="24"/>
        <v>INCOMPLETE</v>
      </c>
      <c r="P162" s="10"/>
      <c r="Q162" s="10" t="str">
        <f t="shared" si="25"/>
        <v>OK</v>
      </c>
    </row>
    <row r="163" spans="1:17" x14ac:dyDescent="0.3">
      <c r="A163" s="30" t="s">
        <v>304</v>
      </c>
      <c r="B163" s="13" t="s">
        <v>50</v>
      </c>
      <c r="C163" s="13" t="s">
        <v>477</v>
      </c>
      <c r="D163" s="13" t="s">
        <v>343</v>
      </c>
      <c r="E163" s="13" t="s">
        <v>343</v>
      </c>
      <c r="F163" s="13" t="s">
        <v>319</v>
      </c>
      <c r="G163" s="13" t="s">
        <v>320</v>
      </c>
      <c r="H163" s="14">
        <v>5</v>
      </c>
      <c r="I163" s="15">
        <v>105</v>
      </c>
      <c r="J163" s="16">
        <f t="shared" si="21"/>
        <v>525</v>
      </c>
      <c r="K163" s="17">
        <v>46111</v>
      </c>
      <c r="L163" s="10">
        <v>11</v>
      </c>
      <c r="M163" s="18">
        <f t="shared" si="22"/>
        <v>5</v>
      </c>
      <c r="N163" s="19">
        <f t="shared" si="23"/>
        <v>6</v>
      </c>
      <c r="O163" s="10" t="str">
        <f t="shared" si="24"/>
        <v>INCOMPLETE</v>
      </c>
      <c r="P163" s="10"/>
      <c r="Q163" s="10" t="str">
        <f t="shared" si="25"/>
        <v>OK</v>
      </c>
    </row>
    <row r="164" spans="1:17" x14ac:dyDescent="0.3">
      <c r="A164" s="10" t="s">
        <v>307</v>
      </c>
      <c r="B164" s="13" t="s">
        <v>130</v>
      </c>
      <c r="C164" s="13" t="s">
        <v>479</v>
      </c>
      <c r="D164" s="13" t="s">
        <v>208</v>
      </c>
      <c r="E164" s="13" t="s">
        <v>208</v>
      </c>
      <c r="F164" s="13" t="s">
        <v>336</v>
      </c>
      <c r="G164" s="13" t="s">
        <v>339</v>
      </c>
      <c r="H164" s="14">
        <v>6</v>
      </c>
      <c r="I164" s="15">
        <v>73</v>
      </c>
      <c r="J164" s="16">
        <f t="shared" si="21"/>
        <v>438</v>
      </c>
      <c r="K164" s="17">
        <v>46112</v>
      </c>
      <c r="L164" s="10">
        <v>6</v>
      </c>
      <c r="M164" s="18">
        <f t="shared" si="22"/>
        <v>6</v>
      </c>
      <c r="N164" s="19">
        <f t="shared" si="23"/>
        <v>0</v>
      </c>
      <c r="O164" s="10" t="str">
        <f t="shared" si="24"/>
        <v>COMPLETE</v>
      </c>
      <c r="P164" s="10"/>
      <c r="Q164" s="10" t="str">
        <f t="shared" si="25"/>
        <v>OK</v>
      </c>
    </row>
    <row r="165" spans="1:17" x14ac:dyDescent="0.3">
      <c r="A165" s="10" t="s">
        <v>311</v>
      </c>
      <c r="B165" s="13" t="s">
        <v>73</v>
      </c>
      <c r="C165" s="13" t="s">
        <v>482</v>
      </c>
      <c r="D165" s="13" t="s">
        <v>272</v>
      </c>
      <c r="E165" s="13" t="s">
        <v>272</v>
      </c>
      <c r="F165" s="13" t="s">
        <v>336</v>
      </c>
      <c r="G165" s="13" t="s">
        <v>339</v>
      </c>
      <c r="H165" s="14">
        <v>100</v>
      </c>
      <c r="I165" s="15">
        <v>95</v>
      </c>
      <c r="J165" s="16">
        <f t="shared" si="21"/>
        <v>9500</v>
      </c>
      <c r="K165" s="17">
        <v>46112</v>
      </c>
      <c r="L165" s="10">
        <v>100</v>
      </c>
      <c r="M165" s="18">
        <f t="shared" si="22"/>
        <v>100</v>
      </c>
      <c r="N165" s="19">
        <f t="shared" si="23"/>
        <v>0</v>
      </c>
      <c r="O165" s="10" t="str">
        <f t="shared" si="24"/>
        <v>COMPLETE</v>
      </c>
      <c r="P165" s="10"/>
      <c r="Q165" s="10" t="str">
        <f t="shared" si="25"/>
        <v>OK</v>
      </c>
    </row>
    <row r="166" spans="1:17" x14ac:dyDescent="0.3">
      <c r="A166" s="10" t="s">
        <v>313</v>
      </c>
      <c r="B166" s="13" t="s">
        <v>130</v>
      </c>
      <c r="C166" s="13" t="s">
        <v>499</v>
      </c>
      <c r="D166" s="13" t="s">
        <v>209</v>
      </c>
      <c r="E166" s="13" t="s">
        <v>209</v>
      </c>
      <c r="F166" s="13" t="s">
        <v>334</v>
      </c>
      <c r="G166" s="13" t="s">
        <v>339</v>
      </c>
      <c r="H166" s="14">
        <v>2</v>
      </c>
      <c r="I166" s="15">
        <v>73</v>
      </c>
      <c r="J166" s="16">
        <f t="shared" si="21"/>
        <v>146</v>
      </c>
      <c r="K166" s="17">
        <v>46115</v>
      </c>
      <c r="L166" s="10">
        <v>2</v>
      </c>
      <c r="M166" s="18">
        <f t="shared" si="22"/>
        <v>2</v>
      </c>
      <c r="N166" s="19">
        <f t="shared" si="23"/>
        <v>0</v>
      </c>
      <c r="O166" s="10" t="str">
        <f t="shared" si="24"/>
        <v>COMPLETE</v>
      </c>
      <c r="P166" s="10"/>
      <c r="Q166" s="10" t="str">
        <f t="shared" si="25"/>
        <v>OK</v>
      </c>
    </row>
    <row r="167" spans="1:17" x14ac:dyDescent="0.3">
      <c r="A167" s="9" t="s">
        <v>315</v>
      </c>
      <c r="B167" s="13" t="s">
        <v>73</v>
      </c>
      <c r="C167" s="13" t="s">
        <v>501</v>
      </c>
      <c r="D167" s="13" t="s">
        <v>275</v>
      </c>
      <c r="E167" s="13" t="s">
        <v>275</v>
      </c>
      <c r="F167" s="13" t="s">
        <v>336</v>
      </c>
      <c r="G167" s="13" t="s">
        <v>339</v>
      </c>
      <c r="H167" s="14">
        <v>40</v>
      </c>
      <c r="I167" s="15">
        <v>95</v>
      </c>
      <c r="J167" s="16">
        <f t="shared" si="21"/>
        <v>3800</v>
      </c>
      <c r="K167" s="17">
        <v>46118</v>
      </c>
      <c r="L167" s="10">
        <v>100</v>
      </c>
      <c r="M167" s="18">
        <f t="shared" si="22"/>
        <v>40</v>
      </c>
      <c r="N167" s="19">
        <f t="shared" si="23"/>
        <v>60</v>
      </c>
      <c r="O167" s="10" t="str">
        <f t="shared" si="24"/>
        <v>INCOMPLETE</v>
      </c>
      <c r="P167" s="10"/>
      <c r="Q167" s="10" t="str">
        <f t="shared" si="25"/>
        <v>OK</v>
      </c>
    </row>
    <row r="168" spans="1:17" x14ac:dyDescent="0.3">
      <c r="A168" s="9">
        <v>52</v>
      </c>
      <c r="B168" s="13" t="s">
        <v>73</v>
      </c>
      <c r="C168" s="13" t="s">
        <v>501</v>
      </c>
      <c r="D168" s="13" t="s">
        <v>377</v>
      </c>
      <c r="E168" s="13" t="s">
        <v>377</v>
      </c>
      <c r="F168" s="13" t="s">
        <v>336</v>
      </c>
      <c r="G168" s="13" t="s">
        <v>339</v>
      </c>
      <c r="H168" s="14">
        <v>60</v>
      </c>
      <c r="I168" s="15">
        <v>95</v>
      </c>
      <c r="J168" s="16">
        <f t="shared" si="21"/>
        <v>5700</v>
      </c>
      <c r="K168" s="17">
        <v>46174</v>
      </c>
      <c r="L168" s="10">
        <v>60</v>
      </c>
      <c r="M168" s="18">
        <f t="shared" si="22"/>
        <v>60</v>
      </c>
      <c r="N168" s="19">
        <f t="shared" si="23"/>
        <v>0</v>
      </c>
      <c r="O168" s="10" t="str">
        <f t="shared" si="24"/>
        <v>COMPLETE</v>
      </c>
      <c r="P168" s="10"/>
      <c r="Q168" s="10" t="str">
        <f t="shared" si="25"/>
        <v>OK</v>
      </c>
    </row>
    <row r="169" spans="1:17" x14ac:dyDescent="0.3">
      <c r="A169" s="43" t="s">
        <v>323</v>
      </c>
      <c r="B169" s="13" t="s">
        <v>19</v>
      </c>
      <c r="C169" s="13" t="s">
        <v>509</v>
      </c>
      <c r="D169" s="13" t="s">
        <v>189</v>
      </c>
      <c r="E169" s="13" t="s">
        <v>189</v>
      </c>
      <c r="F169" s="13" t="s">
        <v>385</v>
      </c>
      <c r="G169" s="13" t="s">
        <v>386</v>
      </c>
      <c r="H169" s="14">
        <v>30</v>
      </c>
      <c r="I169" s="15">
        <v>70</v>
      </c>
      <c r="J169" s="16">
        <f t="shared" si="21"/>
        <v>2100</v>
      </c>
      <c r="K169" s="17">
        <v>46119</v>
      </c>
      <c r="L169" s="10">
        <v>30</v>
      </c>
      <c r="M169" s="18">
        <f t="shared" si="22"/>
        <v>30</v>
      </c>
      <c r="N169" s="19">
        <f t="shared" si="23"/>
        <v>0</v>
      </c>
      <c r="O169" s="10" t="str">
        <f t="shared" si="24"/>
        <v>COMPLETE</v>
      </c>
      <c r="P169" s="10"/>
      <c r="Q169" s="10" t="str">
        <f t="shared" si="25"/>
        <v>OK</v>
      </c>
    </row>
    <row r="170" spans="1:17" x14ac:dyDescent="0.3">
      <c r="A170" s="43" t="s">
        <v>323</v>
      </c>
      <c r="B170" s="13" t="s">
        <v>19</v>
      </c>
      <c r="C170" s="13" t="s">
        <v>509</v>
      </c>
      <c r="D170" s="13" t="s">
        <v>189</v>
      </c>
      <c r="E170" s="13" t="s">
        <v>189</v>
      </c>
      <c r="F170" s="13" t="s">
        <v>334</v>
      </c>
      <c r="G170" s="13" t="s">
        <v>337</v>
      </c>
      <c r="H170" s="14">
        <v>30</v>
      </c>
      <c r="I170" s="15">
        <v>70</v>
      </c>
      <c r="J170" s="16">
        <f t="shared" si="21"/>
        <v>2100</v>
      </c>
      <c r="K170" s="17">
        <v>46119</v>
      </c>
      <c r="L170" s="10">
        <v>30</v>
      </c>
      <c r="M170" s="18">
        <f t="shared" si="22"/>
        <v>30</v>
      </c>
      <c r="N170" s="19">
        <f t="shared" si="23"/>
        <v>0</v>
      </c>
      <c r="O170" s="10" t="str">
        <f t="shared" si="24"/>
        <v>COMPLETE</v>
      </c>
      <c r="P170" s="10"/>
      <c r="Q170" s="10" t="str">
        <f t="shared" si="25"/>
        <v>OK</v>
      </c>
    </row>
    <row r="171" spans="1:17" x14ac:dyDescent="0.3">
      <c r="A171" s="43" t="s">
        <v>323</v>
      </c>
      <c r="B171" s="13" t="s">
        <v>19</v>
      </c>
      <c r="C171" s="13" t="s">
        <v>509</v>
      </c>
      <c r="D171" s="13" t="s">
        <v>189</v>
      </c>
      <c r="E171" s="13" t="s">
        <v>189</v>
      </c>
      <c r="F171" s="13" t="s">
        <v>335</v>
      </c>
      <c r="G171" s="13" t="s">
        <v>338</v>
      </c>
      <c r="H171" s="14">
        <v>20</v>
      </c>
      <c r="I171" s="15">
        <v>70</v>
      </c>
      <c r="J171" s="16">
        <f t="shared" si="21"/>
        <v>1400</v>
      </c>
      <c r="K171" s="17">
        <v>46119</v>
      </c>
      <c r="L171" s="10">
        <v>20</v>
      </c>
      <c r="M171" s="18">
        <f t="shared" si="22"/>
        <v>20</v>
      </c>
      <c r="N171" s="19">
        <f t="shared" si="23"/>
        <v>0</v>
      </c>
      <c r="O171" s="10" t="str">
        <f t="shared" si="24"/>
        <v>COMPLETE</v>
      </c>
      <c r="P171" s="10"/>
      <c r="Q171" s="10" t="str">
        <f t="shared" si="25"/>
        <v>OK</v>
      </c>
    </row>
    <row r="172" spans="1:17" x14ac:dyDescent="0.3">
      <c r="A172" s="47" t="s">
        <v>331</v>
      </c>
      <c r="B172" s="13" t="s">
        <v>257</v>
      </c>
      <c r="C172" s="13" t="s">
        <v>511</v>
      </c>
      <c r="D172" s="13" t="s">
        <v>504</v>
      </c>
      <c r="E172" s="13" t="s">
        <v>505</v>
      </c>
      <c r="F172" s="13" t="s">
        <v>334</v>
      </c>
      <c r="G172" s="13" t="s">
        <v>337</v>
      </c>
      <c r="H172" s="14">
        <v>20</v>
      </c>
      <c r="I172" s="15">
        <v>104</v>
      </c>
      <c r="J172" s="16">
        <f t="shared" si="21"/>
        <v>2080</v>
      </c>
      <c r="K172" s="17">
        <v>46119</v>
      </c>
      <c r="L172" s="10">
        <v>20</v>
      </c>
      <c r="M172" s="18">
        <f t="shared" si="22"/>
        <v>20</v>
      </c>
      <c r="N172" s="19">
        <f t="shared" si="23"/>
        <v>0</v>
      </c>
      <c r="O172" s="10" t="str">
        <f t="shared" si="24"/>
        <v>COMPLETE</v>
      </c>
      <c r="P172" s="10"/>
      <c r="Q172" s="10" t="str">
        <f t="shared" si="25"/>
        <v>OK</v>
      </c>
    </row>
    <row r="173" spans="1:17" x14ac:dyDescent="0.3">
      <c r="A173" s="47" t="s">
        <v>331</v>
      </c>
      <c r="B173" s="13" t="s">
        <v>257</v>
      </c>
      <c r="C173" s="13" t="s">
        <v>511</v>
      </c>
      <c r="D173" s="13" t="s">
        <v>504</v>
      </c>
      <c r="E173" s="13" t="s">
        <v>505</v>
      </c>
      <c r="F173" s="13" t="s">
        <v>335</v>
      </c>
      <c r="G173" s="13" t="s">
        <v>338</v>
      </c>
      <c r="H173" s="14">
        <v>10</v>
      </c>
      <c r="I173" s="15">
        <v>104</v>
      </c>
      <c r="J173" s="16">
        <f t="shared" si="21"/>
        <v>1040</v>
      </c>
      <c r="K173" s="17">
        <v>46119</v>
      </c>
      <c r="L173" s="10">
        <v>10</v>
      </c>
      <c r="M173" s="18">
        <f t="shared" si="22"/>
        <v>10</v>
      </c>
      <c r="N173" s="19">
        <f t="shared" si="23"/>
        <v>0</v>
      </c>
      <c r="O173" s="10" t="str">
        <f t="shared" si="24"/>
        <v>COMPLETE</v>
      </c>
      <c r="P173" s="10"/>
      <c r="Q173" s="10" t="str">
        <f t="shared" si="25"/>
        <v>OK</v>
      </c>
    </row>
    <row r="174" spans="1:17" x14ac:dyDescent="0.3">
      <c r="A174" s="10" t="s">
        <v>340</v>
      </c>
      <c r="B174" s="13" t="s">
        <v>63</v>
      </c>
      <c r="C174" s="13" t="s">
        <v>512</v>
      </c>
      <c r="D174" s="13" t="s">
        <v>207</v>
      </c>
      <c r="E174" s="13" t="s">
        <v>207</v>
      </c>
      <c r="F174" s="13" t="s">
        <v>334</v>
      </c>
      <c r="G174" s="13" t="s">
        <v>337</v>
      </c>
      <c r="H174" s="14">
        <v>50</v>
      </c>
      <c r="I174" s="15">
        <v>100</v>
      </c>
      <c r="J174" s="16">
        <f t="shared" ref="J174" si="26">H174*I174</f>
        <v>5000</v>
      </c>
      <c r="K174" s="17">
        <v>46119</v>
      </c>
      <c r="L174" s="10">
        <v>50</v>
      </c>
      <c r="M174" s="18">
        <f t="shared" ref="M174" si="27">H174</f>
        <v>50</v>
      </c>
      <c r="N174" s="19">
        <f t="shared" ref="N174" si="28">L174-M174</f>
        <v>0</v>
      </c>
      <c r="O174" s="10" t="str">
        <f t="shared" ref="O174" si="29">IF(N174=0,"COMPLETE","INCOMPLETE")</f>
        <v>COMPLETE</v>
      </c>
      <c r="P174" s="10"/>
      <c r="Q174" s="10" t="str">
        <f t="shared" ref="Q174" si="30">IF(M174=H174,"OK","X")</f>
        <v>OK</v>
      </c>
    </row>
    <row r="175" spans="1:17" x14ac:dyDescent="0.3">
      <c r="A175" s="42" t="s">
        <v>345</v>
      </c>
      <c r="B175" s="13" t="s">
        <v>50</v>
      </c>
      <c r="C175" s="13" t="s">
        <v>558</v>
      </c>
      <c r="D175" s="13" t="s">
        <v>377</v>
      </c>
      <c r="E175" s="13" t="s">
        <v>377</v>
      </c>
      <c r="F175" s="13" t="s">
        <v>334</v>
      </c>
      <c r="G175" s="13" t="s">
        <v>337</v>
      </c>
      <c r="H175" s="14">
        <v>55</v>
      </c>
      <c r="I175" s="15">
        <v>108</v>
      </c>
      <c r="J175" s="16">
        <f t="shared" ref="J175" si="31">H175*I175</f>
        <v>5940</v>
      </c>
      <c r="K175" s="17">
        <v>46125</v>
      </c>
      <c r="L175" s="10">
        <v>55</v>
      </c>
      <c r="M175" s="18">
        <f t="shared" ref="M175:M176" si="32">H175</f>
        <v>55</v>
      </c>
      <c r="N175" s="19">
        <f t="shared" ref="N175" si="33">L175-M175</f>
        <v>0</v>
      </c>
      <c r="O175" s="10" t="str">
        <f t="shared" ref="O175" si="34">IF(N175=0,"COMPLETE","INCOMPLETE")</f>
        <v>COMPLETE</v>
      </c>
      <c r="P175" s="10"/>
      <c r="Q175" s="10" t="str">
        <f t="shared" ref="Q175" si="35">IF(M175=H175,"OK","X")</f>
        <v>OK</v>
      </c>
    </row>
    <row r="176" spans="1:17" ht="12" customHeight="1" x14ac:dyDescent="0.3">
      <c r="A176" s="42" t="s">
        <v>345</v>
      </c>
      <c r="B176" s="13" t="s">
        <v>50</v>
      </c>
      <c r="C176" s="13" t="s">
        <v>558</v>
      </c>
      <c r="D176" s="13" t="s">
        <v>377</v>
      </c>
      <c r="E176" s="13" t="s">
        <v>377</v>
      </c>
      <c r="F176" s="13" t="s">
        <v>319</v>
      </c>
      <c r="G176" s="13" t="s">
        <v>320</v>
      </c>
      <c r="H176" s="14">
        <v>6</v>
      </c>
      <c r="I176" s="15">
        <v>105</v>
      </c>
      <c r="J176" s="16">
        <f t="shared" ref="J176:J184" si="36">H176*I176</f>
        <v>630</v>
      </c>
      <c r="K176" s="17">
        <v>46125</v>
      </c>
      <c r="L176" s="10">
        <v>6</v>
      </c>
      <c r="M176" s="18">
        <f t="shared" si="32"/>
        <v>6</v>
      </c>
      <c r="N176" s="19">
        <f t="shared" ref="N176:N184" si="37">L176-M176</f>
        <v>0</v>
      </c>
      <c r="O176" s="10" t="str">
        <f t="shared" ref="O176:O184" si="38">IF(N176=0,"COMPLETE","INCOMPLETE")</f>
        <v>COMPLETE</v>
      </c>
      <c r="P176" s="10"/>
      <c r="Q176" s="10" t="str">
        <f t="shared" ref="Q176:Q184" si="39">IF(M176=H176,"OK","X")</f>
        <v>OK</v>
      </c>
    </row>
    <row r="177" spans="1:17" x14ac:dyDescent="0.3">
      <c r="A177" s="48" t="s">
        <v>348</v>
      </c>
      <c r="B177" s="13" t="s">
        <v>130</v>
      </c>
      <c r="C177" s="13" t="s">
        <v>565</v>
      </c>
      <c r="D177" s="13" t="s">
        <v>222</v>
      </c>
      <c r="E177" s="13" t="s">
        <v>222</v>
      </c>
      <c r="F177" s="13" t="s">
        <v>319</v>
      </c>
      <c r="G177" s="13" t="s">
        <v>320</v>
      </c>
      <c r="H177" s="14">
        <v>6</v>
      </c>
      <c r="I177" s="15">
        <v>73</v>
      </c>
      <c r="J177" s="16">
        <f t="shared" si="36"/>
        <v>438</v>
      </c>
      <c r="K177" s="17">
        <v>46128</v>
      </c>
      <c r="L177" s="10">
        <v>11</v>
      </c>
      <c r="M177" s="18">
        <f t="shared" ref="M177:M184" si="40">H177</f>
        <v>6</v>
      </c>
      <c r="N177" s="19">
        <f t="shared" si="37"/>
        <v>5</v>
      </c>
      <c r="O177" s="10" t="str">
        <f t="shared" si="38"/>
        <v>INCOMPLETE</v>
      </c>
      <c r="P177" s="10"/>
      <c r="Q177" s="10" t="str">
        <f t="shared" si="39"/>
        <v>OK</v>
      </c>
    </row>
    <row r="178" spans="1:17" x14ac:dyDescent="0.3">
      <c r="A178" s="48">
        <v>57</v>
      </c>
      <c r="B178" s="13" t="s">
        <v>130</v>
      </c>
      <c r="C178" s="13" t="s">
        <v>565</v>
      </c>
      <c r="D178" s="13" t="s">
        <v>259</v>
      </c>
      <c r="E178" s="13" t="s">
        <v>259</v>
      </c>
      <c r="F178" s="13" t="s">
        <v>319</v>
      </c>
      <c r="G178" s="13" t="s">
        <v>320</v>
      </c>
      <c r="H178" s="14">
        <v>5</v>
      </c>
      <c r="I178" s="15">
        <v>73</v>
      </c>
      <c r="J178" s="16">
        <f t="shared" si="36"/>
        <v>365</v>
      </c>
      <c r="K178" s="17">
        <v>46151</v>
      </c>
      <c r="L178" s="10">
        <v>5</v>
      </c>
      <c r="M178" s="18">
        <f t="shared" si="40"/>
        <v>5</v>
      </c>
      <c r="N178" s="19">
        <f t="shared" si="37"/>
        <v>0</v>
      </c>
      <c r="O178" s="10" t="str">
        <f t="shared" si="38"/>
        <v>COMPLETE</v>
      </c>
      <c r="P178" s="10"/>
      <c r="Q178" s="10" t="str">
        <f t="shared" si="39"/>
        <v>OK</v>
      </c>
    </row>
    <row r="179" spans="1:17" x14ac:dyDescent="0.3">
      <c r="A179" s="10" t="s">
        <v>350</v>
      </c>
      <c r="B179" s="13" t="s">
        <v>102</v>
      </c>
      <c r="C179" s="13" t="s">
        <v>566</v>
      </c>
      <c r="D179" s="13" t="s">
        <v>135</v>
      </c>
      <c r="E179" s="13" t="s">
        <v>135</v>
      </c>
      <c r="F179" s="13" t="s">
        <v>125</v>
      </c>
      <c r="G179" s="13" t="s">
        <v>126</v>
      </c>
      <c r="H179" s="14">
        <v>10</v>
      </c>
      <c r="I179" s="15">
        <v>75</v>
      </c>
      <c r="J179" s="16">
        <f t="shared" si="36"/>
        <v>750</v>
      </c>
      <c r="K179" s="17">
        <v>46128</v>
      </c>
      <c r="L179" s="10">
        <v>10</v>
      </c>
      <c r="M179" s="18">
        <f t="shared" si="40"/>
        <v>10</v>
      </c>
      <c r="N179" s="19">
        <f t="shared" si="37"/>
        <v>0</v>
      </c>
      <c r="O179" s="10" t="str">
        <f t="shared" si="38"/>
        <v>COMPLETE</v>
      </c>
      <c r="P179" s="10"/>
      <c r="Q179" s="10" t="str">
        <f t="shared" si="39"/>
        <v>OK</v>
      </c>
    </row>
    <row r="180" spans="1:17" x14ac:dyDescent="0.3">
      <c r="A180" s="10" t="s">
        <v>354</v>
      </c>
      <c r="B180" s="13" t="s">
        <v>73</v>
      </c>
      <c r="C180" s="13" t="s">
        <v>569</v>
      </c>
      <c r="D180" s="13" t="s">
        <v>286</v>
      </c>
      <c r="E180" s="13" t="s">
        <v>286</v>
      </c>
      <c r="F180" s="13" t="s">
        <v>336</v>
      </c>
      <c r="G180" s="13" t="s">
        <v>339</v>
      </c>
      <c r="H180" s="14">
        <v>40</v>
      </c>
      <c r="I180" s="15">
        <v>95</v>
      </c>
      <c r="J180" s="16">
        <f t="shared" si="36"/>
        <v>3800</v>
      </c>
      <c r="K180" s="17">
        <v>46129</v>
      </c>
      <c r="L180" s="10">
        <v>40</v>
      </c>
      <c r="M180" s="18">
        <f t="shared" si="40"/>
        <v>40</v>
      </c>
      <c r="N180" s="19">
        <f t="shared" si="37"/>
        <v>0</v>
      </c>
      <c r="O180" s="10" t="str">
        <f t="shared" si="38"/>
        <v>COMPLETE</v>
      </c>
      <c r="P180" s="10"/>
      <c r="Q180" s="10" t="str">
        <f t="shared" si="39"/>
        <v>OK</v>
      </c>
    </row>
    <row r="181" spans="1:17" x14ac:dyDescent="0.3">
      <c r="A181" s="41" t="s">
        <v>357</v>
      </c>
      <c r="B181" s="13" t="s">
        <v>130</v>
      </c>
      <c r="C181" s="13" t="s">
        <v>601</v>
      </c>
      <c r="D181" s="13" t="s">
        <v>248</v>
      </c>
      <c r="E181" s="13" t="s">
        <v>248</v>
      </c>
      <c r="F181" s="13" t="s">
        <v>385</v>
      </c>
      <c r="G181" s="13" t="s">
        <v>386</v>
      </c>
      <c r="H181" s="14">
        <v>2</v>
      </c>
      <c r="I181" s="15">
        <v>73</v>
      </c>
      <c r="J181" s="16">
        <f t="shared" si="36"/>
        <v>146</v>
      </c>
      <c r="K181" s="17">
        <v>46141</v>
      </c>
      <c r="L181" s="10">
        <v>2</v>
      </c>
      <c r="M181" s="18">
        <f t="shared" si="40"/>
        <v>2</v>
      </c>
      <c r="N181" s="19">
        <f t="shared" si="37"/>
        <v>0</v>
      </c>
      <c r="O181" s="10" t="str">
        <f t="shared" si="38"/>
        <v>COMPLETE</v>
      </c>
      <c r="P181" s="10"/>
      <c r="Q181" s="10" t="str">
        <f t="shared" si="39"/>
        <v>OK</v>
      </c>
    </row>
    <row r="182" spans="1:17" x14ac:dyDescent="0.3">
      <c r="A182" s="41" t="s">
        <v>357</v>
      </c>
      <c r="B182" s="13" t="s">
        <v>130</v>
      </c>
      <c r="C182" s="13" t="s">
        <v>601</v>
      </c>
      <c r="D182" s="13" t="s">
        <v>248</v>
      </c>
      <c r="E182" s="13" t="s">
        <v>248</v>
      </c>
      <c r="F182" s="13" t="s">
        <v>334</v>
      </c>
      <c r="G182" s="13" t="s">
        <v>337</v>
      </c>
      <c r="H182" s="14">
        <v>2</v>
      </c>
      <c r="I182" s="15">
        <v>73</v>
      </c>
      <c r="J182" s="16">
        <f t="shared" si="36"/>
        <v>146</v>
      </c>
      <c r="K182" s="17">
        <v>46141</v>
      </c>
      <c r="L182" s="10">
        <v>2</v>
      </c>
      <c r="M182" s="18">
        <f t="shared" si="40"/>
        <v>2</v>
      </c>
      <c r="N182" s="19">
        <f t="shared" si="37"/>
        <v>0</v>
      </c>
      <c r="O182" s="10" t="str">
        <f t="shared" si="38"/>
        <v>COMPLETE</v>
      </c>
      <c r="P182" s="10"/>
      <c r="Q182" s="10" t="str">
        <f t="shared" si="39"/>
        <v>OK</v>
      </c>
    </row>
    <row r="183" spans="1:17" x14ac:dyDescent="0.3">
      <c r="A183" s="49">
        <v>61</v>
      </c>
      <c r="B183" s="13" t="s">
        <v>73</v>
      </c>
      <c r="C183" s="13" t="s">
        <v>611</v>
      </c>
      <c r="D183" s="13" t="s">
        <v>282</v>
      </c>
      <c r="E183" s="13" t="s">
        <v>285</v>
      </c>
      <c r="F183" s="13" t="s">
        <v>65</v>
      </c>
      <c r="G183" s="13" t="s">
        <v>66</v>
      </c>
      <c r="H183" s="14">
        <v>50</v>
      </c>
      <c r="I183" s="15">
        <v>95</v>
      </c>
      <c r="J183" s="16">
        <f t="shared" si="36"/>
        <v>4750</v>
      </c>
      <c r="K183" s="17">
        <v>46142</v>
      </c>
      <c r="L183" s="10">
        <v>50</v>
      </c>
      <c r="M183" s="18">
        <f t="shared" si="40"/>
        <v>50</v>
      </c>
      <c r="N183" s="19">
        <f t="shared" si="37"/>
        <v>0</v>
      </c>
      <c r="O183" s="10" t="str">
        <f t="shared" si="38"/>
        <v>COMPLETE</v>
      </c>
      <c r="P183" s="10"/>
      <c r="Q183" s="10" t="str">
        <f t="shared" si="39"/>
        <v>OK</v>
      </c>
    </row>
    <row r="184" spans="1:17" x14ac:dyDescent="0.3">
      <c r="A184" s="49">
        <v>61</v>
      </c>
      <c r="B184" s="13" t="s">
        <v>73</v>
      </c>
      <c r="C184" s="13" t="s">
        <v>611</v>
      </c>
      <c r="D184" s="13" t="s">
        <v>282</v>
      </c>
      <c r="E184" s="13" t="s">
        <v>285</v>
      </c>
      <c r="F184" s="13" t="s">
        <v>336</v>
      </c>
      <c r="G184" s="13" t="s">
        <v>339</v>
      </c>
      <c r="H184" s="14">
        <v>40</v>
      </c>
      <c r="I184" s="15">
        <v>95</v>
      </c>
      <c r="J184" s="16">
        <f t="shared" si="36"/>
        <v>3800</v>
      </c>
      <c r="K184" s="17">
        <v>46142</v>
      </c>
      <c r="L184" s="10">
        <v>40</v>
      </c>
      <c r="M184" s="18">
        <f t="shared" si="40"/>
        <v>40</v>
      </c>
      <c r="N184" s="19">
        <f t="shared" si="37"/>
        <v>0</v>
      </c>
      <c r="O184" s="10" t="str">
        <f t="shared" si="38"/>
        <v>COMPLETE</v>
      </c>
      <c r="P184" s="10"/>
      <c r="Q184" s="10" t="str">
        <f t="shared" si="39"/>
        <v>OK</v>
      </c>
    </row>
    <row r="185" spans="1:17" x14ac:dyDescent="0.3">
      <c r="A185" s="38">
        <v>62</v>
      </c>
      <c r="B185" s="13" t="s">
        <v>19</v>
      </c>
      <c r="C185" s="13" t="s">
        <v>632</v>
      </c>
      <c r="D185" s="13" t="s">
        <v>208</v>
      </c>
      <c r="E185" s="13" t="s">
        <v>208</v>
      </c>
      <c r="F185" s="13" t="s">
        <v>385</v>
      </c>
      <c r="G185" s="13" t="s">
        <v>386</v>
      </c>
      <c r="H185" s="14">
        <v>20</v>
      </c>
      <c r="I185" s="15">
        <v>70</v>
      </c>
      <c r="J185" s="16">
        <f t="shared" ref="J185:J203" si="41">H185*I185</f>
        <v>1400</v>
      </c>
      <c r="K185" s="17">
        <v>46150</v>
      </c>
      <c r="L185" s="10">
        <v>20</v>
      </c>
      <c r="M185" s="18">
        <f t="shared" ref="M185:M203" si="42">H185</f>
        <v>20</v>
      </c>
      <c r="N185" s="19">
        <f t="shared" ref="N185:N203" si="43">L185-M185</f>
        <v>0</v>
      </c>
      <c r="O185" s="10" t="str">
        <f t="shared" ref="O185:O203" si="44">IF(N185=0,"COMPLETE","INCOMPLETE")</f>
        <v>COMPLETE</v>
      </c>
      <c r="P185" s="10"/>
      <c r="Q185" s="10" t="str">
        <f t="shared" ref="Q185:Q203" si="45">IF(M185=H185,"OK","X")</f>
        <v>OK</v>
      </c>
    </row>
    <row r="186" spans="1:17" x14ac:dyDescent="0.3">
      <c r="A186" s="38">
        <v>62</v>
      </c>
      <c r="B186" s="13" t="s">
        <v>19</v>
      </c>
      <c r="C186" s="13" t="s">
        <v>632</v>
      </c>
      <c r="D186" s="13" t="s">
        <v>208</v>
      </c>
      <c r="E186" s="13" t="s">
        <v>208</v>
      </c>
      <c r="F186" s="13" t="s">
        <v>334</v>
      </c>
      <c r="G186" s="13" t="s">
        <v>337</v>
      </c>
      <c r="H186" s="14">
        <v>20</v>
      </c>
      <c r="I186" s="15">
        <v>70</v>
      </c>
      <c r="J186" s="16">
        <f t="shared" si="41"/>
        <v>1400</v>
      </c>
      <c r="K186" s="17">
        <v>46150</v>
      </c>
      <c r="L186" s="10">
        <v>20</v>
      </c>
      <c r="M186" s="18">
        <f t="shared" si="42"/>
        <v>20</v>
      </c>
      <c r="N186" s="19">
        <f t="shared" si="43"/>
        <v>0</v>
      </c>
      <c r="O186" s="10" t="str">
        <f t="shared" si="44"/>
        <v>COMPLETE</v>
      </c>
      <c r="P186" s="10"/>
      <c r="Q186" s="10" t="str">
        <f t="shared" si="45"/>
        <v>OK</v>
      </c>
    </row>
    <row r="187" spans="1:17" x14ac:dyDescent="0.3">
      <c r="A187" s="38">
        <v>62</v>
      </c>
      <c r="B187" s="13" t="s">
        <v>19</v>
      </c>
      <c r="C187" s="13" t="s">
        <v>632</v>
      </c>
      <c r="D187" s="13" t="s">
        <v>208</v>
      </c>
      <c r="E187" s="13" t="s">
        <v>208</v>
      </c>
      <c r="F187" s="13" t="s">
        <v>335</v>
      </c>
      <c r="G187" s="13" t="s">
        <v>338</v>
      </c>
      <c r="H187" s="14">
        <v>10</v>
      </c>
      <c r="I187" s="15">
        <v>70</v>
      </c>
      <c r="J187" s="16">
        <f t="shared" si="41"/>
        <v>700</v>
      </c>
      <c r="K187" s="17">
        <v>46150</v>
      </c>
      <c r="L187" s="10">
        <v>10</v>
      </c>
      <c r="M187" s="18">
        <f t="shared" si="42"/>
        <v>10</v>
      </c>
      <c r="N187" s="19">
        <f t="shared" si="43"/>
        <v>0</v>
      </c>
      <c r="O187" s="10" t="str">
        <f t="shared" si="44"/>
        <v>COMPLETE</v>
      </c>
      <c r="P187" s="10"/>
      <c r="Q187" s="10" t="str">
        <f t="shared" si="45"/>
        <v>OK</v>
      </c>
    </row>
    <row r="188" spans="1:17" x14ac:dyDescent="0.3">
      <c r="A188" s="48">
        <v>63</v>
      </c>
      <c r="B188" s="13" t="s">
        <v>73</v>
      </c>
      <c r="C188" s="13" t="s">
        <v>646</v>
      </c>
      <c r="D188" s="13" t="s">
        <v>325</v>
      </c>
      <c r="E188" s="13" t="s">
        <v>325</v>
      </c>
      <c r="F188" s="13" t="s">
        <v>125</v>
      </c>
      <c r="G188" s="13" t="s">
        <v>126</v>
      </c>
      <c r="H188" s="14">
        <v>10</v>
      </c>
      <c r="I188" s="15">
        <v>95</v>
      </c>
      <c r="J188" s="16">
        <f t="shared" si="41"/>
        <v>950</v>
      </c>
      <c r="K188" s="17">
        <v>46153</v>
      </c>
      <c r="L188" s="10">
        <v>10</v>
      </c>
      <c r="M188" s="18">
        <f t="shared" si="42"/>
        <v>10</v>
      </c>
      <c r="N188" s="19">
        <f t="shared" si="43"/>
        <v>0</v>
      </c>
      <c r="O188" s="10" t="str">
        <f t="shared" si="44"/>
        <v>COMPLETE</v>
      </c>
      <c r="P188" s="10"/>
      <c r="Q188" s="10" t="str">
        <f t="shared" si="45"/>
        <v>OK</v>
      </c>
    </row>
    <row r="189" spans="1:17" x14ac:dyDescent="0.3">
      <c r="A189" s="48">
        <v>63</v>
      </c>
      <c r="B189" s="13" t="s">
        <v>73</v>
      </c>
      <c r="C189" s="13" t="s">
        <v>646</v>
      </c>
      <c r="D189" s="13" t="s">
        <v>325</v>
      </c>
      <c r="E189" s="13" t="s">
        <v>325</v>
      </c>
      <c r="F189" s="13" t="s">
        <v>336</v>
      </c>
      <c r="G189" s="13" t="s">
        <v>339</v>
      </c>
      <c r="H189" s="14">
        <v>15</v>
      </c>
      <c r="I189" s="15">
        <v>95</v>
      </c>
      <c r="J189" s="16">
        <f t="shared" si="41"/>
        <v>1425</v>
      </c>
      <c r="K189" s="17">
        <v>46153</v>
      </c>
      <c r="L189" s="10">
        <v>15</v>
      </c>
      <c r="M189" s="18">
        <f t="shared" si="42"/>
        <v>15</v>
      </c>
      <c r="N189" s="19">
        <f t="shared" si="43"/>
        <v>0</v>
      </c>
      <c r="O189" s="10" t="str">
        <f t="shared" si="44"/>
        <v>COMPLETE</v>
      </c>
      <c r="P189" s="10"/>
      <c r="Q189" s="10" t="str">
        <f t="shared" si="45"/>
        <v>OK</v>
      </c>
    </row>
    <row r="190" spans="1:17" x14ac:dyDescent="0.3">
      <c r="A190" s="50">
        <v>64</v>
      </c>
      <c r="B190" s="13" t="s">
        <v>73</v>
      </c>
      <c r="C190" s="13" t="s">
        <v>647</v>
      </c>
      <c r="D190" s="13" t="s">
        <v>333</v>
      </c>
      <c r="E190" s="13" t="s">
        <v>317</v>
      </c>
      <c r="F190" s="13" t="s">
        <v>336</v>
      </c>
      <c r="G190" s="13" t="s">
        <v>339</v>
      </c>
      <c r="H190" s="14">
        <v>40</v>
      </c>
      <c r="I190" s="15">
        <v>95</v>
      </c>
      <c r="J190" s="16">
        <f t="shared" si="41"/>
        <v>3800</v>
      </c>
      <c r="K190" s="17">
        <v>46153</v>
      </c>
      <c r="L190" s="10">
        <v>40</v>
      </c>
      <c r="M190" s="18">
        <f t="shared" si="42"/>
        <v>40</v>
      </c>
      <c r="N190" s="19">
        <f t="shared" si="43"/>
        <v>0</v>
      </c>
      <c r="O190" s="10" t="str">
        <f t="shared" si="44"/>
        <v>COMPLETE</v>
      </c>
      <c r="P190" s="10"/>
      <c r="Q190" s="10" t="str">
        <f t="shared" si="45"/>
        <v>OK</v>
      </c>
    </row>
    <row r="191" spans="1:17" x14ac:dyDescent="0.3">
      <c r="A191" s="50">
        <v>64</v>
      </c>
      <c r="B191" s="13" t="s">
        <v>73</v>
      </c>
      <c r="C191" s="13" t="s">
        <v>647</v>
      </c>
      <c r="D191" s="13" t="s">
        <v>333</v>
      </c>
      <c r="E191" s="13" t="s">
        <v>317</v>
      </c>
      <c r="F191" s="13" t="s">
        <v>65</v>
      </c>
      <c r="G191" s="13" t="s">
        <v>66</v>
      </c>
      <c r="H191" s="14">
        <v>25</v>
      </c>
      <c r="I191" s="15">
        <v>95</v>
      </c>
      <c r="J191" s="16">
        <f t="shared" si="41"/>
        <v>2375</v>
      </c>
      <c r="K191" s="17">
        <v>46153</v>
      </c>
      <c r="L191" s="10">
        <v>25</v>
      </c>
      <c r="M191" s="18">
        <f t="shared" si="42"/>
        <v>25</v>
      </c>
      <c r="N191" s="19">
        <f t="shared" si="43"/>
        <v>0</v>
      </c>
      <c r="O191" s="10" t="str">
        <f t="shared" si="44"/>
        <v>COMPLETE</v>
      </c>
      <c r="P191" s="10"/>
      <c r="Q191" s="10" t="str">
        <f t="shared" si="45"/>
        <v>OK</v>
      </c>
    </row>
    <row r="192" spans="1:17" x14ac:dyDescent="0.3">
      <c r="A192" s="9">
        <v>65</v>
      </c>
      <c r="B192" s="13" t="s">
        <v>225</v>
      </c>
      <c r="C192" s="13" t="s">
        <v>652</v>
      </c>
      <c r="D192" s="13" t="s">
        <v>134</v>
      </c>
      <c r="E192" s="13" t="s">
        <v>133</v>
      </c>
      <c r="F192" s="13" t="s">
        <v>336</v>
      </c>
      <c r="G192" s="13" t="s">
        <v>339</v>
      </c>
      <c r="H192" s="14">
        <v>40</v>
      </c>
      <c r="I192" s="15">
        <v>90</v>
      </c>
      <c r="J192" s="16">
        <f t="shared" si="41"/>
        <v>3600</v>
      </c>
      <c r="K192" s="17">
        <v>46155</v>
      </c>
      <c r="L192" s="10">
        <v>120</v>
      </c>
      <c r="M192" s="18">
        <f t="shared" si="42"/>
        <v>40</v>
      </c>
      <c r="N192" s="19">
        <f t="shared" si="43"/>
        <v>80</v>
      </c>
      <c r="O192" s="10" t="str">
        <f t="shared" si="44"/>
        <v>INCOMPLETE</v>
      </c>
      <c r="P192" s="10"/>
      <c r="Q192" s="10" t="str">
        <f t="shared" si="45"/>
        <v>OK</v>
      </c>
    </row>
    <row r="193" spans="1:17" x14ac:dyDescent="0.3">
      <c r="A193" s="9">
        <v>65</v>
      </c>
      <c r="B193" s="13" t="s">
        <v>225</v>
      </c>
      <c r="C193" s="13" t="s">
        <v>652</v>
      </c>
      <c r="D193" s="13" t="s">
        <v>133</v>
      </c>
      <c r="E193" s="13" t="s">
        <v>165</v>
      </c>
      <c r="F193" s="13" t="s">
        <v>336</v>
      </c>
      <c r="G193" s="13" t="s">
        <v>339</v>
      </c>
      <c r="H193" s="14">
        <v>25</v>
      </c>
      <c r="I193" s="15">
        <v>90</v>
      </c>
      <c r="J193" s="16">
        <f t="shared" si="41"/>
        <v>2250</v>
      </c>
      <c r="K193" s="17">
        <v>46155</v>
      </c>
      <c r="L193" s="10">
        <v>80</v>
      </c>
      <c r="M193" s="18">
        <f t="shared" si="42"/>
        <v>25</v>
      </c>
      <c r="N193" s="19">
        <f t="shared" si="43"/>
        <v>55</v>
      </c>
      <c r="O193" s="10" t="str">
        <f t="shared" si="44"/>
        <v>INCOMPLETE</v>
      </c>
      <c r="P193" s="10"/>
      <c r="Q193" s="10" t="str">
        <f t="shared" si="45"/>
        <v>OK</v>
      </c>
    </row>
    <row r="194" spans="1:17" x14ac:dyDescent="0.3">
      <c r="A194" s="9">
        <v>65</v>
      </c>
      <c r="B194" s="13" t="s">
        <v>225</v>
      </c>
      <c r="C194" s="13" t="s">
        <v>652</v>
      </c>
      <c r="D194" s="13" t="s">
        <v>165</v>
      </c>
      <c r="E194" s="13" t="s">
        <v>189</v>
      </c>
      <c r="F194" s="13" t="s">
        <v>336</v>
      </c>
      <c r="G194" s="13" t="s">
        <v>339</v>
      </c>
      <c r="H194" s="14">
        <v>55</v>
      </c>
      <c r="I194" s="15">
        <v>90</v>
      </c>
      <c r="J194" s="16">
        <f t="shared" si="41"/>
        <v>4950</v>
      </c>
      <c r="K194" s="17">
        <v>46174</v>
      </c>
      <c r="L194" s="10">
        <v>55</v>
      </c>
      <c r="M194" s="18">
        <f t="shared" si="42"/>
        <v>55</v>
      </c>
      <c r="N194" s="19">
        <f t="shared" si="43"/>
        <v>0</v>
      </c>
      <c r="O194" s="10" t="str">
        <f t="shared" si="44"/>
        <v>COMPLETE</v>
      </c>
      <c r="P194" s="10"/>
      <c r="Q194" s="10" t="str">
        <f t="shared" si="45"/>
        <v>OK</v>
      </c>
    </row>
    <row r="195" spans="1:17" x14ac:dyDescent="0.3">
      <c r="A195" s="10">
        <v>66</v>
      </c>
      <c r="B195" s="13" t="s">
        <v>73</v>
      </c>
      <c r="C195" s="13" t="s">
        <v>653</v>
      </c>
      <c r="D195" s="13" t="s">
        <v>343</v>
      </c>
      <c r="E195" s="13" t="s">
        <v>343</v>
      </c>
      <c r="F195" s="13" t="s">
        <v>65</v>
      </c>
      <c r="G195" s="13" t="s">
        <v>66</v>
      </c>
      <c r="H195" s="14">
        <v>60</v>
      </c>
      <c r="I195" s="15">
        <v>95</v>
      </c>
      <c r="J195" s="16">
        <f t="shared" si="41"/>
        <v>5700</v>
      </c>
      <c r="K195" s="17">
        <v>46156</v>
      </c>
      <c r="L195" s="10">
        <v>60</v>
      </c>
      <c r="M195" s="18">
        <f t="shared" si="42"/>
        <v>60</v>
      </c>
      <c r="N195" s="19">
        <f t="shared" si="43"/>
        <v>0</v>
      </c>
      <c r="O195" s="10" t="str">
        <f t="shared" si="44"/>
        <v>COMPLETE</v>
      </c>
      <c r="P195" s="10"/>
      <c r="Q195" s="10" t="str">
        <f t="shared" si="45"/>
        <v>OK</v>
      </c>
    </row>
    <row r="196" spans="1:17" x14ac:dyDescent="0.3">
      <c r="A196" s="10">
        <v>67</v>
      </c>
      <c r="B196" s="13" t="s">
        <v>63</v>
      </c>
      <c r="C196" s="13" t="s">
        <v>658</v>
      </c>
      <c r="D196" s="13" t="s">
        <v>259</v>
      </c>
      <c r="E196" s="13" t="s">
        <v>259</v>
      </c>
      <c r="F196" s="13" t="s">
        <v>385</v>
      </c>
      <c r="G196" s="13" t="s">
        <v>386</v>
      </c>
      <c r="H196" s="14">
        <v>30</v>
      </c>
      <c r="I196" s="15">
        <v>100</v>
      </c>
      <c r="J196" s="16">
        <f t="shared" si="41"/>
        <v>3000</v>
      </c>
      <c r="K196" s="17">
        <v>46156</v>
      </c>
      <c r="L196" s="10">
        <v>30</v>
      </c>
      <c r="M196" s="18">
        <f t="shared" si="42"/>
        <v>30</v>
      </c>
      <c r="N196" s="19">
        <f t="shared" si="43"/>
        <v>0</v>
      </c>
      <c r="O196" s="10" t="str">
        <f t="shared" si="44"/>
        <v>COMPLETE</v>
      </c>
      <c r="P196" s="10"/>
      <c r="Q196" s="10" t="str">
        <f t="shared" si="45"/>
        <v>OK</v>
      </c>
    </row>
    <row r="197" spans="1:17" x14ac:dyDescent="0.3">
      <c r="A197" s="45">
        <v>68</v>
      </c>
      <c r="B197" s="13" t="s">
        <v>421</v>
      </c>
      <c r="C197" s="13" t="s">
        <v>662</v>
      </c>
      <c r="D197" s="13" t="s">
        <v>603</v>
      </c>
      <c r="E197" s="13" t="s">
        <v>398</v>
      </c>
      <c r="F197" s="13" t="s">
        <v>99</v>
      </c>
      <c r="G197" s="13" t="s">
        <v>100</v>
      </c>
      <c r="H197" s="14">
        <v>10</v>
      </c>
      <c r="I197" s="15">
        <v>104</v>
      </c>
      <c r="J197" s="16">
        <f t="shared" si="41"/>
        <v>1040</v>
      </c>
      <c r="K197" s="17">
        <v>46160</v>
      </c>
      <c r="L197" s="10">
        <v>10</v>
      </c>
      <c r="M197" s="18">
        <f t="shared" si="42"/>
        <v>10</v>
      </c>
      <c r="N197" s="19">
        <f t="shared" si="43"/>
        <v>0</v>
      </c>
      <c r="O197" s="10" t="str">
        <f t="shared" si="44"/>
        <v>COMPLETE</v>
      </c>
      <c r="P197" s="10"/>
      <c r="Q197" s="10" t="str">
        <f t="shared" si="45"/>
        <v>OK</v>
      </c>
    </row>
    <row r="198" spans="1:17" x14ac:dyDescent="0.3">
      <c r="A198" s="45">
        <v>68</v>
      </c>
      <c r="B198" s="13" t="s">
        <v>421</v>
      </c>
      <c r="C198" s="13" t="s">
        <v>662</v>
      </c>
      <c r="D198" s="13" t="s">
        <v>603</v>
      </c>
      <c r="E198" s="13" t="s">
        <v>398</v>
      </c>
      <c r="F198" s="13" t="s">
        <v>30</v>
      </c>
      <c r="G198" s="13" t="s">
        <v>31</v>
      </c>
      <c r="H198" s="14">
        <v>10</v>
      </c>
      <c r="I198" s="15">
        <v>104</v>
      </c>
      <c r="J198" s="16">
        <f t="shared" si="41"/>
        <v>1040</v>
      </c>
      <c r="K198" s="17">
        <v>46160</v>
      </c>
      <c r="L198" s="10">
        <v>10</v>
      </c>
      <c r="M198" s="18">
        <f t="shared" si="42"/>
        <v>10</v>
      </c>
      <c r="N198" s="19">
        <f t="shared" si="43"/>
        <v>0</v>
      </c>
      <c r="O198" s="10" t="str">
        <f t="shared" si="44"/>
        <v>COMPLETE</v>
      </c>
      <c r="P198" s="10"/>
      <c r="Q198" s="10" t="str">
        <f t="shared" si="45"/>
        <v>OK</v>
      </c>
    </row>
    <row r="199" spans="1:17" x14ac:dyDescent="0.3">
      <c r="A199" s="45">
        <v>68</v>
      </c>
      <c r="B199" s="13" t="s">
        <v>421</v>
      </c>
      <c r="C199" s="13" t="s">
        <v>662</v>
      </c>
      <c r="D199" s="13" t="s">
        <v>603</v>
      </c>
      <c r="E199" s="13" t="s">
        <v>398</v>
      </c>
      <c r="F199" s="13" t="s">
        <v>36</v>
      </c>
      <c r="G199" s="13" t="s">
        <v>37</v>
      </c>
      <c r="H199" s="14">
        <v>10</v>
      </c>
      <c r="I199" s="15">
        <v>104</v>
      </c>
      <c r="J199" s="16">
        <f t="shared" si="41"/>
        <v>1040</v>
      </c>
      <c r="K199" s="17">
        <v>46160</v>
      </c>
      <c r="L199" s="10">
        <v>10</v>
      </c>
      <c r="M199" s="18">
        <f t="shared" si="42"/>
        <v>10</v>
      </c>
      <c r="N199" s="19">
        <f t="shared" si="43"/>
        <v>0</v>
      </c>
      <c r="O199" s="10" t="str">
        <f t="shared" si="44"/>
        <v>COMPLETE</v>
      </c>
      <c r="P199" s="10"/>
      <c r="Q199" s="10" t="str">
        <f t="shared" si="45"/>
        <v>OK</v>
      </c>
    </row>
    <row r="200" spans="1:17" x14ac:dyDescent="0.3">
      <c r="A200" s="38">
        <v>69</v>
      </c>
      <c r="B200" s="13" t="s">
        <v>50</v>
      </c>
      <c r="C200" s="13" t="s">
        <v>674</v>
      </c>
      <c r="D200" s="13" t="s">
        <v>450</v>
      </c>
      <c r="E200" s="13" t="s">
        <v>450</v>
      </c>
      <c r="F200" s="13" t="s">
        <v>334</v>
      </c>
      <c r="G200" s="13" t="s">
        <v>337</v>
      </c>
      <c r="H200" s="14">
        <v>25</v>
      </c>
      <c r="I200" s="15">
        <v>108</v>
      </c>
      <c r="J200" s="16">
        <f t="shared" si="41"/>
        <v>2700</v>
      </c>
      <c r="K200" s="17">
        <v>46160</v>
      </c>
      <c r="L200" s="10">
        <v>25</v>
      </c>
      <c r="M200" s="18">
        <f t="shared" si="42"/>
        <v>25</v>
      </c>
      <c r="N200" s="19">
        <f t="shared" si="43"/>
        <v>0</v>
      </c>
      <c r="O200" s="10" t="str">
        <f t="shared" si="44"/>
        <v>COMPLETE</v>
      </c>
      <c r="P200" s="10"/>
      <c r="Q200" s="10" t="str">
        <f t="shared" si="45"/>
        <v>OK</v>
      </c>
    </row>
    <row r="201" spans="1:17" x14ac:dyDescent="0.3">
      <c r="A201" s="38">
        <v>69</v>
      </c>
      <c r="B201" s="13" t="s">
        <v>50</v>
      </c>
      <c r="C201" s="13" t="s">
        <v>674</v>
      </c>
      <c r="D201" s="13" t="s">
        <v>450</v>
      </c>
      <c r="E201" s="13" t="s">
        <v>450</v>
      </c>
      <c r="F201" s="13" t="s">
        <v>319</v>
      </c>
      <c r="G201" s="13" t="s">
        <v>320</v>
      </c>
      <c r="H201" s="14">
        <v>1</v>
      </c>
      <c r="I201" s="15">
        <v>105</v>
      </c>
      <c r="J201" s="16">
        <f t="shared" si="41"/>
        <v>105</v>
      </c>
      <c r="K201" s="17">
        <v>46160</v>
      </c>
      <c r="L201" s="10">
        <v>10</v>
      </c>
      <c r="M201" s="18">
        <f t="shared" si="42"/>
        <v>1</v>
      </c>
      <c r="N201" s="19">
        <f t="shared" si="43"/>
        <v>9</v>
      </c>
      <c r="O201" s="10" t="str">
        <f t="shared" si="44"/>
        <v>INCOMPLETE</v>
      </c>
      <c r="P201" s="10"/>
      <c r="Q201" s="10" t="str">
        <f t="shared" si="45"/>
        <v>OK</v>
      </c>
    </row>
    <row r="202" spans="1:17" x14ac:dyDescent="0.3">
      <c r="A202" s="38">
        <v>69</v>
      </c>
      <c r="B202" s="13" t="s">
        <v>50</v>
      </c>
      <c r="C202" s="13" t="s">
        <v>674</v>
      </c>
      <c r="D202" s="13" t="s">
        <v>478</v>
      </c>
      <c r="E202" s="13" t="s">
        <v>478</v>
      </c>
      <c r="F202" s="13" t="s">
        <v>319</v>
      </c>
      <c r="G202" s="13" t="s">
        <v>320</v>
      </c>
      <c r="H202" s="14">
        <v>9</v>
      </c>
      <c r="I202" s="15">
        <v>105</v>
      </c>
      <c r="J202" s="16">
        <f t="shared" ref="J202" si="46">H202*I202</f>
        <v>945</v>
      </c>
      <c r="K202" s="17">
        <v>46174</v>
      </c>
      <c r="L202" s="10">
        <v>9</v>
      </c>
      <c r="M202" s="18">
        <f t="shared" ref="M202" si="47">H202</f>
        <v>9</v>
      </c>
      <c r="N202" s="19">
        <f t="shared" ref="N202" si="48">L202-M202</f>
        <v>0</v>
      </c>
      <c r="O202" s="10" t="str">
        <f t="shared" ref="O202" si="49">IF(N202=0,"COMPLETE","INCOMPLETE")</f>
        <v>COMPLETE</v>
      </c>
      <c r="P202" s="10"/>
      <c r="Q202" s="10" t="str">
        <f t="shared" ref="Q202" si="50">IF(M202=H202,"OK","X")</f>
        <v>OK</v>
      </c>
    </row>
    <row r="203" spans="1:17" x14ac:dyDescent="0.3">
      <c r="A203" s="42">
        <v>70</v>
      </c>
      <c r="B203" s="13" t="s">
        <v>421</v>
      </c>
      <c r="C203" s="13" t="s">
        <v>663</v>
      </c>
      <c r="D203" s="13" t="s">
        <v>608</v>
      </c>
      <c r="E203" s="13" t="s">
        <v>590</v>
      </c>
      <c r="F203" s="13" t="s">
        <v>385</v>
      </c>
      <c r="G203" s="13" t="s">
        <v>386</v>
      </c>
      <c r="H203" s="14">
        <v>10</v>
      </c>
      <c r="I203" s="15">
        <v>104</v>
      </c>
      <c r="J203" s="16">
        <f t="shared" si="41"/>
        <v>1040</v>
      </c>
      <c r="K203" s="17">
        <v>46160</v>
      </c>
      <c r="L203" s="10">
        <v>10</v>
      </c>
      <c r="M203" s="18">
        <f t="shared" si="42"/>
        <v>10</v>
      </c>
      <c r="N203" s="19">
        <f t="shared" si="43"/>
        <v>0</v>
      </c>
      <c r="O203" s="10" t="str">
        <f t="shared" si="44"/>
        <v>COMPLETE</v>
      </c>
      <c r="P203" s="10"/>
      <c r="Q203" s="10" t="str">
        <f t="shared" si="45"/>
        <v>OK</v>
      </c>
    </row>
    <row r="204" spans="1:17" x14ac:dyDescent="0.3">
      <c r="A204" s="42">
        <v>70</v>
      </c>
      <c r="B204" s="13" t="s">
        <v>421</v>
      </c>
      <c r="C204" s="13" t="s">
        <v>663</v>
      </c>
      <c r="D204" s="13" t="s">
        <v>608</v>
      </c>
      <c r="E204" s="13" t="s">
        <v>590</v>
      </c>
      <c r="F204" s="13" t="s">
        <v>334</v>
      </c>
      <c r="G204" s="13" t="s">
        <v>337</v>
      </c>
      <c r="H204" s="14">
        <v>20</v>
      </c>
      <c r="I204" s="15">
        <v>104</v>
      </c>
      <c r="J204" s="16">
        <f t="shared" ref="J204:J234" si="51">H204*I204</f>
        <v>2080</v>
      </c>
      <c r="K204" s="17">
        <v>46160</v>
      </c>
      <c r="L204" s="10">
        <v>20</v>
      </c>
      <c r="M204" s="18">
        <f t="shared" ref="M204:M234" si="52">H204</f>
        <v>20</v>
      </c>
      <c r="N204" s="19">
        <f t="shared" ref="N204:N234" si="53">L204-M204</f>
        <v>0</v>
      </c>
      <c r="O204" s="10" t="str">
        <f t="shared" ref="O204:O234" si="54">IF(N204=0,"COMPLETE","INCOMPLETE")</f>
        <v>COMPLETE</v>
      </c>
      <c r="P204" s="10"/>
      <c r="Q204" s="10" t="str">
        <f t="shared" ref="Q204:Q234" si="55">IF(M204=H204,"OK","X")</f>
        <v>OK</v>
      </c>
    </row>
    <row r="205" spans="1:17" x14ac:dyDescent="0.3">
      <c r="A205" s="10">
        <v>71</v>
      </c>
      <c r="B205" s="13" t="s">
        <v>19</v>
      </c>
      <c r="C205" s="13" t="s">
        <v>669</v>
      </c>
      <c r="D205" s="13" t="s">
        <v>209</v>
      </c>
      <c r="E205" s="13" t="s">
        <v>209</v>
      </c>
      <c r="F205" s="13" t="s">
        <v>334</v>
      </c>
      <c r="G205" s="13" t="s">
        <v>337</v>
      </c>
      <c r="H205" s="14">
        <v>20</v>
      </c>
      <c r="I205" s="15">
        <v>70</v>
      </c>
      <c r="J205" s="16">
        <f t="shared" si="51"/>
        <v>1400</v>
      </c>
      <c r="K205" s="17">
        <v>46161</v>
      </c>
      <c r="L205" s="10">
        <v>20</v>
      </c>
      <c r="M205" s="18">
        <f t="shared" si="52"/>
        <v>20</v>
      </c>
      <c r="N205" s="19">
        <f t="shared" si="53"/>
        <v>0</v>
      </c>
      <c r="O205" s="10" t="str">
        <f t="shared" si="54"/>
        <v>COMPLETE</v>
      </c>
      <c r="P205" s="10"/>
      <c r="Q205" s="10" t="str">
        <f t="shared" si="55"/>
        <v>OK</v>
      </c>
    </row>
    <row r="206" spans="1:17" x14ac:dyDescent="0.3">
      <c r="A206" s="50">
        <v>72</v>
      </c>
      <c r="B206" s="13" t="s">
        <v>218</v>
      </c>
      <c r="C206" s="13" t="s">
        <v>670</v>
      </c>
      <c r="D206" s="13" t="s">
        <v>317</v>
      </c>
      <c r="E206" s="13" t="s">
        <v>317</v>
      </c>
      <c r="F206" s="13" t="s">
        <v>65</v>
      </c>
      <c r="G206" s="13" t="s">
        <v>66</v>
      </c>
      <c r="H206" s="14">
        <v>25</v>
      </c>
      <c r="I206" s="15">
        <v>80</v>
      </c>
      <c r="J206" s="16">
        <f t="shared" si="51"/>
        <v>2000</v>
      </c>
      <c r="K206" s="17">
        <v>46161</v>
      </c>
      <c r="L206" s="10">
        <v>100</v>
      </c>
      <c r="M206" s="18">
        <f t="shared" si="52"/>
        <v>25</v>
      </c>
      <c r="N206" s="19">
        <f t="shared" si="53"/>
        <v>75</v>
      </c>
      <c r="O206" s="10" t="str">
        <f t="shared" si="54"/>
        <v>INCOMPLETE</v>
      </c>
      <c r="P206" s="12" t="s">
        <v>671</v>
      </c>
      <c r="Q206" s="10" t="str">
        <f t="shared" si="55"/>
        <v>OK</v>
      </c>
    </row>
    <row r="207" spans="1:17" x14ac:dyDescent="0.3">
      <c r="A207" s="50">
        <v>72</v>
      </c>
      <c r="B207" s="13" t="s">
        <v>218</v>
      </c>
      <c r="C207" s="13" t="s">
        <v>670</v>
      </c>
      <c r="D207" s="13" t="s">
        <v>317</v>
      </c>
      <c r="E207" s="13" t="s">
        <v>317</v>
      </c>
      <c r="F207" s="13" t="s">
        <v>334</v>
      </c>
      <c r="G207" s="13" t="s">
        <v>337</v>
      </c>
      <c r="H207" s="14">
        <v>15</v>
      </c>
      <c r="I207" s="15">
        <v>85</v>
      </c>
      <c r="J207" s="16">
        <f t="shared" si="51"/>
        <v>1275</v>
      </c>
      <c r="K207" s="17">
        <v>46161</v>
      </c>
      <c r="L207" s="10">
        <v>100</v>
      </c>
      <c r="M207" s="18">
        <f t="shared" si="52"/>
        <v>15</v>
      </c>
      <c r="N207" s="19">
        <f t="shared" si="53"/>
        <v>85</v>
      </c>
      <c r="O207" s="10" t="str">
        <f t="shared" si="54"/>
        <v>INCOMPLETE</v>
      </c>
      <c r="P207" s="10"/>
      <c r="Q207" s="10" t="str">
        <f t="shared" si="55"/>
        <v>OK</v>
      </c>
    </row>
    <row r="208" spans="1:17" x14ac:dyDescent="0.3">
      <c r="A208" s="50">
        <v>72</v>
      </c>
      <c r="B208" s="13" t="s">
        <v>218</v>
      </c>
      <c r="C208" s="13" t="s">
        <v>670</v>
      </c>
      <c r="D208" s="13" t="s">
        <v>317</v>
      </c>
      <c r="E208" s="13" t="s">
        <v>317</v>
      </c>
      <c r="F208" s="13" t="s">
        <v>335</v>
      </c>
      <c r="G208" s="13" t="s">
        <v>338</v>
      </c>
      <c r="H208" s="14">
        <v>20</v>
      </c>
      <c r="I208" s="15">
        <v>85</v>
      </c>
      <c r="J208" s="16">
        <f t="shared" si="51"/>
        <v>1700</v>
      </c>
      <c r="K208" s="17">
        <v>46161</v>
      </c>
      <c r="L208" s="10">
        <v>100</v>
      </c>
      <c r="M208" s="18">
        <f t="shared" si="52"/>
        <v>20</v>
      </c>
      <c r="N208" s="19">
        <f t="shared" si="53"/>
        <v>80</v>
      </c>
      <c r="O208" s="10" t="str">
        <f t="shared" si="54"/>
        <v>INCOMPLETE</v>
      </c>
      <c r="P208" s="10"/>
      <c r="Q208" s="10" t="str">
        <f t="shared" si="55"/>
        <v>OK</v>
      </c>
    </row>
    <row r="209" spans="1:17" x14ac:dyDescent="0.3">
      <c r="A209" s="50">
        <v>72</v>
      </c>
      <c r="B209" s="13" t="s">
        <v>218</v>
      </c>
      <c r="C209" s="13" t="s">
        <v>670</v>
      </c>
      <c r="D209" s="13" t="s">
        <v>317</v>
      </c>
      <c r="E209" s="13" t="s">
        <v>317</v>
      </c>
      <c r="F209" s="13" t="s">
        <v>336</v>
      </c>
      <c r="G209" s="13" t="s">
        <v>339</v>
      </c>
      <c r="H209" s="14">
        <v>10</v>
      </c>
      <c r="I209" s="15">
        <v>80</v>
      </c>
      <c r="J209" s="16">
        <f t="shared" si="51"/>
        <v>800</v>
      </c>
      <c r="K209" s="17">
        <v>46161</v>
      </c>
      <c r="L209" s="10">
        <v>50</v>
      </c>
      <c r="M209" s="18">
        <f t="shared" si="52"/>
        <v>10</v>
      </c>
      <c r="N209" s="19">
        <f t="shared" si="53"/>
        <v>40</v>
      </c>
      <c r="O209" s="10" t="str">
        <f t="shared" si="54"/>
        <v>INCOMPLETE</v>
      </c>
      <c r="P209" s="10"/>
      <c r="Q209" s="10" t="str">
        <f t="shared" si="55"/>
        <v>OK</v>
      </c>
    </row>
    <row r="210" spans="1:17" x14ac:dyDescent="0.3">
      <c r="A210" s="50">
        <v>72</v>
      </c>
      <c r="B210" s="13" t="s">
        <v>218</v>
      </c>
      <c r="C210" s="13" t="s">
        <v>670</v>
      </c>
      <c r="D210" s="13" t="s">
        <v>333</v>
      </c>
      <c r="E210" s="13" t="s">
        <v>333</v>
      </c>
      <c r="F210" s="13" t="s">
        <v>334</v>
      </c>
      <c r="G210" s="13" t="s">
        <v>337</v>
      </c>
      <c r="H210" s="14">
        <v>10</v>
      </c>
      <c r="I210" s="15">
        <v>85</v>
      </c>
      <c r="J210" s="16">
        <f t="shared" si="51"/>
        <v>850</v>
      </c>
      <c r="K210" s="17">
        <v>46175</v>
      </c>
      <c r="L210" s="10">
        <v>85</v>
      </c>
      <c r="M210" s="18">
        <f t="shared" si="52"/>
        <v>10</v>
      </c>
      <c r="N210" s="19">
        <f t="shared" si="53"/>
        <v>75</v>
      </c>
      <c r="O210" s="10" t="str">
        <f t="shared" si="54"/>
        <v>INCOMPLETE</v>
      </c>
      <c r="P210" s="10"/>
      <c r="Q210" s="10" t="str">
        <f t="shared" si="55"/>
        <v>OK</v>
      </c>
    </row>
    <row r="211" spans="1:17" x14ac:dyDescent="0.3">
      <c r="A211" s="50">
        <v>72</v>
      </c>
      <c r="B211" s="13" t="s">
        <v>218</v>
      </c>
      <c r="C211" s="13" t="s">
        <v>670</v>
      </c>
      <c r="D211" s="13" t="s">
        <v>333</v>
      </c>
      <c r="E211" s="13" t="s">
        <v>333</v>
      </c>
      <c r="F211" s="13" t="s">
        <v>335</v>
      </c>
      <c r="G211" s="13" t="s">
        <v>338</v>
      </c>
      <c r="H211" s="14">
        <v>20</v>
      </c>
      <c r="I211" s="15">
        <v>85</v>
      </c>
      <c r="J211" s="16">
        <f t="shared" si="51"/>
        <v>1700</v>
      </c>
      <c r="K211" s="17">
        <v>46175</v>
      </c>
      <c r="L211" s="10">
        <v>80</v>
      </c>
      <c r="M211" s="18">
        <f t="shared" si="52"/>
        <v>20</v>
      </c>
      <c r="N211" s="19">
        <f t="shared" si="53"/>
        <v>60</v>
      </c>
      <c r="O211" s="10" t="str">
        <f t="shared" si="54"/>
        <v>INCOMPLETE</v>
      </c>
      <c r="P211" s="10"/>
      <c r="Q211" s="10" t="str">
        <f t="shared" si="55"/>
        <v>OK</v>
      </c>
    </row>
    <row r="212" spans="1:17" x14ac:dyDescent="0.3">
      <c r="A212" s="50">
        <v>72</v>
      </c>
      <c r="B212" s="13" t="s">
        <v>218</v>
      </c>
      <c r="C212" s="13" t="s">
        <v>670</v>
      </c>
      <c r="D212" s="13" t="s">
        <v>333</v>
      </c>
      <c r="E212" s="13" t="s">
        <v>333</v>
      </c>
      <c r="F212" s="13" t="s">
        <v>336</v>
      </c>
      <c r="G212" s="13" t="s">
        <v>339</v>
      </c>
      <c r="H212" s="14">
        <v>25</v>
      </c>
      <c r="I212" s="15">
        <v>80</v>
      </c>
      <c r="J212" s="16">
        <f t="shared" si="51"/>
        <v>2000</v>
      </c>
      <c r="K212" s="17">
        <v>46175</v>
      </c>
      <c r="L212" s="10">
        <v>40</v>
      </c>
      <c r="M212" s="18">
        <f t="shared" si="52"/>
        <v>25</v>
      </c>
      <c r="N212" s="19">
        <f t="shared" si="53"/>
        <v>15</v>
      </c>
      <c r="O212" s="10" t="str">
        <f t="shared" si="54"/>
        <v>INCOMPLETE</v>
      </c>
      <c r="P212" s="10"/>
      <c r="Q212" s="10" t="str">
        <f t="shared" si="55"/>
        <v>OK</v>
      </c>
    </row>
    <row r="213" spans="1:17" x14ac:dyDescent="0.3">
      <c r="A213" s="50">
        <v>72</v>
      </c>
      <c r="B213" s="13" t="s">
        <v>218</v>
      </c>
      <c r="C213" s="13" t="s">
        <v>670</v>
      </c>
      <c r="D213" s="13" t="s">
        <v>333</v>
      </c>
      <c r="E213" s="13" t="s">
        <v>333</v>
      </c>
      <c r="F213" s="13" t="s">
        <v>319</v>
      </c>
      <c r="G213" s="13" t="s">
        <v>320</v>
      </c>
      <c r="H213" s="14">
        <v>10</v>
      </c>
      <c r="I213" s="15">
        <v>80</v>
      </c>
      <c r="J213" s="16">
        <f t="shared" si="51"/>
        <v>800</v>
      </c>
      <c r="K213" s="17">
        <v>46175</v>
      </c>
      <c r="L213" s="10">
        <v>75</v>
      </c>
      <c r="M213" s="18">
        <f t="shared" si="52"/>
        <v>10</v>
      </c>
      <c r="N213" s="19">
        <f t="shared" si="53"/>
        <v>65</v>
      </c>
      <c r="O213" s="10" t="str">
        <f t="shared" si="54"/>
        <v>INCOMPLETE</v>
      </c>
      <c r="P213" s="10"/>
      <c r="Q213" s="10" t="str">
        <f t="shared" si="55"/>
        <v>OK</v>
      </c>
    </row>
    <row r="214" spans="1:17" x14ac:dyDescent="0.3">
      <c r="A214" s="51">
        <v>73</v>
      </c>
      <c r="B214" s="13" t="s">
        <v>63</v>
      </c>
      <c r="C214" s="13" t="s">
        <v>676</v>
      </c>
      <c r="D214" s="13" t="s">
        <v>271</v>
      </c>
      <c r="E214" s="13" t="s">
        <v>271</v>
      </c>
      <c r="F214" s="13" t="s">
        <v>385</v>
      </c>
      <c r="G214" s="13" t="s">
        <v>386</v>
      </c>
      <c r="H214" s="14">
        <v>25</v>
      </c>
      <c r="I214" s="15">
        <v>100</v>
      </c>
      <c r="J214" s="16">
        <f t="shared" si="51"/>
        <v>2500</v>
      </c>
      <c r="K214" s="17">
        <v>46162</v>
      </c>
      <c r="L214" s="10">
        <v>50</v>
      </c>
      <c r="M214" s="18">
        <f t="shared" si="52"/>
        <v>25</v>
      </c>
      <c r="N214" s="19">
        <f t="shared" si="53"/>
        <v>25</v>
      </c>
      <c r="O214" s="10" t="str">
        <f t="shared" si="54"/>
        <v>INCOMPLETE</v>
      </c>
      <c r="P214" s="10"/>
      <c r="Q214" s="10" t="str">
        <f t="shared" si="55"/>
        <v>OK</v>
      </c>
    </row>
    <row r="215" spans="1:17" x14ac:dyDescent="0.3">
      <c r="A215" s="51">
        <v>73</v>
      </c>
      <c r="B215" s="13" t="s">
        <v>63</v>
      </c>
      <c r="C215" s="13" t="s">
        <v>676</v>
      </c>
      <c r="D215" s="13" t="s">
        <v>271</v>
      </c>
      <c r="E215" s="13" t="s">
        <v>271</v>
      </c>
      <c r="F215" s="13" t="s">
        <v>334</v>
      </c>
      <c r="G215" s="13" t="s">
        <v>337</v>
      </c>
      <c r="H215" s="14">
        <v>20</v>
      </c>
      <c r="I215" s="15">
        <v>100</v>
      </c>
      <c r="J215" s="16">
        <f t="shared" si="51"/>
        <v>2000</v>
      </c>
      <c r="K215" s="17">
        <v>46162</v>
      </c>
      <c r="L215" s="10">
        <v>50</v>
      </c>
      <c r="M215" s="18">
        <f t="shared" si="52"/>
        <v>20</v>
      </c>
      <c r="N215" s="19">
        <f t="shared" si="53"/>
        <v>30</v>
      </c>
      <c r="O215" s="10" t="str">
        <f t="shared" si="54"/>
        <v>INCOMPLETE</v>
      </c>
      <c r="P215" s="10"/>
      <c r="Q215" s="10" t="str">
        <f t="shared" si="55"/>
        <v>OK</v>
      </c>
    </row>
    <row r="216" spans="1:17" x14ac:dyDescent="0.3">
      <c r="A216" s="51">
        <v>73</v>
      </c>
      <c r="B216" s="13" t="s">
        <v>63</v>
      </c>
      <c r="C216" s="13" t="s">
        <v>676</v>
      </c>
      <c r="D216" s="13" t="s">
        <v>271</v>
      </c>
      <c r="E216" s="13" t="s">
        <v>271</v>
      </c>
      <c r="F216" s="13" t="s">
        <v>335</v>
      </c>
      <c r="G216" s="13" t="s">
        <v>338</v>
      </c>
      <c r="H216" s="14">
        <v>25</v>
      </c>
      <c r="I216" s="15">
        <v>100</v>
      </c>
      <c r="J216" s="16">
        <f t="shared" si="51"/>
        <v>2500</v>
      </c>
      <c r="K216" s="17">
        <v>46162</v>
      </c>
      <c r="L216" s="10">
        <v>50</v>
      </c>
      <c r="M216" s="18">
        <f t="shared" si="52"/>
        <v>25</v>
      </c>
      <c r="N216" s="19">
        <f t="shared" si="53"/>
        <v>25</v>
      </c>
      <c r="O216" s="10" t="str">
        <f t="shared" si="54"/>
        <v>INCOMPLETE</v>
      </c>
      <c r="P216" s="10"/>
      <c r="Q216" s="10" t="str">
        <f t="shared" si="55"/>
        <v>OK</v>
      </c>
    </row>
    <row r="217" spans="1:17" x14ac:dyDescent="0.3">
      <c r="A217" s="51">
        <v>73</v>
      </c>
      <c r="B217" s="13" t="s">
        <v>63</v>
      </c>
      <c r="C217" s="13" t="s">
        <v>676</v>
      </c>
      <c r="D217" s="13" t="s">
        <v>272</v>
      </c>
      <c r="E217" s="13" t="s">
        <v>272</v>
      </c>
      <c r="F217" s="13" t="s">
        <v>385</v>
      </c>
      <c r="G217" s="13" t="s">
        <v>386</v>
      </c>
      <c r="H217" s="14">
        <v>25</v>
      </c>
      <c r="I217" s="15">
        <v>100</v>
      </c>
      <c r="J217" s="16">
        <f t="shared" si="51"/>
        <v>2500</v>
      </c>
      <c r="K217" s="17">
        <v>46174</v>
      </c>
      <c r="L217" s="10">
        <v>25</v>
      </c>
      <c r="M217" s="18">
        <f t="shared" si="52"/>
        <v>25</v>
      </c>
      <c r="N217" s="19">
        <f t="shared" si="53"/>
        <v>0</v>
      </c>
      <c r="O217" s="10" t="str">
        <f t="shared" si="54"/>
        <v>COMPLETE</v>
      </c>
      <c r="P217" s="10"/>
      <c r="Q217" s="10" t="str">
        <f t="shared" si="55"/>
        <v>OK</v>
      </c>
    </row>
    <row r="218" spans="1:17" x14ac:dyDescent="0.3">
      <c r="A218" s="51">
        <v>73</v>
      </c>
      <c r="B218" s="13" t="s">
        <v>63</v>
      </c>
      <c r="C218" s="13" t="s">
        <v>676</v>
      </c>
      <c r="D218" s="13" t="s">
        <v>272</v>
      </c>
      <c r="E218" s="13" t="s">
        <v>272</v>
      </c>
      <c r="F218" s="13" t="s">
        <v>334</v>
      </c>
      <c r="G218" s="13" t="s">
        <v>337</v>
      </c>
      <c r="H218" s="14">
        <v>10</v>
      </c>
      <c r="I218" s="15">
        <v>100</v>
      </c>
      <c r="J218" s="16">
        <f t="shared" si="51"/>
        <v>1000</v>
      </c>
      <c r="K218" s="17">
        <v>46174</v>
      </c>
      <c r="L218" s="10">
        <v>30</v>
      </c>
      <c r="M218" s="18">
        <f t="shared" si="52"/>
        <v>10</v>
      </c>
      <c r="N218" s="19">
        <f t="shared" si="53"/>
        <v>20</v>
      </c>
      <c r="O218" s="10" t="str">
        <f t="shared" si="54"/>
        <v>INCOMPLETE</v>
      </c>
      <c r="P218" s="10"/>
      <c r="Q218" s="10" t="str">
        <f t="shared" si="55"/>
        <v>OK</v>
      </c>
    </row>
    <row r="219" spans="1:17" x14ac:dyDescent="0.3">
      <c r="A219" s="51">
        <v>73</v>
      </c>
      <c r="B219" s="13" t="s">
        <v>63</v>
      </c>
      <c r="C219" s="13" t="s">
        <v>676</v>
      </c>
      <c r="D219" s="13" t="s">
        <v>272</v>
      </c>
      <c r="E219" s="13" t="s">
        <v>272</v>
      </c>
      <c r="F219" s="13" t="s">
        <v>335</v>
      </c>
      <c r="G219" s="13" t="s">
        <v>338</v>
      </c>
      <c r="H219" s="14">
        <v>25</v>
      </c>
      <c r="I219" s="15">
        <v>100</v>
      </c>
      <c r="J219" s="16">
        <f t="shared" si="51"/>
        <v>2500</v>
      </c>
      <c r="K219" s="17">
        <v>46174</v>
      </c>
      <c r="L219" s="10">
        <v>25</v>
      </c>
      <c r="M219" s="18">
        <f t="shared" si="52"/>
        <v>25</v>
      </c>
      <c r="N219" s="19">
        <f t="shared" si="53"/>
        <v>0</v>
      </c>
      <c r="O219" s="10" t="str">
        <f t="shared" si="54"/>
        <v>COMPLETE</v>
      </c>
      <c r="P219" s="10"/>
      <c r="Q219" s="10" t="str">
        <f t="shared" si="55"/>
        <v>OK</v>
      </c>
    </row>
    <row r="220" spans="1:17" x14ac:dyDescent="0.3">
      <c r="A220" s="10">
        <v>74</v>
      </c>
      <c r="B220" s="13" t="s">
        <v>130</v>
      </c>
      <c r="C220" s="13" t="s">
        <v>679</v>
      </c>
      <c r="D220" s="13" t="s">
        <v>269</v>
      </c>
      <c r="E220" s="13" t="s">
        <v>269</v>
      </c>
      <c r="F220" s="13" t="s">
        <v>65</v>
      </c>
      <c r="G220" s="13" t="s">
        <v>66</v>
      </c>
      <c r="H220" s="14">
        <v>8</v>
      </c>
      <c r="I220" s="15">
        <v>73</v>
      </c>
      <c r="J220" s="16">
        <f t="shared" si="51"/>
        <v>584</v>
      </c>
      <c r="K220" s="17">
        <v>46163</v>
      </c>
      <c r="L220" s="10">
        <v>8</v>
      </c>
      <c r="M220" s="18">
        <f t="shared" si="52"/>
        <v>8</v>
      </c>
      <c r="N220" s="19">
        <f t="shared" si="53"/>
        <v>0</v>
      </c>
      <c r="O220" s="10" t="str">
        <f t="shared" si="54"/>
        <v>COMPLETE</v>
      </c>
      <c r="P220" s="10"/>
      <c r="Q220" s="10" t="str">
        <f t="shared" si="55"/>
        <v>OK</v>
      </c>
    </row>
    <row r="221" spans="1:17" x14ac:dyDescent="0.3">
      <c r="A221" s="9">
        <v>75</v>
      </c>
      <c r="B221" s="13" t="s">
        <v>73</v>
      </c>
      <c r="C221" s="13" t="s">
        <v>683</v>
      </c>
      <c r="D221" s="13" t="s">
        <v>356</v>
      </c>
      <c r="E221" s="13" t="s">
        <v>356</v>
      </c>
      <c r="F221" s="13" t="s">
        <v>65</v>
      </c>
      <c r="G221" s="13" t="s">
        <v>66</v>
      </c>
      <c r="H221" s="14">
        <v>50</v>
      </c>
      <c r="I221" s="15">
        <v>95</v>
      </c>
      <c r="J221" s="16">
        <f t="shared" si="51"/>
        <v>4750</v>
      </c>
      <c r="K221" s="17">
        <v>46166</v>
      </c>
      <c r="L221" s="10">
        <v>80</v>
      </c>
      <c r="M221" s="18">
        <f t="shared" si="52"/>
        <v>50</v>
      </c>
      <c r="N221" s="19">
        <f t="shared" si="53"/>
        <v>30</v>
      </c>
      <c r="O221" s="10" t="str">
        <f t="shared" si="54"/>
        <v>INCOMPLETE</v>
      </c>
      <c r="P221" s="10"/>
      <c r="Q221" s="10" t="str">
        <f t="shared" si="55"/>
        <v>OK</v>
      </c>
    </row>
    <row r="222" spans="1:17" x14ac:dyDescent="0.3">
      <c r="A222" s="9">
        <v>75</v>
      </c>
      <c r="B222" s="13" t="s">
        <v>73</v>
      </c>
      <c r="C222" s="13" t="s">
        <v>683</v>
      </c>
      <c r="D222" s="13" t="s">
        <v>398</v>
      </c>
      <c r="E222" s="13" t="s">
        <v>398</v>
      </c>
      <c r="F222" s="13" t="s">
        <v>65</v>
      </c>
      <c r="G222" s="13" t="s">
        <v>66</v>
      </c>
      <c r="H222" s="14">
        <v>30</v>
      </c>
      <c r="I222" s="15">
        <v>95</v>
      </c>
      <c r="J222" s="16">
        <f t="shared" si="51"/>
        <v>2850</v>
      </c>
      <c r="K222" s="17">
        <v>46174</v>
      </c>
      <c r="L222" s="10">
        <v>30</v>
      </c>
      <c r="M222" s="18">
        <f t="shared" si="52"/>
        <v>30</v>
      </c>
      <c r="N222" s="19">
        <f t="shared" si="53"/>
        <v>0</v>
      </c>
      <c r="O222" s="10" t="str">
        <f t="shared" si="54"/>
        <v>COMPLETE</v>
      </c>
      <c r="P222" s="10"/>
      <c r="Q222" s="10" t="str">
        <f t="shared" si="55"/>
        <v>OK</v>
      </c>
    </row>
    <row r="223" spans="1:17" x14ac:dyDescent="0.3">
      <c r="A223" s="32">
        <v>76</v>
      </c>
      <c r="B223" s="13" t="s">
        <v>34</v>
      </c>
      <c r="C223" s="13" t="s">
        <v>684</v>
      </c>
      <c r="D223" s="13" t="s">
        <v>685</v>
      </c>
      <c r="E223" s="13" t="s">
        <v>685</v>
      </c>
      <c r="F223" s="13" t="s">
        <v>334</v>
      </c>
      <c r="G223" s="13" t="s">
        <v>337</v>
      </c>
      <c r="H223" s="14">
        <v>10</v>
      </c>
      <c r="I223" s="15">
        <v>69</v>
      </c>
      <c r="J223" s="16">
        <f t="shared" si="51"/>
        <v>690</v>
      </c>
      <c r="K223" s="17">
        <v>46167</v>
      </c>
      <c r="L223" s="10">
        <v>200</v>
      </c>
      <c r="M223" s="18">
        <f t="shared" si="52"/>
        <v>10</v>
      </c>
      <c r="N223" s="19">
        <f t="shared" si="53"/>
        <v>190</v>
      </c>
      <c r="O223" s="10" t="str">
        <f t="shared" si="54"/>
        <v>INCOMPLETE</v>
      </c>
      <c r="P223" s="10"/>
      <c r="Q223" s="10" t="str">
        <f t="shared" si="55"/>
        <v>OK</v>
      </c>
    </row>
    <row r="224" spans="1:17" x14ac:dyDescent="0.3">
      <c r="A224" s="32">
        <v>76</v>
      </c>
      <c r="B224" s="13" t="s">
        <v>34</v>
      </c>
      <c r="C224" s="13" t="s">
        <v>684</v>
      </c>
      <c r="D224" s="13" t="s">
        <v>685</v>
      </c>
      <c r="E224" s="13" t="s">
        <v>685</v>
      </c>
      <c r="F224" s="13" t="s">
        <v>335</v>
      </c>
      <c r="G224" s="13" t="s">
        <v>338</v>
      </c>
      <c r="H224" s="14">
        <v>10</v>
      </c>
      <c r="I224" s="15">
        <v>69</v>
      </c>
      <c r="J224" s="16">
        <f t="shared" si="51"/>
        <v>690</v>
      </c>
      <c r="K224" s="17">
        <v>46167</v>
      </c>
      <c r="L224" s="10">
        <v>100</v>
      </c>
      <c r="M224" s="18">
        <f t="shared" si="52"/>
        <v>10</v>
      </c>
      <c r="N224" s="19">
        <f t="shared" si="53"/>
        <v>90</v>
      </c>
      <c r="O224" s="10" t="str">
        <f t="shared" si="54"/>
        <v>INCOMPLETE</v>
      </c>
      <c r="P224" s="10"/>
      <c r="Q224" s="10" t="str">
        <f t="shared" si="55"/>
        <v>OK</v>
      </c>
    </row>
    <row r="225" spans="1:17" x14ac:dyDescent="0.3">
      <c r="A225" s="32">
        <v>76</v>
      </c>
      <c r="B225" s="13" t="s">
        <v>34</v>
      </c>
      <c r="C225" s="13" t="s">
        <v>684</v>
      </c>
      <c r="D225" s="13" t="s">
        <v>686</v>
      </c>
      <c r="E225" s="13" t="s">
        <v>686</v>
      </c>
      <c r="F225" s="13" t="s">
        <v>385</v>
      </c>
      <c r="G225" s="13" t="s">
        <v>386</v>
      </c>
      <c r="H225" s="14">
        <v>25</v>
      </c>
      <c r="I225" s="15">
        <v>69</v>
      </c>
      <c r="J225" s="16">
        <f t="shared" si="51"/>
        <v>1725</v>
      </c>
      <c r="K225" s="17">
        <v>46167</v>
      </c>
      <c r="L225" s="10">
        <v>100</v>
      </c>
      <c r="M225" s="18">
        <f t="shared" si="52"/>
        <v>25</v>
      </c>
      <c r="N225" s="19">
        <f t="shared" si="53"/>
        <v>75</v>
      </c>
      <c r="O225" s="10" t="str">
        <f t="shared" si="54"/>
        <v>INCOMPLETE</v>
      </c>
      <c r="P225" s="10"/>
      <c r="Q225" s="10" t="str">
        <f t="shared" si="55"/>
        <v>OK</v>
      </c>
    </row>
    <row r="226" spans="1:17" x14ac:dyDescent="0.3">
      <c r="A226" s="32">
        <v>76</v>
      </c>
      <c r="B226" s="13" t="s">
        <v>34</v>
      </c>
      <c r="C226" s="13" t="s">
        <v>684</v>
      </c>
      <c r="D226" s="13" t="s">
        <v>686</v>
      </c>
      <c r="E226" s="13" t="s">
        <v>686</v>
      </c>
      <c r="F226" s="13" t="s">
        <v>334</v>
      </c>
      <c r="G226" s="13" t="s">
        <v>337</v>
      </c>
      <c r="H226" s="14">
        <v>10</v>
      </c>
      <c r="I226" s="15">
        <v>69</v>
      </c>
      <c r="J226" s="16">
        <f t="shared" si="51"/>
        <v>690</v>
      </c>
      <c r="K226" s="17">
        <v>46167</v>
      </c>
      <c r="L226" s="10">
        <v>190</v>
      </c>
      <c r="M226" s="18">
        <f t="shared" si="52"/>
        <v>10</v>
      </c>
      <c r="N226" s="19">
        <f t="shared" si="53"/>
        <v>180</v>
      </c>
      <c r="O226" s="10" t="str">
        <f t="shared" si="54"/>
        <v>INCOMPLETE</v>
      </c>
      <c r="P226" s="10"/>
      <c r="Q226" s="10" t="str">
        <f t="shared" si="55"/>
        <v>OK</v>
      </c>
    </row>
    <row r="227" spans="1:17" x14ac:dyDescent="0.3">
      <c r="A227" s="32">
        <v>76</v>
      </c>
      <c r="B227" s="13" t="s">
        <v>34</v>
      </c>
      <c r="C227" s="13" t="s">
        <v>684</v>
      </c>
      <c r="D227" s="13" t="s">
        <v>686</v>
      </c>
      <c r="E227" s="13" t="s">
        <v>686</v>
      </c>
      <c r="F227" s="13" t="s">
        <v>335</v>
      </c>
      <c r="G227" s="13" t="s">
        <v>338</v>
      </c>
      <c r="H227" s="14">
        <v>40</v>
      </c>
      <c r="I227" s="15">
        <v>69</v>
      </c>
      <c r="J227" s="16">
        <f t="shared" si="51"/>
        <v>2760</v>
      </c>
      <c r="K227" s="17">
        <v>46167</v>
      </c>
      <c r="L227" s="10">
        <v>90</v>
      </c>
      <c r="M227" s="18">
        <f t="shared" si="52"/>
        <v>40</v>
      </c>
      <c r="N227" s="19">
        <f t="shared" si="53"/>
        <v>50</v>
      </c>
      <c r="O227" s="10" t="str">
        <f t="shared" si="54"/>
        <v>INCOMPLETE</v>
      </c>
      <c r="P227" s="10"/>
      <c r="Q227" s="10" t="str">
        <f t="shared" si="55"/>
        <v>OK</v>
      </c>
    </row>
    <row r="228" spans="1:17" x14ac:dyDescent="0.3">
      <c r="A228" s="32">
        <v>76</v>
      </c>
      <c r="B228" s="13" t="s">
        <v>34</v>
      </c>
      <c r="C228" s="13" t="s">
        <v>684</v>
      </c>
      <c r="D228" s="13" t="s">
        <v>691</v>
      </c>
      <c r="E228" s="13" t="s">
        <v>691</v>
      </c>
      <c r="F228" s="13" t="s">
        <v>385</v>
      </c>
      <c r="G228" s="13" t="s">
        <v>386</v>
      </c>
      <c r="H228" s="14">
        <v>10</v>
      </c>
      <c r="I228" s="15">
        <v>69</v>
      </c>
      <c r="J228" s="16">
        <f t="shared" ref="J228:J233" si="56">H228*I228</f>
        <v>690</v>
      </c>
      <c r="K228" s="17">
        <v>46174</v>
      </c>
      <c r="L228" s="10">
        <v>75</v>
      </c>
      <c r="M228" s="18">
        <f t="shared" ref="M228:M233" si="57">H228</f>
        <v>10</v>
      </c>
      <c r="N228" s="19">
        <f t="shared" ref="N228:N233" si="58">L228-M228</f>
        <v>65</v>
      </c>
      <c r="O228" s="10" t="str">
        <f t="shared" ref="O228:O233" si="59">IF(N228=0,"COMPLETE","INCOMPLETE")</f>
        <v>INCOMPLETE</v>
      </c>
      <c r="P228" s="10"/>
      <c r="Q228" s="10" t="str">
        <f t="shared" ref="Q228:Q233" si="60">IF(M228=H228,"OK","X")</f>
        <v>OK</v>
      </c>
    </row>
    <row r="229" spans="1:17" x14ac:dyDescent="0.3">
      <c r="A229" s="32">
        <v>76</v>
      </c>
      <c r="B229" s="13" t="s">
        <v>34</v>
      </c>
      <c r="C229" s="13" t="s">
        <v>684</v>
      </c>
      <c r="D229" s="13" t="s">
        <v>691</v>
      </c>
      <c r="E229" s="13" t="s">
        <v>691</v>
      </c>
      <c r="F229" s="13" t="s">
        <v>334</v>
      </c>
      <c r="G229" s="13" t="s">
        <v>337</v>
      </c>
      <c r="H229" s="14">
        <v>25</v>
      </c>
      <c r="I229" s="15">
        <v>69</v>
      </c>
      <c r="J229" s="16">
        <f t="shared" si="56"/>
        <v>1725</v>
      </c>
      <c r="K229" s="17">
        <v>46174</v>
      </c>
      <c r="L229" s="10">
        <v>180</v>
      </c>
      <c r="M229" s="18">
        <f t="shared" si="57"/>
        <v>25</v>
      </c>
      <c r="N229" s="19">
        <f t="shared" si="58"/>
        <v>155</v>
      </c>
      <c r="O229" s="10" t="str">
        <f t="shared" si="59"/>
        <v>INCOMPLETE</v>
      </c>
      <c r="P229" s="10"/>
      <c r="Q229" s="10" t="str">
        <f t="shared" si="60"/>
        <v>OK</v>
      </c>
    </row>
    <row r="230" spans="1:17" x14ac:dyDescent="0.3">
      <c r="A230" s="32">
        <v>76</v>
      </c>
      <c r="B230" s="13" t="s">
        <v>34</v>
      </c>
      <c r="C230" s="13" t="s">
        <v>684</v>
      </c>
      <c r="D230" s="13" t="s">
        <v>691</v>
      </c>
      <c r="E230" s="13" t="s">
        <v>691</v>
      </c>
      <c r="F230" s="13" t="s">
        <v>335</v>
      </c>
      <c r="G230" s="13" t="s">
        <v>338</v>
      </c>
      <c r="H230" s="14">
        <v>20</v>
      </c>
      <c r="I230" s="15">
        <v>69</v>
      </c>
      <c r="J230" s="16">
        <f t="shared" si="56"/>
        <v>1380</v>
      </c>
      <c r="K230" s="17">
        <v>46174</v>
      </c>
      <c r="L230" s="10">
        <v>50</v>
      </c>
      <c r="M230" s="18">
        <f t="shared" si="57"/>
        <v>20</v>
      </c>
      <c r="N230" s="19">
        <f t="shared" si="58"/>
        <v>30</v>
      </c>
      <c r="O230" s="10" t="str">
        <f t="shared" si="59"/>
        <v>INCOMPLETE</v>
      </c>
      <c r="P230" s="10"/>
      <c r="Q230" s="10" t="str">
        <f t="shared" si="60"/>
        <v>OK</v>
      </c>
    </row>
    <row r="231" spans="1:17" x14ac:dyDescent="0.3">
      <c r="A231" s="32">
        <v>76</v>
      </c>
      <c r="B231" s="13" t="s">
        <v>34</v>
      </c>
      <c r="C231" s="13" t="s">
        <v>684</v>
      </c>
      <c r="D231" s="13" t="s">
        <v>693</v>
      </c>
      <c r="E231" s="13" t="s">
        <v>693</v>
      </c>
      <c r="F231" s="13" t="s">
        <v>334</v>
      </c>
      <c r="G231" s="13" t="s">
        <v>337</v>
      </c>
      <c r="H231" s="14">
        <v>25</v>
      </c>
      <c r="I231" s="15">
        <v>69</v>
      </c>
      <c r="J231" s="16">
        <f t="shared" si="56"/>
        <v>1725</v>
      </c>
      <c r="K231" s="17">
        <v>46175</v>
      </c>
      <c r="L231" s="10">
        <v>155</v>
      </c>
      <c r="M231" s="18">
        <f t="shared" si="57"/>
        <v>25</v>
      </c>
      <c r="N231" s="19">
        <f t="shared" si="58"/>
        <v>130</v>
      </c>
      <c r="O231" s="10" t="str">
        <f t="shared" si="59"/>
        <v>INCOMPLETE</v>
      </c>
      <c r="P231" s="10"/>
      <c r="Q231" s="10" t="str">
        <f t="shared" si="60"/>
        <v>OK</v>
      </c>
    </row>
    <row r="232" spans="1:17" x14ac:dyDescent="0.3">
      <c r="A232" s="32">
        <v>76</v>
      </c>
      <c r="B232" s="13" t="s">
        <v>34</v>
      </c>
      <c r="C232" s="13" t="s">
        <v>684</v>
      </c>
      <c r="D232" s="13" t="s">
        <v>693</v>
      </c>
      <c r="E232" s="13" t="s">
        <v>693</v>
      </c>
      <c r="F232" s="13" t="s">
        <v>335</v>
      </c>
      <c r="G232" s="13" t="s">
        <v>338</v>
      </c>
      <c r="H232" s="14">
        <v>30</v>
      </c>
      <c r="I232" s="15">
        <v>69</v>
      </c>
      <c r="J232" s="16">
        <f t="shared" si="56"/>
        <v>2070</v>
      </c>
      <c r="K232" s="17">
        <v>46175</v>
      </c>
      <c r="L232" s="10">
        <v>30</v>
      </c>
      <c r="M232" s="18">
        <f t="shared" si="57"/>
        <v>30</v>
      </c>
      <c r="N232" s="19">
        <f t="shared" si="58"/>
        <v>0</v>
      </c>
      <c r="O232" s="10" t="str">
        <f t="shared" si="59"/>
        <v>COMPLETE</v>
      </c>
      <c r="P232" s="10"/>
      <c r="Q232" s="10" t="str">
        <f t="shared" si="60"/>
        <v>OK</v>
      </c>
    </row>
    <row r="233" spans="1:17" x14ac:dyDescent="0.3">
      <c r="A233" s="32">
        <v>76</v>
      </c>
      <c r="B233" s="13" t="s">
        <v>34</v>
      </c>
      <c r="C233" s="13" t="s">
        <v>684</v>
      </c>
      <c r="D233" s="13" t="s">
        <v>693</v>
      </c>
      <c r="E233" s="13" t="s">
        <v>693</v>
      </c>
      <c r="F233" s="13" t="s">
        <v>336</v>
      </c>
      <c r="G233" s="13" t="s">
        <v>339</v>
      </c>
      <c r="H233" s="14">
        <v>35</v>
      </c>
      <c r="I233" s="15">
        <v>65</v>
      </c>
      <c r="J233" s="16">
        <f t="shared" si="56"/>
        <v>2275</v>
      </c>
      <c r="K233" s="17">
        <v>46175</v>
      </c>
      <c r="L233" s="10">
        <v>100</v>
      </c>
      <c r="M233" s="18">
        <f t="shared" si="57"/>
        <v>35</v>
      </c>
      <c r="N233" s="19">
        <f t="shared" si="58"/>
        <v>65</v>
      </c>
      <c r="O233" s="10" t="str">
        <f t="shared" si="59"/>
        <v>INCOMPLETE</v>
      </c>
      <c r="P233" s="10"/>
      <c r="Q233" s="10" t="str">
        <f t="shared" si="60"/>
        <v>OK</v>
      </c>
    </row>
    <row r="234" spans="1:17" x14ac:dyDescent="0.3">
      <c r="A234" s="10">
        <v>77</v>
      </c>
      <c r="B234" s="13" t="s">
        <v>257</v>
      </c>
      <c r="C234" s="13" t="s">
        <v>692</v>
      </c>
      <c r="D234" s="13" t="s">
        <v>609</v>
      </c>
      <c r="E234" s="13" t="s">
        <v>614</v>
      </c>
      <c r="F234" s="13" t="s">
        <v>334</v>
      </c>
      <c r="G234" s="13" t="s">
        <v>337</v>
      </c>
      <c r="H234" s="14">
        <v>10</v>
      </c>
      <c r="I234" s="15">
        <v>104</v>
      </c>
      <c r="J234" s="16">
        <f t="shared" si="51"/>
        <v>1040</v>
      </c>
      <c r="K234" s="17">
        <v>46174</v>
      </c>
      <c r="L234" s="10">
        <v>10</v>
      </c>
      <c r="M234" s="18">
        <f t="shared" si="52"/>
        <v>10</v>
      </c>
      <c r="N234" s="19">
        <f t="shared" si="53"/>
        <v>0</v>
      </c>
      <c r="O234" s="10" t="str">
        <f t="shared" si="54"/>
        <v>COMPLETE</v>
      </c>
      <c r="P234" s="10"/>
      <c r="Q234" s="10" t="str">
        <f t="shared" si="55"/>
        <v>OK</v>
      </c>
    </row>
  </sheetData>
  <phoneticPr fontId="8" type="noConversion"/>
  <conditionalFormatting sqref="C75">
    <cfRule type="duplicateValues" dxfId="72" priority="2"/>
  </conditionalFormatting>
  <conditionalFormatting sqref="C76:C88 C1:C74 C90:C1048576">
    <cfRule type="duplicateValues" dxfId="71" priority="3"/>
  </conditionalFormatting>
  <conditionalFormatting sqref="C89">
    <cfRule type="duplicateValues" dxfId="70" priority="1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E129C1-A1CD-40C3-B4EF-977D56EB699C}">
          <x14:formula1>
            <xm:f>DDL!$D$2:$D$112</xm:f>
          </x14:formula1>
          <xm:sqref>B2:B174 B177:B234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99764-35BB-4F5F-AF04-5858965D2E95}">
  <sheetPr codeName="Sheet5"/>
  <dimension ref="A1:Q111"/>
  <sheetViews>
    <sheetView workbookViewId="0">
      <pane ySplit="1" topLeftCell="A2" activePane="bottomLeft" state="frozen"/>
      <selection pane="bottomLeft" activeCell="D44" sqref="D44"/>
    </sheetView>
  </sheetViews>
  <sheetFormatPr defaultColWidth="4.88671875" defaultRowHeight="10.199999999999999" x14ac:dyDescent="0.3"/>
  <cols>
    <col min="1" max="1" width="7.5546875" style="11" bestFit="1" customWidth="1"/>
    <col min="2" max="2" width="18.6640625" style="23" bestFit="1" customWidth="1"/>
    <col min="3" max="3" width="14.21875" style="23" bestFit="1" customWidth="1"/>
    <col min="4" max="4" width="8.33203125" style="23" bestFit="1" customWidth="1"/>
    <col min="5" max="5" width="7.88671875" style="23" bestFit="1" customWidth="1"/>
    <col min="6" max="6" width="14.33203125" style="23" bestFit="1" customWidth="1"/>
    <col min="7" max="7" width="16.109375" style="23" bestFit="1" customWidth="1"/>
    <col min="8" max="8" width="9.109375" style="24" bestFit="1" customWidth="1"/>
    <col min="9" max="9" width="14.33203125" style="25" bestFit="1" customWidth="1"/>
    <col min="10" max="10" width="18.44140625" style="26" bestFit="1" customWidth="1"/>
    <col min="11" max="11" width="9.5546875" style="27" bestFit="1" customWidth="1"/>
    <col min="12" max="12" width="16.44140625" style="11" bestFit="1" customWidth="1"/>
    <col min="13" max="13" width="17.88671875" style="11" bestFit="1" customWidth="1"/>
    <col min="14" max="14" width="12.6640625" style="11" bestFit="1" customWidth="1"/>
    <col min="15" max="15" width="11.33203125" style="11" bestFit="1" customWidth="1"/>
    <col min="16" max="17" width="14.6640625" style="11" bestFit="1" customWidth="1"/>
    <col min="18" max="16384" width="4.88671875" style="20"/>
  </cols>
  <sheetData>
    <row r="1" spans="1:17" s="86" customFormat="1" ht="13.8" x14ac:dyDescent="0.3">
      <c r="A1" s="77" t="s">
        <v>0</v>
      </c>
      <c r="B1" s="78" t="s">
        <v>3</v>
      </c>
      <c r="C1" s="78" t="s">
        <v>2</v>
      </c>
      <c r="D1" s="78" t="s">
        <v>5</v>
      </c>
      <c r="E1" s="78" t="s">
        <v>4</v>
      </c>
      <c r="F1" s="78" t="s">
        <v>6</v>
      </c>
      <c r="G1" s="78" t="s">
        <v>9</v>
      </c>
      <c r="H1" s="79" t="s">
        <v>1</v>
      </c>
      <c r="I1" s="80" t="s">
        <v>7</v>
      </c>
      <c r="J1" s="81" t="s">
        <v>8</v>
      </c>
      <c r="K1" s="82" t="s">
        <v>10</v>
      </c>
      <c r="L1" s="78" t="s">
        <v>17</v>
      </c>
      <c r="M1" s="78" t="s">
        <v>11</v>
      </c>
      <c r="N1" s="83" t="s">
        <v>12</v>
      </c>
      <c r="O1" s="84" t="s">
        <v>13</v>
      </c>
      <c r="P1" s="85" t="s">
        <v>699</v>
      </c>
      <c r="Q1" s="85" t="s">
        <v>700</v>
      </c>
    </row>
    <row r="2" spans="1:17" x14ac:dyDescent="0.3">
      <c r="A2" s="31">
        <v>1</v>
      </c>
      <c r="B2" s="13" t="s">
        <v>50</v>
      </c>
      <c r="C2" s="13" t="s">
        <v>55</v>
      </c>
      <c r="D2" s="13" t="s">
        <v>39</v>
      </c>
      <c r="E2" s="13" t="s">
        <v>39</v>
      </c>
      <c r="F2" s="13" t="s">
        <v>56</v>
      </c>
      <c r="G2" s="13" t="s">
        <v>57</v>
      </c>
      <c r="H2" s="14">
        <v>30</v>
      </c>
      <c r="I2" s="15">
        <v>17.399999999999999</v>
      </c>
      <c r="J2" s="16">
        <f>H2*I2</f>
        <v>522</v>
      </c>
      <c r="K2" s="17">
        <v>46027</v>
      </c>
      <c r="L2" s="10">
        <v>220</v>
      </c>
      <c r="M2" s="18">
        <f>H2</f>
        <v>30</v>
      </c>
      <c r="N2" s="19">
        <f>L2-M2</f>
        <v>190</v>
      </c>
      <c r="O2" s="10" t="str">
        <f>IF(N2=0,"COMPLETE","INCOMPLETE")</f>
        <v>INCOMPLETE</v>
      </c>
      <c r="P2" s="10"/>
      <c r="Q2" s="10" t="str">
        <f>IF(M2=H2,"OK","X")</f>
        <v>OK</v>
      </c>
    </row>
    <row r="3" spans="1:17" x14ac:dyDescent="0.3">
      <c r="A3" s="31">
        <v>1</v>
      </c>
      <c r="B3" s="13" t="s">
        <v>50</v>
      </c>
      <c r="C3" s="13" t="s">
        <v>55</v>
      </c>
      <c r="D3" s="13" t="s">
        <v>134</v>
      </c>
      <c r="E3" s="13" t="s">
        <v>134</v>
      </c>
      <c r="F3" s="13" t="s">
        <v>56</v>
      </c>
      <c r="G3" s="13" t="s">
        <v>57</v>
      </c>
      <c r="H3" s="14">
        <v>20</v>
      </c>
      <c r="I3" s="15">
        <v>17.399999999999999</v>
      </c>
      <c r="J3" s="16">
        <f>H3*I3</f>
        <v>348</v>
      </c>
      <c r="K3" s="17">
        <v>46031</v>
      </c>
      <c r="L3" s="10">
        <v>190</v>
      </c>
      <c r="M3" s="18">
        <f t="shared" ref="M3:M80" si="0">H3</f>
        <v>20</v>
      </c>
      <c r="N3" s="19">
        <f>L3-M3</f>
        <v>170</v>
      </c>
      <c r="O3" s="10" t="str">
        <f t="shared" ref="O3:O38" si="1">IF(N3=0,"COMPLETE","INCOMPLETE")</f>
        <v>INCOMPLETE</v>
      </c>
      <c r="P3" s="10"/>
      <c r="Q3" s="10" t="str">
        <f t="shared" ref="Q3:Q80" si="2">IF(M3=H3,"OK","X")</f>
        <v>OK</v>
      </c>
    </row>
    <row r="4" spans="1:17" x14ac:dyDescent="0.3">
      <c r="A4" s="31">
        <v>1</v>
      </c>
      <c r="B4" s="13" t="s">
        <v>50</v>
      </c>
      <c r="C4" s="13" t="s">
        <v>55</v>
      </c>
      <c r="D4" s="13" t="s">
        <v>248</v>
      </c>
      <c r="E4" s="13" t="s">
        <v>248</v>
      </c>
      <c r="F4" s="13" t="s">
        <v>56</v>
      </c>
      <c r="G4" s="13" t="s">
        <v>57</v>
      </c>
      <c r="H4" s="14">
        <v>100</v>
      </c>
      <c r="I4" s="15">
        <v>17.399999999999999</v>
      </c>
      <c r="J4" s="16">
        <f>H4*I4</f>
        <v>1739.9999999999998</v>
      </c>
      <c r="K4" s="17">
        <v>46056</v>
      </c>
      <c r="L4" s="10">
        <v>170</v>
      </c>
      <c r="M4" s="18">
        <f t="shared" si="0"/>
        <v>100</v>
      </c>
      <c r="N4" s="19">
        <f>L4-M4</f>
        <v>70</v>
      </c>
      <c r="O4" s="10" t="str">
        <f t="shared" si="1"/>
        <v>INCOMPLETE</v>
      </c>
      <c r="P4" s="10"/>
      <c r="Q4" s="10" t="str">
        <f t="shared" si="2"/>
        <v>OK</v>
      </c>
    </row>
    <row r="5" spans="1:17" x14ac:dyDescent="0.3">
      <c r="A5" s="40" t="s">
        <v>18</v>
      </c>
      <c r="B5" s="13" t="s">
        <v>50</v>
      </c>
      <c r="C5" s="13" t="s">
        <v>58</v>
      </c>
      <c r="D5" s="13" t="s">
        <v>43</v>
      </c>
      <c r="E5" s="13" t="s">
        <v>43</v>
      </c>
      <c r="F5" s="13" t="s">
        <v>59</v>
      </c>
      <c r="G5" s="13" t="s">
        <v>61</v>
      </c>
      <c r="H5" s="14">
        <v>10</v>
      </c>
      <c r="I5" s="15">
        <v>17.399999999999999</v>
      </c>
      <c r="J5" s="16">
        <f>H5*I5</f>
        <v>174</v>
      </c>
      <c r="K5" s="17">
        <v>46027</v>
      </c>
      <c r="L5" s="10">
        <v>150</v>
      </c>
      <c r="M5" s="18">
        <f t="shared" si="0"/>
        <v>10</v>
      </c>
      <c r="N5" s="19">
        <f t="shared" ref="N5:N38" si="3">L5-M5</f>
        <v>140</v>
      </c>
      <c r="O5" s="10" t="str">
        <f t="shared" si="1"/>
        <v>INCOMPLETE</v>
      </c>
      <c r="P5" s="10"/>
      <c r="Q5" s="10" t="str">
        <f t="shared" si="2"/>
        <v>OK</v>
      </c>
    </row>
    <row r="6" spans="1:17" x14ac:dyDescent="0.3">
      <c r="A6" s="40" t="s">
        <v>18</v>
      </c>
      <c r="B6" s="13" t="s">
        <v>50</v>
      </c>
      <c r="C6" s="13" t="s">
        <v>58</v>
      </c>
      <c r="D6" s="13" t="s">
        <v>43</v>
      </c>
      <c r="E6" s="13" t="s">
        <v>43</v>
      </c>
      <c r="F6" s="13" t="s">
        <v>60</v>
      </c>
      <c r="G6" s="13" t="s">
        <v>62</v>
      </c>
      <c r="H6" s="14">
        <v>20</v>
      </c>
      <c r="I6" s="15">
        <v>17.399999999999999</v>
      </c>
      <c r="J6" s="16">
        <f t="shared" ref="J6:J38" si="4">H6*I6</f>
        <v>348</v>
      </c>
      <c r="K6" s="17">
        <v>46027</v>
      </c>
      <c r="L6" s="10">
        <v>90</v>
      </c>
      <c r="M6" s="18">
        <f t="shared" si="0"/>
        <v>20</v>
      </c>
      <c r="N6" s="19">
        <f t="shared" si="3"/>
        <v>70</v>
      </c>
      <c r="O6" s="10" t="str">
        <f t="shared" si="1"/>
        <v>INCOMPLETE</v>
      </c>
      <c r="P6" s="10"/>
      <c r="Q6" s="10" t="str">
        <f t="shared" si="2"/>
        <v>OK</v>
      </c>
    </row>
    <row r="7" spans="1:17" x14ac:dyDescent="0.3">
      <c r="A7" s="40" t="s">
        <v>18</v>
      </c>
      <c r="B7" s="13" t="s">
        <v>50</v>
      </c>
      <c r="C7" s="13" t="s">
        <v>58</v>
      </c>
      <c r="D7" s="13" t="s">
        <v>133</v>
      </c>
      <c r="E7" s="13" t="s">
        <v>133</v>
      </c>
      <c r="F7" s="13" t="s">
        <v>59</v>
      </c>
      <c r="G7" s="13" t="s">
        <v>61</v>
      </c>
      <c r="H7" s="14">
        <v>40</v>
      </c>
      <c r="I7" s="15">
        <v>17.399999999999999</v>
      </c>
      <c r="J7" s="16">
        <f t="shared" si="4"/>
        <v>696</v>
      </c>
      <c r="K7" s="17">
        <v>46031</v>
      </c>
      <c r="L7" s="10">
        <v>140</v>
      </c>
      <c r="M7" s="18">
        <f t="shared" si="0"/>
        <v>40</v>
      </c>
      <c r="N7" s="19">
        <f t="shared" si="3"/>
        <v>100</v>
      </c>
      <c r="O7" s="10" t="str">
        <f t="shared" si="1"/>
        <v>INCOMPLETE</v>
      </c>
      <c r="P7" s="10"/>
      <c r="Q7" s="10" t="str">
        <f t="shared" si="2"/>
        <v>OK</v>
      </c>
    </row>
    <row r="8" spans="1:17" x14ac:dyDescent="0.3">
      <c r="A8" s="40" t="s">
        <v>18</v>
      </c>
      <c r="B8" s="13" t="s">
        <v>50</v>
      </c>
      <c r="C8" s="13" t="s">
        <v>58</v>
      </c>
      <c r="D8" s="13" t="s">
        <v>133</v>
      </c>
      <c r="E8" s="13" t="s">
        <v>133</v>
      </c>
      <c r="F8" s="13" t="s">
        <v>60</v>
      </c>
      <c r="G8" s="13" t="s">
        <v>62</v>
      </c>
      <c r="H8" s="14">
        <v>50</v>
      </c>
      <c r="I8" s="15">
        <v>17.399999999999999</v>
      </c>
      <c r="J8" s="16">
        <f t="shared" si="4"/>
        <v>869.99999999999989</v>
      </c>
      <c r="K8" s="17">
        <v>46031</v>
      </c>
      <c r="L8" s="10">
        <v>70</v>
      </c>
      <c r="M8" s="18">
        <f t="shared" si="0"/>
        <v>50</v>
      </c>
      <c r="N8" s="19">
        <f t="shared" si="3"/>
        <v>20</v>
      </c>
      <c r="O8" s="10" t="str">
        <f t="shared" si="1"/>
        <v>INCOMPLETE</v>
      </c>
      <c r="P8" s="10"/>
      <c r="Q8" s="10" t="str">
        <f t="shared" si="2"/>
        <v>OK</v>
      </c>
    </row>
    <row r="9" spans="1:17" x14ac:dyDescent="0.3">
      <c r="A9" s="40" t="s">
        <v>18</v>
      </c>
      <c r="B9" s="13" t="s">
        <v>50</v>
      </c>
      <c r="C9" s="13" t="s">
        <v>58</v>
      </c>
      <c r="D9" s="13" t="s">
        <v>222</v>
      </c>
      <c r="E9" s="13" t="s">
        <v>222</v>
      </c>
      <c r="F9" s="13" t="s">
        <v>59</v>
      </c>
      <c r="G9" s="13" t="s">
        <v>61</v>
      </c>
      <c r="H9" s="14">
        <v>100</v>
      </c>
      <c r="I9" s="15">
        <v>17.399999999999999</v>
      </c>
      <c r="J9" s="16">
        <f t="shared" si="4"/>
        <v>1739.9999999999998</v>
      </c>
      <c r="K9" s="17">
        <v>46056</v>
      </c>
      <c r="L9" s="10">
        <v>100</v>
      </c>
      <c r="M9" s="18">
        <f t="shared" si="0"/>
        <v>100</v>
      </c>
      <c r="N9" s="19">
        <f t="shared" si="3"/>
        <v>0</v>
      </c>
      <c r="O9" s="10" t="str">
        <f>IF(N9=0,"COMPLETE","INCOMPLETE")</f>
        <v>COMPLETE</v>
      </c>
      <c r="P9" s="10"/>
      <c r="Q9" s="10" t="str">
        <f t="shared" si="2"/>
        <v>OK</v>
      </c>
    </row>
    <row r="10" spans="1:17" x14ac:dyDescent="0.3">
      <c r="A10" s="40" t="s">
        <v>18</v>
      </c>
      <c r="B10" s="13" t="s">
        <v>50</v>
      </c>
      <c r="C10" s="13" t="s">
        <v>58</v>
      </c>
      <c r="D10" s="13" t="s">
        <v>222</v>
      </c>
      <c r="E10" s="13" t="s">
        <v>222</v>
      </c>
      <c r="F10" s="13" t="s">
        <v>60</v>
      </c>
      <c r="G10" s="13" t="s">
        <v>62</v>
      </c>
      <c r="H10" s="14">
        <v>20</v>
      </c>
      <c r="I10" s="15">
        <v>17.399999999999999</v>
      </c>
      <c r="J10" s="16">
        <f t="shared" si="4"/>
        <v>348</v>
      </c>
      <c r="K10" s="17">
        <v>46056</v>
      </c>
      <c r="L10" s="10">
        <v>20</v>
      </c>
      <c r="M10" s="18">
        <f t="shared" si="0"/>
        <v>20</v>
      </c>
      <c r="N10" s="19">
        <f t="shared" si="3"/>
        <v>0</v>
      </c>
      <c r="O10" s="10" t="str">
        <f t="shared" si="1"/>
        <v>COMPLETE</v>
      </c>
      <c r="P10" s="10"/>
      <c r="Q10" s="10" t="str">
        <f t="shared" si="2"/>
        <v>OK</v>
      </c>
    </row>
    <row r="11" spans="1:17" x14ac:dyDescent="0.3">
      <c r="A11" s="9" t="s">
        <v>38</v>
      </c>
      <c r="B11" s="13" t="s">
        <v>73</v>
      </c>
      <c r="C11" s="13" t="s">
        <v>74</v>
      </c>
      <c r="D11" s="13" t="s">
        <v>21</v>
      </c>
      <c r="E11" s="13" t="s">
        <v>21</v>
      </c>
      <c r="F11" s="13" t="s">
        <v>59</v>
      </c>
      <c r="G11" s="13" t="s">
        <v>61</v>
      </c>
      <c r="H11" s="14">
        <v>50</v>
      </c>
      <c r="I11" s="15">
        <v>23</v>
      </c>
      <c r="J11" s="16">
        <f t="shared" si="4"/>
        <v>1150</v>
      </c>
      <c r="K11" s="17">
        <v>46027</v>
      </c>
      <c r="L11" s="10">
        <v>50</v>
      </c>
      <c r="M11" s="18">
        <f t="shared" si="0"/>
        <v>50</v>
      </c>
      <c r="N11" s="19">
        <f t="shared" si="3"/>
        <v>0</v>
      </c>
      <c r="O11" s="10" t="str">
        <f t="shared" si="1"/>
        <v>COMPLETE</v>
      </c>
      <c r="P11" s="10"/>
      <c r="Q11" s="10" t="str">
        <f t="shared" si="2"/>
        <v>OK</v>
      </c>
    </row>
    <row r="12" spans="1:17" x14ac:dyDescent="0.3">
      <c r="A12" s="9" t="s">
        <v>38</v>
      </c>
      <c r="B12" s="13" t="s">
        <v>73</v>
      </c>
      <c r="C12" s="13" t="s">
        <v>74</v>
      </c>
      <c r="D12" s="13" t="s">
        <v>21</v>
      </c>
      <c r="E12" s="13" t="s">
        <v>21</v>
      </c>
      <c r="F12" s="13" t="s">
        <v>60</v>
      </c>
      <c r="G12" s="13" t="s">
        <v>62</v>
      </c>
      <c r="H12" s="14">
        <v>50</v>
      </c>
      <c r="I12" s="15">
        <v>23</v>
      </c>
      <c r="J12" s="16">
        <f t="shared" si="4"/>
        <v>1150</v>
      </c>
      <c r="K12" s="17">
        <v>46027</v>
      </c>
      <c r="L12" s="10">
        <v>50</v>
      </c>
      <c r="M12" s="18">
        <f t="shared" si="0"/>
        <v>50</v>
      </c>
      <c r="N12" s="19">
        <f t="shared" si="3"/>
        <v>0</v>
      </c>
      <c r="O12" s="10" t="str">
        <f t="shared" si="1"/>
        <v>COMPLETE</v>
      </c>
      <c r="P12" s="10"/>
      <c r="Q12" s="10" t="str">
        <f t="shared" si="2"/>
        <v>OK</v>
      </c>
    </row>
    <row r="13" spans="1:17" x14ac:dyDescent="0.3">
      <c r="A13" s="10" t="s">
        <v>54</v>
      </c>
      <c r="B13" s="13" t="s">
        <v>95</v>
      </c>
      <c r="C13" s="13" t="s">
        <v>96</v>
      </c>
      <c r="D13" s="13" t="s">
        <v>21</v>
      </c>
      <c r="E13" s="13" t="s">
        <v>21</v>
      </c>
      <c r="F13" s="13" t="s">
        <v>59</v>
      </c>
      <c r="G13" s="13" t="s">
        <v>61</v>
      </c>
      <c r="H13" s="14">
        <v>100</v>
      </c>
      <c r="I13" s="15">
        <v>16.5</v>
      </c>
      <c r="J13" s="16">
        <f t="shared" si="4"/>
        <v>1650</v>
      </c>
      <c r="K13" s="17">
        <v>46028</v>
      </c>
      <c r="L13" s="10">
        <v>100</v>
      </c>
      <c r="M13" s="18">
        <f t="shared" si="0"/>
        <v>100</v>
      </c>
      <c r="N13" s="19">
        <f t="shared" si="3"/>
        <v>0</v>
      </c>
      <c r="O13" s="10" t="str">
        <f t="shared" si="1"/>
        <v>COMPLETE</v>
      </c>
      <c r="P13" s="10"/>
      <c r="Q13" s="10" t="str">
        <f t="shared" si="2"/>
        <v>OK</v>
      </c>
    </row>
    <row r="14" spans="1:17" x14ac:dyDescent="0.3">
      <c r="A14" s="30" t="s">
        <v>69</v>
      </c>
      <c r="B14" s="13" t="s">
        <v>102</v>
      </c>
      <c r="C14" s="13" t="s">
        <v>103</v>
      </c>
      <c r="D14" s="13" t="s">
        <v>21</v>
      </c>
      <c r="E14" s="13" t="s">
        <v>21</v>
      </c>
      <c r="F14" s="13" t="s">
        <v>104</v>
      </c>
      <c r="G14" s="13" t="s">
        <v>105</v>
      </c>
      <c r="H14" s="14">
        <v>25</v>
      </c>
      <c r="I14" s="15">
        <v>23</v>
      </c>
      <c r="J14" s="16">
        <f t="shared" si="4"/>
        <v>575</v>
      </c>
      <c r="K14" s="17">
        <v>46030</v>
      </c>
      <c r="L14" s="14">
        <v>25</v>
      </c>
      <c r="M14" s="18">
        <f t="shared" si="0"/>
        <v>25</v>
      </c>
      <c r="N14" s="19">
        <f t="shared" si="3"/>
        <v>0</v>
      </c>
      <c r="O14" s="10" t="str">
        <f t="shared" si="1"/>
        <v>COMPLETE</v>
      </c>
      <c r="P14" s="10"/>
      <c r="Q14" s="10" t="str">
        <f t="shared" si="2"/>
        <v>OK</v>
      </c>
    </row>
    <row r="15" spans="1:17" x14ac:dyDescent="0.3">
      <c r="A15" s="30" t="s">
        <v>69</v>
      </c>
      <c r="B15" s="13" t="s">
        <v>102</v>
      </c>
      <c r="C15" s="13" t="s">
        <v>103</v>
      </c>
      <c r="D15" s="13" t="s">
        <v>21</v>
      </c>
      <c r="E15" s="13" t="s">
        <v>21</v>
      </c>
      <c r="F15" s="13" t="s">
        <v>106</v>
      </c>
      <c r="G15" s="13" t="s">
        <v>107</v>
      </c>
      <c r="H15" s="14">
        <v>25</v>
      </c>
      <c r="I15" s="15">
        <v>23</v>
      </c>
      <c r="J15" s="16">
        <f t="shared" si="4"/>
        <v>575</v>
      </c>
      <c r="K15" s="17">
        <v>46030</v>
      </c>
      <c r="L15" s="14">
        <v>25</v>
      </c>
      <c r="M15" s="18">
        <f t="shared" si="0"/>
        <v>25</v>
      </c>
      <c r="N15" s="19">
        <f t="shared" si="3"/>
        <v>0</v>
      </c>
      <c r="O15" s="10" t="str">
        <f t="shared" si="1"/>
        <v>COMPLETE</v>
      </c>
      <c r="P15" s="10"/>
      <c r="Q15" s="10" t="str">
        <f t="shared" si="2"/>
        <v>OK</v>
      </c>
    </row>
    <row r="16" spans="1:17" x14ac:dyDescent="0.3">
      <c r="A16" s="30" t="s">
        <v>69</v>
      </c>
      <c r="B16" s="13" t="s">
        <v>102</v>
      </c>
      <c r="C16" s="13" t="s">
        <v>103</v>
      </c>
      <c r="D16" s="13" t="s">
        <v>21</v>
      </c>
      <c r="E16" s="13" t="s">
        <v>21</v>
      </c>
      <c r="F16" s="13" t="s">
        <v>56</v>
      </c>
      <c r="G16" s="13" t="s">
        <v>57</v>
      </c>
      <c r="H16" s="14">
        <v>25</v>
      </c>
      <c r="I16" s="15">
        <v>23</v>
      </c>
      <c r="J16" s="16">
        <f t="shared" si="4"/>
        <v>575</v>
      </c>
      <c r="K16" s="17">
        <v>46030</v>
      </c>
      <c r="L16" s="14">
        <v>25</v>
      </c>
      <c r="M16" s="18">
        <f t="shared" si="0"/>
        <v>25</v>
      </c>
      <c r="N16" s="19">
        <f t="shared" si="3"/>
        <v>0</v>
      </c>
      <c r="O16" s="10" t="str">
        <f t="shared" si="1"/>
        <v>COMPLETE</v>
      </c>
      <c r="P16" s="10"/>
      <c r="Q16" s="10" t="str">
        <f t="shared" si="2"/>
        <v>OK</v>
      </c>
    </row>
    <row r="17" spans="1:17" x14ac:dyDescent="0.3">
      <c r="A17" s="30" t="s">
        <v>69</v>
      </c>
      <c r="B17" s="13" t="s">
        <v>102</v>
      </c>
      <c r="C17" s="13" t="s">
        <v>103</v>
      </c>
      <c r="D17" s="13" t="s">
        <v>21</v>
      </c>
      <c r="E17" s="13" t="s">
        <v>21</v>
      </c>
      <c r="F17" s="13" t="s">
        <v>59</v>
      </c>
      <c r="G17" s="13" t="s">
        <v>61</v>
      </c>
      <c r="H17" s="14">
        <v>15</v>
      </c>
      <c r="I17" s="15">
        <v>23</v>
      </c>
      <c r="J17" s="16">
        <f t="shared" si="4"/>
        <v>345</v>
      </c>
      <c r="K17" s="17">
        <v>46030</v>
      </c>
      <c r="L17" s="14">
        <v>15</v>
      </c>
      <c r="M17" s="18">
        <f t="shared" si="0"/>
        <v>15</v>
      </c>
      <c r="N17" s="19">
        <f t="shared" si="3"/>
        <v>0</v>
      </c>
      <c r="O17" s="10" t="str">
        <f t="shared" si="1"/>
        <v>COMPLETE</v>
      </c>
      <c r="P17" s="10"/>
      <c r="Q17" s="10" t="str">
        <f t="shared" si="2"/>
        <v>OK</v>
      </c>
    </row>
    <row r="18" spans="1:17" x14ac:dyDescent="0.3">
      <c r="A18" s="10" t="s">
        <v>72</v>
      </c>
      <c r="B18" s="13" t="s">
        <v>73</v>
      </c>
      <c r="C18" s="13" t="s">
        <v>147</v>
      </c>
      <c r="D18" s="13" t="s">
        <v>47</v>
      </c>
      <c r="E18" s="13" t="s">
        <v>47</v>
      </c>
      <c r="F18" s="13" t="s">
        <v>106</v>
      </c>
      <c r="G18" s="13" t="s">
        <v>107</v>
      </c>
      <c r="H18" s="14">
        <v>30</v>
      </c>
      <c r="I18" s="15">
        <v>23</v>
      </c>
      <c r="J18" s="16">
        <f t="shared" si="4"/>
        <v>690</v>
      </c>
      <c r="K18" s="17">
        <v>46035</v>
      </c>
      <c r="L18" s="10">
        <v>30</v>
      </c>
      <c r="M18" s="18">
        <f t="shared" si="0"/>
        <v>30</v>
      </c>
      <c r="N18" s="19">
        <f t="shared" si="3"/>
        <v>0</v>
      </c>
      <c r="O18" s="10" t="str">
        <f t="shared" si="1"/>
        <v>COMPLETE</v>
      </c>
      <c r="P18" s="10"/>
      <c r="Q18" s="10" t="str">
        <f t="shared" si="2"/>
        <v>OK</v>
      </c>
    </row>
    <row r="19" spans="1:17" x14ac:dyDescent="0.3">
      <c r="A19" s="47" t="s">
        <v>85</v>
      </c>
      <c r="B19" s="13" t="s">
        <v>158</v>
      </c>
      <c r="C19" s="13" t="s">
        <v>159</v>
      </c>
      <c r="D19" s="13" t="s">
        <v>21</v>
      </c>
      <c r="E19" s="13" t="s">
        <v>21</v>
      </c>
      <c r="F19" s="13" t="s">
        <v>59</v>
      </c>
      <c r="G19" s="13" t="s">
        <v>61</v>
      </c>
      <c r="H19" s="14">
        <v>20</v>
      </c>
      <c r="I19" s="15">
        <v>22</v>
      </c>
      <c r="J19" s="16">
        <f t="shared" si="4"/>
        <v>440</v>
      </c>
      <c r="K19" s="17">
        <v>46037</v>
      </c>
      <c r="L19" s="10">
        <v>20</v>
      </c>
      <c r="M19" s="18">
        <f t="shared" si="0"/>
        <v>20</v>
      </c>
      <c r="N19" s="19">
        <f t="shared" si="3"/>
        <v>0</v>
      </c>
      <c r="O19" s="10" t="str">
        <f t="shared" si="1"/>
        <v>COMPLETE</v>
      </c>
      <c r="P19" s="10"/>
      <c r="Q19" s="10" t="str">
        <f t="shared" si="2"/>
        <v>OK</v>
      </c>
    </row>
    <row r="20" spans="1:17" x14ac:dyDescent="0.3">
      <c r="A20" s="47" t="s">
        <v>85</v>
      </c>
      <c r="B20" s="13" t="s">
        <v>158</v>
      </c>
      <c r="C20" s="13" t="s">
        <v>159</v>
      </c>
      <c r="D20" s="13" t="s">
        <v>21</v>
      </c>
      <c r="E20" s="13" t="s">
        <v>21</v>
      </c>
      <c r="F20" s="13" t="s">
        <v>60</v>
      </c>
      <c r="G20" s="13" t="s">
        <v>62</v>
      </c>
      <c r="H20" s="14">
        <v>30</v>
      </c>
      <c r="I20" s="15">
        <v>22</v>
      </c>
      <c r="J20" s="16">
        <f t="shared" si="4"/>
        <v>660</v>
      </c>
      <c r="K20" s="17">
        <v>46037</v>
      </c>
      <c r="L20" s="10">
        <v>30</v>
      </c>
      <c r="M20" s="18">
        <f t="shared" si="0"/>
        <v>30</v>
      </c>
      <c r="N20" s="19">
        <f t="shared" si="3"/>
        <v>0</v>
      </c>
      <c r="O20" s="10" t="str">
        <f t="shared" si="1"/>
        <v>COMPLETE</v>
      </c>
      <c r="P20" s="10"/>
      <c r="Q20" s="10" t="str">
        <f t="shared" si="2"/>
        <v>OK</v>
      </c>
    </row>
    <row r="21" spans="1:17" x14ac:dyDescent="0.3">
      <c r="A21" s="32" t="s">
        <v>88</v>
      </c>
      <c r="B21" s="13" t="s">
        <v>73</v>
      </c>
      <c r="C21" s="13" t="s">
        <v>171</v>
      </c>
      <c r="D21" s="13" t="s">
        <v>94</v>
      </c>
      <c r="E21" s="13" t="s">
        <v>94</v>
      </c>
      <c r="F21" s="13" t="s">
        <v>59</v>
      </c>
      <c r="G21" s="13" t="s">
        <v>61</v>
      </c>
      <c r="H21" s="14">
        <v>50</v>
      </c>
      <c r="I21" s="15">
        <v>23</v>
      </c>
      <c r="J21" s="16">
        <f t="shared" si="4"/>
        <v>1150</v>
      </c>
      <c r="K21" s="17">
        <v>46041</v>
      </c>
      <c r="L21" s="10">
        <v>50</v>
      </c>
      <c r="M21" s="18">
        <f t="shared" si="0"/>
        <v>50</v>
      </c>
      <c r="N21" s="19">
        <f t="shared" si="3"/>
        <v>0</v>
      </c>
      <c r="O21" s="10" t="str">
        <f t="shared" si="1"/>
        <v>COMPLETE</v>
      </c>
      <c r="P21" s="10"/>
      <c r="Q21" s="10" t="str">
        <f t="shared" si="2"/>
        <v>OK</v>
      </c>
    </row>
    <row r="22" spans="1:17" x14ac:dyDescent="0.3">
      <c r="A22" s="32" t="s">
        <v>88</v>
      </c>
      <c r="B22" s="13" t="s">
        <v>73</v>
      </c>
      <c r="C22" s="13" t="s">
        <v>171</v>
      </c>
      <c r="D22" s="13" t="s">
        <v>94</v>
      </c>
      <c r="E22" s="13" t="s">
        <v>94</v>
      </c>
      <c r="F22" s="13" t="s">
        <v>60</v>
      </c>
      <c r="G22" s="13" t="s">
        <v>62</v>
      </c>
      <c r="H22" s="14">
        <v>50</v>
      </c>
      <c r="I22" s="15">
        <v>23</v>
      </c>
      <c r="J22" s="16">
        <f t="shared" si="4"/>
        <v>1150</v>
      </c>
      <c r="K22" s="17">
        <v>46041</v>
      </c>
      <c r="L22" s="10">
        <v>50</v>
      </c>
      <c r="M22" s="18">
        <f t="shared" si="0"/>
        <v>50</v>
      </c>
      <c r="N22" s="19">
        <f t="shared" si="3"/>
        <v>0</v>
      </c>
      <c r="O22" s="10" t="str">
        <f t="shared" si="1"/>
        <v>COMPLETE</v>
      </c>
      <c r="P22" s="10"/>
      <c r="Q22" s="10" t="str">
        <f t="shared" si="2"/>
        <v>OK</v>
      </c>
    </row>
    <row r="23" spans="1:17" x14ac:dyDescent="0.3">
      <c r="A23" s="52" t="s">
        <v>90</v>
      </c>
      <c r="B23" s="13" t="s">
        <v>50</v>
      </c>
      <c r="C23" s="13" t="s">
        <v>188</v>
      </c>
      <c r="D23" s="13" t="s">
        <v>189</v>
      </c>
      <c r="E23" s="13" t="s">
        <v>189</v>
      </c>
      <c r="F23" s="13" t="s">
        <v>104</v>
      </c>
      <c r="G23" s="13" t="s">
        <v>105</v>
      </c>
      <c r="H23" s="14">
        <v>10</v>
      </c>
      <c r="I23" s="15">
        <v>17.399999999999999</v>
      </c>
      <c r="J23" s="16">
        <f t="shared" si="4"/>
        <v>174</v>
      </c>
      <c r="K23" s="17">
        <v>46043</v>
      </c>
      <c r="L23" s="10">
        <v>40</v>
      </c>
      <c r="M23" s="18">
        <f t="shared" si="0"/>
        <v>10</v>
      </c>
      <c r="N23" s="19">
        <f t="shared" si="3"/>
        <v>30</v>
      </c>
      <c r="O23" s="10" t="str">
        <f t="shared" si="1"/>
        <v>INCOMPLETE</v>
      </c>
      <c r="P23" s="10"/>
      <c r="Q23" s="10" t="str">
        <f t="shared" si="2"/>
        <v>OK</v>
      </c>
    </row>
    <row r="24" spans="1:17" x14ac:dyDescent="0.3">
      <c r="A24" s="52" t="s">
        <v>90</v>
      </c>
      <c r="B24" s="13" t="s">
        <v>50</v>
      </c>
      <c r="C24" s="13" t="s">
        <v>188</v>
      </c>
      <c r="D24" s="13" t="s">
        <v>272</v>
      </c>
      <c r="E24" s="13" t="s">
        <v>272</v>
      </c>
      <c r="F24" s="13" t="s">
        <v>104</v>
      </c>
      <c r="G24" s="13" t="s">
        <v>105</v>
      </c>
      <c r="H24" s="14">
        <v>15</v>
      </c>
      <c r="I24" s="15">
        <v>17.399999999999999</v>
      </c>
      <c r="J24" s="16">
        <f t="shared" si="4"/>
        <v>261</v>
      </c>
      <c r="K24" s="17">
        <v>46059</v>
      </c>
      <c r="L24" s="10">
        <v>30</v>
      </c>
      <c r="M24" s="18">
        <f t="shared" si="0"/>
        <v>15</v>
      </c>
      <c r="N24" s="19">
        <f t="shared" si="3"/>
        <v>15</v>
      </c>
      <c r="O24" s="10" t="str">
        <f t="shared" si="1"/>
        <v>INCOMPLETE</v>
      </c>
      <c r="P24" s="10"/>
      <c r="Q24" s="10" t="str">
        <f t="shared" si="2"/>
        <v>OK</v>
      </c>
    </row>
    <row r="25" spans="1:17" x14ac:dyDescent="0.3">
      <c r="A25" s="52" t="s">
        <v>90</v>
      </c>
      <c r="B25" s="13" t="s">
        <v>50</v>
      </c>
      <c r="C25" s="13" t="s">
        <v>188</v>
      </c>
      <c r="D25" s="13" t="s">
        <v>272</v>
      </c>
      <c r="E25" s="13" t="s">
        <v>272</v>
      </c>
      <c r="F25" s="13" t="s">
        <v>106</v>
      </c>
      <c r="G25" s="13" t="s">
        <v>107</v>
      </c>
      <c r="H25" s="14">
        <v>30</v>
      </c>
      <c r="I25" s="15">
        <v>17.399999999999999</v>
      </c>
      <c r="J25" s="16">
        <f t="shared" si="4"/>
        <v>522</v>
      </c>
      <c r="K25" s="17">
        <v>46059</v>
      </c>
      <c r="L25" s="10">
        <v>130</v>
      </c>
      <c r="M25" s="18">
        <f t="shared" si="0"/>
        <v>30</v>
      </c>
      <c r="N25" s="19">
        <f t="shared" si="3"/>
        <v>100</v>
      </c>
      <c r="O25" s="10" t="str">
        <f t="shared" si="1"/>
        <v>INCOMPLETE</v>
      </c>
      <c r="P25" s="10"/>
      <c r="Q25" s="10" t="str">
        <f t="shared" si="2"/>
        <v>OK</v>
      </c>
    </row>
    <row r="26" spans="1:17" x14ac:dyDescent="0.3">
      <c r="A26" s="52" t="s">
        <v>90</v>
      </c>
      <c r="B26" s="13" t="s">
        <v>50</v>
      </c>
      <c r="C26" s="13" t="s">
        <v>188</v>
      </c>
      <c r="D26" s="13" t="s">
        <v>286</v>
      </c>
      <c r="E26" s="13" t="s">
        <v>286</v>
      </c>
      <c r="F26" s="13" t="s">
        <v>106</v>
      </c>
      <c r="G26" s="13" t="s">
        <v>107</v>
      </c>
      <c r="H26" s="14">
        <v>20</v>
      </c>
      <c r="I26" s="15">
        <v>17.399999999999999</v>
      </c>
      <c r="J26" s="16">
        <f t="shared" si="4"/>
        <v>348</v>
      </c>
      <c r="K26" s="17">
        <v>46062</v>
      </c>
      <c r="L26" s="10">
        <v>100</v>
      </c>
      <c r="M26" s="18">
        <f t="shared" si="0"/>
        <v>20</v>
      </c>
      <c r="N26" s="19">
        <f t="shared" si="3"/>
        <v>80</v>
      </c>
      <c r="O26" s="10" t="str">
        <f t="shared" si="1"/>
        <v>INCOMPLETE</v>
      </c>
      <c r="P26" s="10"/>
      <c r="Q26" s="10" t="str">
        <f t="shared" si="2"/>
        <v>OK</v>
      </c>
    </row>
    <row r="27" spans="1:17" x14ac:dyDescent="0.3">
      <c r="A27" s="40" t="s">
        <v>108</v>
      </c>
      <c r="B27" s="13" t="s">
        <v>73</v>
      </c>
      <c r="C27" s="13" t="s">
        <v>195</v>
      </c>
      <c r="D27" s="13" t="s">
        <v>98</v>
      </c>
      <c r="E27" s="13" t="s">
        <v>98</v>
      </c>
      <c r="F27" s="13" t="s">
        <v>104</v>
      </c>
      <c r="G27" s="13" t="s">
        <v>105</v>
      </c>
      <c r="H27" s="14">
        <v>10</v>
      </c>
      <c r="I27" s="15">
        <v>23</v>
      </c>
      <c r="J27" s="16">
        <f t="shared" si="4"/>
        <v>230</v>
      </c>
      <c r="K27" s="17">
        <v>46048</v>
      </c>
      <c r="L27" s="14">
        <v>10</v>
      </c>
      <c r="M27" s="18">
        <f t="shared" si="0"/>
        <v>10</v>
      </c>
      <c r="N27" s="19">
        <f t="shared" si="3"/>
        <v>0</v>
      </c>
      <c r="O27" s="10" t="str">
        <f t="shared" si="1"/>
        <v>COMPLETE</v>
      </c>
      <c r="P27" s="10"/>
      <c r="Q27" s="10" t="str">
        <f t="shared" si="2"/>
        <v>OK</v>
      </c>
    </row>
    <row r="28" spans="1:17" x14ac:dyDescent="0.3">
      <c r="A28" s="40" t="s">
        <v>108</v>
      </c>
      <c r="B28" s="13" t="s">
        <v>73</v>
      </c>
      <c r="C28" s="13" t="s">
        <v>195</v>
      </c>
      <c r="D28" s="13" t="s">
        <v>98</v>
      </c>
      <c r="E28" s="13" t="s">
        <v>98</v>
      </c>
      <c r="F28" s="13" t="s">
        <v>59</v>
      </c>
      <c r="G28" s="13" t="s">
        <v>61</v>
      </c>
      <c r="H28" s="14">
        <v>50</v>
      </c>
      <c r="I28" s="15">
        <v>23</v>
      </c>
      <c r="J28" s="16">
        <f t="shared" si="4"/>
        <v>1150</v>
      </c>
      <c r="K28" s="17">
        <v>46048</v>
      </c>
      <c r="L28" s="14">
        <v>50</v>
      </c>
      <c r="M28" s="18">
        <f t="shared" si="0"/>
        <v>50</v>
      </c>
      <c r="N28" s="19">
        <f t="shared" si="3"/>
        <v>0</v>
      </c>
      <c r="O28" s="10" t="str">
        <f t="shared" si="1"/>
        <v>COMPLETE</v>
      </c>
      <c r="P28" s="10"/>
      <c r="Q28" s="10" t="str">
        <f t="shared" si="2"/>
        <v>OK</v>
      </c>
    </row>
    <row r="29" spans="1:17" x14ac:dyDescent="0.3">
      <c r="A29" s="40" t="s">
        <v>108</v>
      </c>
      <c r="B29" s="13" t="s">
        <v>73</v>
      </c>
      <c r="C29" s="13" t="s">
        <v>195</v>
      </c>
      <c r="D29" s="13" t="s">
        <v>98</v>
      </c>
      <c r="E29" s="13" t="s">
        <v>98</v>
      </c>
      <c r="F29" s="13" t="s">
        <v>60</v>
      </c>
      <c r="G29" s="13" t="s">
        <v>62</v>
      </c>
      <c r="H29" s="14">
        <v>50</v>
      </c>
      <c r="I29" s="15">
        <v>23</v>
      </c>
      <c r="J29" s="16">
        <f t="shared" si="4"/>
        <v>1150</v>
      </c>
      <c r="K29" s="17">
        <v>46048</v>
      </c>
      <c r="L29" s="14">
        <v>50</v>
      </c>
      <c r="M29" s="18">
        <f t="shared" si="0"/>
        <v>50</v>
      </c>
      <c r="N29" s="19">
        <f t="shared" si="3"/>
        <v>0</v>
      </c>
      <c r="O29" s="10" t="str">
        <f t="shared" si="1"/>
        <v>COMPLETE</v>
      </c>
      <c r="P29" s="10"/>
      <c r="Q29" s="10" t="str">
        <f t="shared" si="2"/>
        <v>OK</v>
      </c>
    </row>
    <row r="30" spans="1:17" x14ac:dyDescent="0.3">
      <c r="A30" s="10" t="s">
        <v>115</v>
      </c>
      <c r="B30" s="13" t="s">
        <v>158</v>
      </c>
      <c r="C30" s="13" t="s">
        <v>198</v>
      </c>
      <c r="D30" s="13" t="s">
        <v>39</v>
      </c>
      <c r="E30" s="13" t="s">
        <v>39</v>
      </c>
      <c r="F30" s="13" t="s">
        <v>56</v>
      </c>
      <c r="G30" s="13" t="s">
        <v>57</v>
      </c>
      <c r="H30" s="14">
        <v>30</v>
      </c>
      <c r="I30" s="15">
        <v>22</v>
      </c>
      <c r="J30" s="16">
        <f t="shared" si="4"/>
        <v>660</v>
      </c>
      <c r="K30" s="17">
        <v>46048</v>
      </c>
      <c r="L30" s="10">
        <v>30</v>
      </c>
      <c r="M30" s="18">
        <f t="shared" si="0"/>
        <v>30</v>
      </c>
      <c r="N30" s="19">
        <f>L30-M30</f>
        <v>0</v>
      </c>
      <c r="O30" s="10" t="str">
        <f t="shared" si="1"/>
        <v>COMPLETE</v>
      </c>
      <c r="P30" s="10"/>
      <c r="Q30" s="10" t="str">
        <f t="shared" si="2"/>
        <v>OK</v>
      </c>
    </row>
    <row r="31" spans="1:17" x14ac:dyDescent="0.3">
      <c r="A31" s="42" t="s">
        <v>128</v>
      </c>
      <c r="B31" s="13" t="s">
        <v>73</v>
      </c>
      <c r="C31" s="13" t="s">
        <v>247</v>
      </c>
      <c r="D31" s="13" t="s">
        <v>134</v>
      </c>
      <c r="E31" s="13" t="s">
        <v>134</v>
      </c>
      <c r="F31" s="13" t="s">
        <v>106</v>
      </c>
      <c r="G31" s="13" t="s">
        <v>107</v>
      </c>
      <c r="H31" s="14">
        <v>30</v>
      </c>
      <c r="I31" s="15">
        <v>23</v>
      </c>
      <c r="J31" s="16">
        <f t="shared" si="4"/>
        <v>690</v>
      </c>
      <c r="K31" s="17">
        <v>46055</v>
      </c>
      <c r="L31" s="14">
        <v>30</v>
      </c>
      <c r="M31" s="18">
        <f t="shared" si="0"/>
        <v>30</v>
      </c>
      <c r="N31" s="19">
        <f t="shared" si="3"/>
        <v>0</v>
      </c>
      <c r="O31" s="10" t="str">
        <f t="shared" si="1"/>
        <v>COMPLETE</v>
      </c>
      <c r="P31" s="10"/>
      <c r="Q31" s="10" t="str">
        <f t="shared" si="2"/>
        <v>OK</v>
      </c>
    </row>
    <row r="32" spans="1:17" x14ac:dyDescent="0.3">
      <c r="A32" s="42" t="s">
        <v>128</v>
      </c>
      <c r="B32" s="13" t="s">
        <v>73</v>
      </c>
      <c r="C32" s="13" t="s">
        <v>247</v>
      </c>
      <c r="D32" s="13" t="s">
        <v>134</v>
      </c>
      <c r="E32" s="13" t="s">
        <v>134</v>
      </c>
      <c r="F32" s="13" t="s">
        <v>56</v>
      </c>
      <c r="G32" s="13" t="s">
        <v>57</v>
      </c>
      <c r="H32" s="14">
        <v>30</v>
      </c>
      <c r="I32" s="15">
        <v>23</v>
      </c>
      <c r="J32" s="16">
        <f t="shared" si="4"/>
        <v>690</v>
      </c>
      <c r="K32" s="17">
        <v>46055</v>
      </c>
      <c r="L32" s="14">
        <v>30</v>
      </c>
      <c r="M32" s="18">
        <f t="shared" si="0"/>
        <v>30</v>
      </c>
      <c r="N32" s="19">
        <f t="shared" si="3"/>
        <v>0</v>
      </c>
      <c r="O32" s="10" t="str">
        <f t="shared" si="1"/>
        <v>COMPLETE</v>
      </c>
      <c r="P32" s="10"/>
      <c r="Q32" s="10" t="str">
        <f t="shared" si="2"/>
        <v>OK</v>
      </c>
    </row>
    <row r="33" spans="1:17" x14ac:dyDescent="0.3">
      <c r="A33" s="42" t="s">
        <v>128</v>
      </c>
      <c r="B33" s="13" t="s">
        <v>73</v>
      </c>
      <c r="C33" s="13" t="s">
        <v>247</v>
      </c>
      <c r="D33" s="13" t="s">
        <v>134</v>
      </c>
      <c r="E33" s="13" t="s">
        <v>134</v>
      </c>
      <c r="F33" s="13" t="s">
        <v>59</v>
      </c>
      <c r="G33" s="13" t="s">
        <v>61</v>
      </c>
      <c r="H33" s="14">
        <v>50</v>
      </c>
      <c r="I33" s="15">
        <v>23</v>
      </c>
      <c r="J33" s="16">
        <f t="shared" si="4"/>
        <v>1150</v>
      </c>
      <c r="K33" s="17">
        <v>46055</v>
      </c>
      <c r="L33" s="14">
        <v>50</v>
      </c>
      <c r="M33" s="18">
        <f t="shared" si="0"/>
        <v>50</v>
      </c>
      <c r="N33" s="19">
        <f t="shared" si="3"/>
        <v>0</v>
      </c>
      <c r="O33" s="10" t="str">
        <f t="shared" si="1"/>
        <v>COMPLETE</v>
      </c>
      <c r="P33" s="10"/>
      <c r="Q33" s="10" t="str">
        <f t="shared" si="2"/>
        <v>OK</v>
      </c>
    </row>
    <row r="34" spans="1:17" x14ac:dyDescent="0.3">
      <c r="A34" s="42" t="s">
        <v>128</v>
      </c>
      <c r="B34" s="13" t="s">
        <v>73</v>
      </c>
      <c r="C34" s="13" t="s">
        <v>247</v>
      </c>
      <c r="D34" s="13" t="s">
        <v>134</v>
      </c>
      <c r="E34" s="13" t="s">
        <v>134</v>
      </c>
      <c r="F34" s="13" t="s">
        <v>60</v>
      </c>
      <c r="G34" s="13" t="s">
        <v>62</v>
      </c>
      <c r="H34" s="14">
        <v>50</v>
      </c>
      <c r="I34" s="15">
        <v>23</v>
      </c>
      <c r="J34" s="16">
        <f t="shared" si="4"/>
        <v>1150</v>
      </c>
      <c r="K34" s="17">
        <v>46055</v>
      </c>
      <c r="L34" s="14">
        <v>50</v>
      </c>
      <c r="M34" s="18">
        <f t="shared" si="0"/>
        <v>50</v>
      </c>
      <c r="N34" s="19">
        <f t="shared" si="3"/>
        <v>0</v>
      </c>
      <c r="O34" s="10" t="str">
        <f t="shared" si="1"/>
        <v>COMPLETE</v>
      </c>
      <c r="P34" s="10"/>
      <c r="Q34" s="10" t="str">
        <f t="shared" si="2"/>
        <v>OK</v>
      </c>
    </row>
    <row r="35" spans="1:17" x14ac:dyDescent="0.3">
      <c r="A35" s="53" t="s">
        <v>142</v>
      </c>
      <c r="B35" s="13" t="s">
        <v>102</v>
      </c>
      <c r="C35" s="13" t="s">
        <v>263</v>
      </c>
      <c r="D35" s="13" t="s">
        <v>47</v>
      </c>
      <c r="E35" s="13" t="s">
        <v>47</v>
      </c>
      <c r="F35" s="13" t="s">
        <v>56</v>
      </c>
      <c r="G35" s="13" t="s">
        <v>57</v>
      </c>
      <c r="H35" s="14">
        <v>25</v>
      </c>
      <c r="I35" s="15">
        <v>23</v>
      </c>
      <c r="J35" s="16">
        <f t="shared" si="4"/>
        <v>575</v>
      </c>
      <c r="K35" s="17">
        <v>46058</v>
      </c>
      <c r="L35" s="10">
        <v>25</v>
      </c>
      <c r="M35" s="18">
        <f t="shared" si="0"/>
        <v>25</v>
      </c>
      <c r="N35" s="19">
        <f t="shared" si="3"/>
        <v>0</v>
      </c>
      <c r="O35" s="10" t="str">
        <f t="shared" si="1"/>
        <v>COMPLETE</v>
      </c>
      <c r="P35" s="10"/>
      <c r="Q35" s="10" t="str">
        <f t="shared" si="2"/>
        <v>OK</v>
      </c>
    </row>
    <row r="36" spans="1:17" x14ac:dyDescent="0.3">
      <c r="A36" s="53" t="s">
        <v>142</v>
      </c>
      <c r="B36" s="13" t="s">
        <v>102</v>
      </c>
      <c r="C36" s="13" t="s">
        <v>263</v>
      </c>
      <c r="D36" s="13" t="s">
        <v>47</v>
      </c>
      <c r="E36" s="13" t="s">
        <v>47</v>
      </c>
      <c r="F36" s="13" t="s">
        <v>59</v>
      </c>
      <c r="G36" s="13" t="s">
        <v>61</v>
      </c>
      <c r="H36" s="14">
        <v>25</v>
      </c>
      <c r="I36" s="15">
        <v>23</v>
      </c>
      <c r="J36" s="16">
        <f t="shared" si="4"/>
        <v>575</v>
      </c>
      <c r="K36" s="17">
        <v>46058</v>
      </c>
      <c r="L36" s="10">
        <v>25</v>
      </c>
      <c r="M36" s="18">
        <f t="shared" si="0"/>
        <v>25</v>
      </c>
      <c r="N36" s="19">
        <f t="shared" si="3"/>
        <v>0</v>
      </c>
      <c r="O36" s="10" t="str">
        <f t="shared" si="1"/>
        <v>COMPLETE</v>
      </c>
      <c r="P36" s="10"/>
      <c r="Q36" s="10" t="str">
        <f t="shared" si="2"/>
        <v>OK</v>
      </c>
    </row>
    <row r="37" spans="1:17" x14ac:dyDescent="0.3">
      <c r="A37" s="10" t="s">
        <v>148</v>
      </c>
      <c r="B37" s="13" t="s">
        <v>50</v>
      </c>
      <c r="C37" s="13" t="s">
        <v>273</v>
      </c>
      <c r="D37" s="13" t="s">
        <v>274</v>
      </c>
      <c r="E37" s="13" t="s">
        <v>274</v>
      </c>
      <c r="F37" s="13" t="s">
        <v>60</v>
      </c>
      <c r="G37" s="13" t="s">
        <v>62</v>
      </c>
      <c r="H37" s="14">
        <v>80</v>
      </c>
      <c r="I37" s="15">
        <v>17.399999999999999</v>
      </c>
      <c r="J37" s="16">
        <f t="shared" si="4"/>
        <v>1392</v>
      </c>
      <c r="K37" s="17">
        <v>46059</v>
      </c>
      <c r="L37" s="10">
        <v>100</v>
      </c>
      <c r="M37" s="18">
        <f t="shared" si="0"/>
        <v>80</v>
      </c>
      <c r="N37" s="19">
        <f t="shared" si="3"/>
        <v>20</v>
      </c>
      <c r="O37" s="10" t="str">
        <f t="shared" si="1"/>
        <v>INCOMPLETE</v>
      </c>
      <c r="P37" s="10"/>
      <c r="Q37" s="10" t="str">
        <f t="shared" si="2"/>
        <v>OK</v>
      </c>
    </row>
    <row r="38" spans="1:17" x14ac:dyDescent="0.3">
      <c r="A38" s="32" t="s">
        <v>152</v>
      </c>
      <c r="B38" s="13" t="s">
        <v>50</v>
      </c>
      <c r="C38" s="13" t="s">
        <v>281</v>
      </c>
      <c r="D38" s="13" t="s">
        <v>282</v>
      </c>
      <c r="E38" s="13" t="s">
        <v>282</v>
      </c>
      <c r="F38" s="13" t="s">
        <v>59</v>
      </c>
      <c r="G38" s="13" t="s">
        <v>61</v>
      </c>
      <c r="H38" s="14">
        <v>20</v>
      </c>
      <c r="I38" s="15">
        <v>17.399999999999999</v>
      </c>
      <c r="J38" s="16">
        <f t="shared" si="4"/>
        <v>348</v>
      </c>
      <c r="K38" s="17">
        <v>46062</v>
      </c>
      <c r="L38" s="10">
        <v>50</v>
      </c>
      <c r="M38" s="18">
        <f t="shared" si="0"/>
        <v>20</v>
      </c>
      <c r="N38" s="19">
        <f t="shared" si="3"/>
        <v>30</v>
      </c>
      <c r="O38" s="10" t="str">
        <f t="shared" si="1"/>
        <v>INCOMPLETE</v>
      </c>
      <c r="P38" s="10"/>
      <c r="Q38" s="10" t="str">
        <f t="shared" si="2"/>
        <v>OK</v>
      </c>
    </row>
    <row r="39" spans="1:17" x14ac:dyDescent="0.3">
      <c r="A39" s="32" t="s">
        <v>152</v>
      </c>
      <c r="B39" s="13" t="s">
        <v>50</v>
      </c>
      <c r="C39" s="13" t="s">
        <v>281</v>
      </c>
      <c r="D39" s="13" t="s">
        <v>282</v>
      </c>
      <c r="E39" s="13" t="s">
        <v>282</v>
      </c>
      <c r="F39" s="13" t="s">
        <v>60</v>
      </c>
      <c r="G39" s="13" t="s">
        <v>62</v>
      </c>
      <c r="H39" s="14">
        <v>20</v>
      </c>
      <c r="I39" s="15">
        <v>17.399999999999999</v>
      </c>
      <c r="J39" s="16">
        <f t="shared" ref="J39:J111" si="5">H39*I39</f>
        <v>348</v>
      </c>
      <c r="K39" s="17">
        <v>46062</v>
      </c>
      <c r="L39" s="10">
        <v>50</v>
      </c>
      <c r="M39" s="18">
        <f t="shared" si="0"/>
        <v>20</v>
      </c>
      <c r="N39" s="19">
        <f t="shared" ref="N39:N111" si="6">L39-M39</f>
        <v>30</v>
      </c>
      <c r="O39" s="10" t="str">
        <f t="shared" ref="O39:O111" si="7">IF(N39=0,"COMPLETE","INCOMPLETE")</f>
        <v>INCOMPLETE</v>
      </c>
      <c r="P39" s="10"/>
      <c r="Q39" s="10" t="str">
        <f t="shared" si="2"/>
        <v>OK</v>
      </c>
    </row>
    <row r="40" spans="1:17" x14ac:dyDescent="0.3">
      <c r="A40" s="54" t="s">
        <v>160</v>
      </c>
      <c r="B40" s="13" t="s">
        <v>102</v>
      </c>
      <c r="C40" s="13" t="s">
        <v>301</v>
      </c>
      <c r="D40" s="13" t="s">
        <v>94</v>
      </c>
      <c r="E40" s="13" t="s">
        <v>94</v>
      </c>
      <c r="F40" s="13" t="s">
        <v>106</v>
      </c>
      <c r="G40" s="13" t="s">
        <v>107</v>
      </c>
      <c r="H40" s="14">
        <v>25</v>
      </c>
      <c r="I40" s="15">
        <v>23</v>
      </c>
      <c r="J40" s="16">
        <f t="shared" si="5"/>
        <v>575</v>
      </c>
      <c r="K40" s="17">
        <v>46065</v>
      </c>
      <c r="L40" s="10">
        <v>25</v>
      </c>
      <c r="M40" s="18">
        <f t="shared" si="0"/>
        <v>25</v>
      </c>
      <c r="N40" s="19">
        <f t="shared" si="6"/>
        <v>0</v>
      </c>
      <c r="O40" s="10" t="str">
        <f t="shared" si="7"/>
        <v>COMPLETE</v>
      </c>
      <c r="P40" s="10"/>
      <c r="Q40" s="10" t="str">
        <f t="shared" si="2"/>
        <v>OK</v>
      </c>
    </row>
    <row r="41" spans="1:17" x14ac:dyDescent="0.3">
      <c r="A41" s="54" t="s">
        <v>160</v>
      </c>
      <c r="B41" s="13" t="s">
        <v>102</v>
      </c>
      <c r="C41" s="13" t="s">
        <v>301</v>
      </c>
      <c r="D41" s="13" t="s">
        <v>94</v>
      </c>
      <c r="E41" s="13" t="s">
        <v>94</v>
      </c>
      <c r="F41" s="13" t="s">
        <v>56</v>
      </c>
      <c r="G41" s="13" t="s">
        <v>57</v>
      </c>
      <c r="H41" s="14">
        <v>15</v>
      </c>
      <c r="I41" s="15">
        <v>23</v>
      </c>
      <c r="J41" s="16">
        <f t="shared" si="5"/>
        <v>345</v>
      </c>
      <c r="K41" s="17">
        <v>46065</v>
      </c>
      <c r="L41" s="10">
        <v>15</v>
      </c>
      <c r="M41" s="18">
        <f t="shared" si="0"/>
        <v>15</v>
      </c>
      <c r="N41" s="19">
        <f t="shared" si="6"/>
        <v>0</v>
      </c>
      <c r="O41" s="10" t="str">
        <f t="shared" si="7"/>
        <v>COMPLETE</v>
      </c>
      <c r="P41" s="10"/>
      <c r="Q41" s="10" t="str">
        <f t="shared" si="2"/>
        <v>OK</v>
      </c>
    </row>
    <row r="42" spans="1:17" x14ac:dyDescent="0.3">
      <c r="A42" s="9" t="s">
        <v>163</v>
      </c>
      <c r="B42" s="13" t="s">
        <v>158</v>
      </c>
      <c r="C42" s="13" t="s">
        <v>303</v>
      </c>
      <c r="D42" s="13" t="s">
        <v>43</v>
      </c>
      <c r="E42" s="13" t="s">
        <v>43</v>
      </c>
      <c r="F42" s="13" t="s">
        <v>59</v>
      </c>
      <c r="G42" s="13" t="s">
        <v>61</v>
      </c>
      <c r="H42" s="14">
        <v>30</v>
      </c>
      <c r="I42" s="15">
        <v>22</v>
      </c>
      <c r="J42" s="16">
        <f t="shared" si="5"/>
        <v>660</v>
      </c>
      <c r="K42" s="17">
        <v>46066</v>
      </c>
      <c r="L42" s="10">
        <v>30</v>
      </c>
      <c r="M42" s="18">
        <f t="shared" si="0"/>
        <v>30</v>
      </c>
      <c r="N42" s="19">
        <f t="shared" si="6"/>
        <v>0</v>
      </c>
      <c r="O42" s="10" t="str">
        <f t="shared" si="7"/>
        <v>COMPLETE</v>
      </c>
      <c r="P42" s="10"/>
      <c r="Q42" s="10" t="str">
        <f t="shared" si="2"/>
        <v>OK</v>
      </c>
    </row>
    <row r="43" spans="1:17" x14ac:dyDescent="0.3">
      <c r="A43" s="9" t="s">
        <v>163</v>
      </c>
      <c r="B43" s="13" t="s">
        <v>158</v>
      </c>
      <c r="C43" s="13" t="s">
        <v>303</v>
      </c>
      <c r="D43" s="13" t="s">
        <v>43</v>
      </c>
      <c r="E43" s="13" t="s">
        <v>43</v>
      </c>
      <c r="F43" s="13" t="s">
        <v>60</v>
      </c>
      <c r="G43" s="13" t="s">
        <v>62</v>
      </c>
      <c r="H43" s="14">
        <v>20</v>
      </c>
      <c r="I43" s="15">
        <v>22</v>
      </c>
      <c r="J43" s="16">
        <f t="shared" si="5"/>
        <v>440</v>
      </c>
      <c r="K43" s="17">
        <v>46066</v>
      </c>
      <c r="L43" s="10">
        <v>20</v>
      </c>
      <c r="M43" s="18">
        <f t="shared" si="0"/>
        <v>20</v>
      </c>
      <c r="N43" s="19">
        <f t="shared" si="6"/>
        <v>0</v>
      </c>
      <c r="O43" s="10" t="str">
        <f t="shared" si="7"/>
        <v>COMPLETE</v>
      </c>
      <c r="P43" s="10"/>
      <c r="Q43" s="10" t="str">
        <f t="shared" si="2"/>
        <v>OK</v>
      </c>
    </row>
    <row r="44" spans="1:17" x14ac:dyDescent="0.3">
      <c r="A44" s="44" t="s">
        <v>166</v>
      </c>
      <c r="B44" s="13" t="s">
        <v>73</v>
      </c>
      <c r="C44" s="13" t="s">
        <v>322</v>
      </c>
      <c r="D44" s="13" t="s">
        <v>209</v>
      </c>
      <c r="E44" s="13" t="s">
        <v>207</v>
      </c>
      <c r="F44" s="13" t="s">
        <v>59</v>
      </c>
      <c r="G44" s="13" t="s">
        <v>61</v>
      </c>
      <c r="H44" s="14">
        <v>30</v>
      </c>
      <c r="I44" s="15">
        <v>23</v>
      </c>
      <c r="J44" s="16">
        <f t="shared" si="5"/>
        <v>690</v>
      </c>
      <c r="K44" s="17">
        <v>46073</v>
      </c>
      <c r="L44" s="10">
        <v>30</v>
      </c>
      <c r="M44" s="18">
        <f t="shared" si="0"/>
        <v>30</v>
      </c>
      <c r="N44" s="19">
        <f t="shared" si="6"/>
        <v>0</v>
      </c>
      <c r="O44" s="10" t="str">
        <f t="shared" si="7"/>
        <v>COMPLETE</v>
      </c>
      <c r="P44" s="10"/>
      <c r="Q44" s="10" t="str">
        <f t="shared" si="2"/>
        <v>OK</v>
      </c>
    </row>
    <row r="45" spans="1:17" x14ac:dyDescent="0.3">
      <c r="A45" s="44" t="s">
        <v>166</v>
      </c>
      <c r="B45" s="13" t="s">
        <v>73</v>
      </c>
      <c r="C45" s="13" t="s">
        <v>322</v>
      </c>
      <c r="D45" s="13" t="s">
        <v>209</v>
      </c>
      <c r="E45" s="13" t="s">
        <v>207</v>
      </c>
      <c r="F45" s="13" t="s">
        <v>60</v>
      </c>
      <c r="G45" s="13" t="s">
        <v>62</v>
      </c>
      <c r="H45" s="14">
        <v>15</v>
      </c>
      <c r="I45" s="15">
        <v>23</v>
      </c>
      <c r="J45" s="16">
        <f t="shared" si="5"/>
        <v>345</v>
      </c>
      <c r="K45" s="17">
        <v>46073</v>
      </c>
      <c r="L45" s="10">
        <v>50</v>
      </c>
      <c r="M45" s="18">
        <f t="shared" si="0"/>
        <v>15</v>
      </c>
      <c r="N45" s="19">
        <f t="shared" si="6"/>
        <v>35</v>
      </c>
      <c r="O45" s="10" t="str">
        <f t="shared" si="7"/>
        <v>INCOMPLETE</v>
      </c>
      <c r="P45" s="10"/>
      <c r="Q45" s="10" t="str">
        <f t="shared" si="2"/>
        <v>OK</v>
      </c>
    </row>
    <row r="46" spans="1:17" x14ac:dyDescent="0.3">
      <c r="A46" s="44" t="s">
        <v>166</v>
      </c>
      <c r="B46" s="13" t="s">
        <v>73</v>
      </c>
      <c r="C46" s="13" t="s">
        <v>322</v>
      </c>
      <c r="D46" s="13" t="s">
        <v>285</v>
      </c>
      <c r="E46" s="13" t="s">
        <v>284</v>
      </c>
      <c r="F46" s="13" t="s">
        <v>60</v>
      </c>
      <c r="G46" s="13" t="s">
        <v>62</v>
      </c>
      <c r="H46" s="14">
        <v>35</v>
      </c>
      <c r="I46" s="15">
        <v>23</v>
      </c>
      <c r="J46" s="16">
        <f t="shared" si="5"/>
        <v>805</v>
      </c>
      <c r="K46" s="17">
        <v>46133</v>
      </c>
      <c r="L46" s="10">
        <v>35</v>
      </c>
      <c r="M46" s="18">
        <f t="shared" si="0"/>
        <v>35</v>
      </c>
      <c r="N46" s="19">
        <f t="shared" si="6"/>
        <v>0</v>
      </c>
      <c r="O46" s="10" t="str">
        <f t="shared" si="7"/>
        <v>COMPLETE</v>
      </c>
      <c r="P46" s="10"/>
      <c r="Q46" s="10" t="str">
        <f t="shared" si="2"/>
        <v>OK</v>
      </c>
    </row>
    <row r="47" spans="1:17" x14ac:dyDescent="0.3">
      <c r="A47" s="40" t="s">
        <v>170</v>
      </c>
      <c r="B47" s="13" t="s">
        <v>50</v>
      </c>
      <c r="C47" s="13" t="s">
        <v>349</v>
      </c>
      <c r="D47" s="13" t="s">
        <v>317</v>
      </c>
      <c r="E47" s="13" t="s">
        <v>317</v>
      </c>
      <c r="F47" s="13" t="s">
        <v>56</v>
      </c>
      <c r="G47" s="13" t="s">
        <v>57</v>
      </c>
      <c r="H47" s="14">
        <v>20</v>
      </c>
      <c r="I47" s="15">
        <v>17.399999999999999</v>
      </c>
      <c r="J47" s="16">
        <f t="shared" si="5"/>
        <v>348</v>
      </c>
      <c r="K47" s="17">
        <v>46079</v>
      </c>
      <c r="L47" s="10">
        <v>20</v>
      </c>
      <c r="M47" s="18">
        <f t="shared" si="0"/>
        <v>20</v>
      </c>
      <c r="N47" s="19">
        <f t="shared" si="6"/>
        <v>0</v>
      </c>
      <c r="O47" s="10" t="str">
        <f t="shared" si="7"/>
        <v>COMPLETE</v>
      </c>
      <c r="P47" s="10"/>
      <c r="Q47" s="10" t="str">
        <f t="shared" si="2"/>
        <v>OK</v>
      </c>
    </row>
    <row r="48" spans="1:17" x14ac:dyDescent="0.3">
      <c r="A48" s="40" t="s">
        <v>170</v>
      </c>
      <c r="B48" s="13" t="s">
        <v>50</v>
      </c>
      <c r="C48" s="13" t="s">
        <v>349</v>
      </c>
      <c r="D48" s="13" t="s">
        <v>317</v>
      </c>
      <c r="E48" s="13" t="s">
        <v>317</v>
      </c>
      <c r="F48" s="13" t="s">
        <v>59</v>
      </c>
      <c r="G48" s="13" t="s">
        <v>61</v>
      </c>
      <c r="H48" s="14">
        <v>40</v>
      </c>
      <c r="I48" s="15">
        <v>17.399999999999999</v>
      </c>
      <c r="J48" s="16">
        <f t="shared" si="5"/>
        <v>696</v>
      </c>
      <c r="K48" s="17">
        <v>46079</v>
      </c>
      <c r="L48" s="10">
        <v>40</v>
      </c>
      <c r="M48" s="18">
        <f t="shared" si="0"/>
        <v>40</v>
      </c>
      <c r="N48" s="19">
        <f t="shared" si="6"/>
        <v>0</v>
      </c>
      <c r="O48" s="10" t="str">
        <f t="shared" si="7"/>
        <v>COMPLETE</v>
      </c>
      <c r="P48" s="10"/>
      <c r="Q48" s="10" t="str">
        <f t="shared" si="2"/>
        <v>OK</v>
      </c>
    </row>
    <row r="49" spans="1:17" x14ac:dyDescent="0.3">
      <c r="A49" s="40" t="s">
        <v>170</v>
      </c>
      <c r="B49" s="13" t="s">
        <v>50</v>
      </c>
      <c r="C49" s="13" t="s">
        <v>349</v>
      </c>
      <c r="D49" s="13" t="s">
        <v>317</v>
      </c>
      <c r="E49" s="13" t="s">
        <v>317</v>
      </c>
      <c r="F49" s="13" t="s">
        <v>60</v>
      </c>
      <c r="G49" s="13" t="s">
        <v>62</v>
      </c>
      <c r="H49" s="14">
        <v>10</v>
      </c>
      <c r="I49" s="15">
        <v>17.399999999999999</v>
      </c>
      <c r="J49" s="16">
        <f t="shared" si="5"/>
        <v>174</v>
      </c>
      <c r="K49" s="17">
        <v>46079</v>
      </c>
      <c r="L49" s="10">
        <v>40</v>
      </c>
      <c r="M49" s="18">
        <f t="shared" si="0"/>
        <v>10</v>
      </c>
      <c r="N49" s="19">
        <f t="shared" si="6"/>
        <v>30</v>
      </c>
      <c r="O49" s="10" t="str">
        <f t="shared" si="7"/>
        <v>INCOMPLETE</v>
      </c>
      <c r="P49" s="10"/>
      <c r="Q49" s="10" t="str">
        <f t="shared" si="2"/>
        <v>OK</v>
      </c>
    </row>
    <row r="50" spans="1:17" x14ac:dyDescent="0.3">
      <c r="A50" s="40">
        <v>19</v>
      </c>
      <c r="B50" s="13" t="s">
        <v>50</v>
      </c>
      <c r="C50" s="13" t="s">
        <v>349</v>
      </c>
      <c r="D50" s="13" t="s">
        <v>435</v>
      </c>
      <c r="E50" s="13" t="s">
        <v>435</v>
      </c>
      <c r="F50" s="13" t="s">
        <v>60</v>
      </c>
      <c r="G50" s="13" t="s">
        <v>62</v>
      </c>
      <c r="H50" s="14">
        <v>30</v>
      </c>
      <c r="I50" s="15">
        <v>17.399999999999999</v>
      </c>
      <c r="J50" s="16">
        <f t="shared" si="5"/>
        <v>522</v>
      </c>
      <c r="K50" s="17">
        <v>46156</v>
      </c>
      <c r="L50" s="10">
        <v>30</v>
      </c>
      <c r="M50" s="18">
        <f t="shared" si="0"/>
        <v>30</v>
      </c>
      <c r="N50" s="19">
        <f t="shared" si="6"/>
        <v>0</v>
      </c>
      <c r="O50" s="10" t="str">
        <f t="shared" si="7"/>
        <v>COMPLETE</v>
      </c>
      <c r="P50" s="10"/>
      <c r="Q50" s="10" t="str">
        <f t="shared" si="2"/>
        <v>OK</v>
      </c>
    </row>
    <row r="51" spans="1:17" x14ac:dyDescent="0.3">
      <c r="A51" s="55" t="s">
        <v>172</v>
      </c>
      <c r="B51" s="13" t="s">
        <v>73</v>
      </c>
      <c r="C51" s="13" t="s">
        <v>351</v>
      </c>
      <c r="D51" s="13" t="s">
        <v>222</v>
      </c>
      <c r="E51" s="13" t="s">
        <v>222</v>
      </c>
      <c r="F51" s="13" t="s">
        <v>59</v>
      </c>
      <c r="G51" s="13" t="s">
        <v>61</v>
      </c>
      <c r="H51" s="14">
        <v>50</v>
      </c>
      <c r="I51" s="15">
        <v>23</v>
      </c>
      <c r="J51" s="16">
        <f t="shared" si="5"/>
        <v>1150</v>
      </c>
      <c r="K51" s="17">
        <v>46079</v>
      </c>
      <c r="L51" s="10">
        <v>50</v>
      </c>
      <c r="M51" s="18">
        <f t="shared" si="0"/>
        <v>50</v>
      </c>
      <c r="N51" s="19">
        <f t="shared" si="6"/>
        <v>0</v>
      </c>
      <c r="O51" s="10" t="str">
        <f t="shared" si="7"/>
        <v>COMPLETE</v>
      </c>
      <c r="P51" s="10"/>
      <c r="Q51" s="10" t="str">
        <f t="shared" si="2"/>
        <v>OK</v>
      </c>
    </row>
    <row r="52" spans="1:17" x14ac:dyDescent="0.3">
      <c r="A52" s="55" t="s">
        <v>172</v>
      </c>
      <c r="B52" s="13" t="s">
        <v>73</v>
      </c>
      <c r="C52" s="13" t="s">
        <v>351</v>
      </c>
      <c r="D52" s="13" t="s">
        <v>222</v>
      </c>
      <c r="E52" s="13" t="s">
        <v>222</v>
      </c>
      <c r="F52" s="13" t="s">
        <v>60</v>
      </c>
      <c r="G52" s="13" t="s">
        <v>62</v>
      </c>
      <c r="H52" s="14">
        <v>25</v>
      </c>
      <c r="I52" s="15">
        <v>23</v>
      </c>
      <c r="J52" s="16">
        <f t="shared" si="5"/>
        <v>575</v>
      </c>
      <c r="K52" s="17">
        <v>46079</v>
      </c>
      <c r="L52" s="10">
        <v>25</v>
      </c>
      <c r="M52" s="18">
        <f t="shared" si="0"/>
        <v>25</v>
      </c>
      <c r="N52" s="19">
        <f t="shared" si="6"/>
        <v>0</v>
      </c>
      <c r="O52" s="10" t="str">
        <f t="shared" si="7"/>
        <v>COMPLETE</v>
      </c>
      <c r="P52" s="10"/>
      <c r="Q52" s="10" t="str">
        <f t="shared" si="2"/>
        <v>OK</v>
      </c>
    </row>
    <row r="53" spans="1:17" x14ac:dyDescent="0.3">
      <c r="A53" s="32" t="s">
        <v>177</v>
      </c>
      <c r="B53" s="13" t="s">
        <v>102</v>
      </c>
      <c r="C53" s="13" t="s">
        <v>359</v>
      </c>
      <c r="D53" s="13" t="s">
        <v>98</v>
      </c>
      <c r="E53" s="13" t="s">
        <v>98</v>
      </c>
      <c r="F53" s="13" t="s">
        <v>104</v>
      </c>
      <c r="G53" s="13" t="s">
        <v>105</v>
      </c>
      <c r="H53" s="14">
        <v>30</v>
      </c>
      <c r="I53" s="15">
        <v>23</v>
      </c>
      <c r="J53" s="16">
        <f t="shared" si="5"/>
        <v>690</v>
      </c>
      <c r="K53" s="17">
        <v>46083</v>
      </c>
      <c r="L53" s="10">
        <v>30</v>
      </c>
      <c r="M53" s="18">
        <f t="shared" si="0"/>
        <v>30</v>
      </c>
      <c r="N53" s="19">
        <f t="shared" si="6"/>
        <v>0</v>
      </c>
      <c r="O53" s="10" t="str">
        <f t="shared" si="7"/>
        <v>COMPLETE</v>
      </c>
      <c r="P53" s="10"/>
      <c r="Q53" s="10" t="str">
        <f t="shared" si="2"/>
        <v>OK</v>
      </c>
    </row>
    <row r="54" spans="1:17" x14ac:dyDescent="0.3">
      <c r="A54" s="32" t="s">
        <v>177</v>
      </c>
      <c r="B54" s="13" t="s">
        <v>102</v>
      </c>
      <c r="C54" s="13" t="s">
        <v>359</v>
      </c>
      <c r="D54" s="13" t="s">
        <v>98</v>
      </c>
      <c r="E54" s="13" t="s">
        <v>98</v>
      </c>
      <c r="F54" s="13" t="s">
        <v>106</v>
      </c>
      <c r="G54" s="13" t="s">
        <v>107</v>
      </c>
      <c r="H54" s="14">
        <v>30</v>
      </c>
      <c r="I54" s="15">
        <v>23</v>
      </c>
      <c r="J54" s="16">
        <f t="shared" si="5"/>
        <v>690</v>
      </c>
      <c r="K54" s="17">
        <v>46083</v>
      </c>
      <c r="L54" s="10">
        <v>30</v>
      </c>
      <c r="M54" s="18">
        <f t="shared" si="0"/>
        <v>30</v>
      </c>
      <c r="N54" s="19">
        <f t="shared" si="6"/>
        <v>0</v>
      </c>
      <c r="O54" s="10" t="str">
        <f t="shared" si="7"/>
        <v>COMPLETE</v>
      </c>
      <c r="P54" s="10"/>
      <c r="Q54" s="10" t="str">
        <f t="shared" si="2"/>
        <v>OK</v>
      </c>
    </row>
    <row r="55" spans="1:17" x14ac:dyDescent="0.3">
      <c r="A55" s="32" t="s">
        <v>177</v>
      </c>
      <c r="B55" s="13" t="s">
        <v>102</v>
      </c>
      <c r="C55" s="13" t="s">
        <v>359</v>
      </c>
      <c r="D55" s="13" t="s">
        <v>98</v>
      </c>
      <c r="E55" s="13" t="s">
        <v>98</v>
      </c>
      <c r="F55" s="13" t="s">
        <v>56</v>
      </c>
      <c r="G55" s="13" t="s">
        <v>57</v>
      </c>
      <c r="H55" s="14">
        <v>15</v>
      </c>
      <c r="I55" s="15">
        <v>23</v>
      </c>
      <c r="J55" s="16">
        <f t="shared" si="5"/>
        <v>345</v>
      </c>
      <c r="K55" s="17">
        <v>46083</v>
      </c>
      <c r="L55" s="10">
        <v>15</v>
      </c>
      <c r="M55" s="18">
        <f t="shared" si="0"/>
        <v>15</v>
      </c>
      <c r="N55" s="19">
        <f t="shared" si="6"/>
        <v>0</v>
      </c>
      <c r="O55" s="10" t="str">
        <f t="shared" si="7"/>
        <v>COMPLETE</v>
      </c>
      <c r="P55" s="10"/>
      <c r="Q55" s="10" t="str">
        <f t="shared" si="2"/>
        <v>OK</v>
      </c>
    </row>
    <row r="56" spans="1:17" x14ac:dyDescent="0.3">
      <c r="A56" s="51" t="s">
        <v>183</v>
      </c>
      <c r="B56" s="13" t="s">
        <v>158</v>
      </c>
      <c r="C56" s="13" t="s">
        <v>360</v>
      </c>
      <c r="D56" s="13" t="s">
        <v>47</v>
      </c>
      <c r="E56" s="13" t="s">
        <v>47</v>
      </c>
      <c r="F56" s="13" t="s">
        <v>56</v>
      </c>
      <c r="G56" s="13" t="s">
        <v>57</v>
      </c>
      <c r="H56" s="14">
        <v>30</v>
      </c>
      <c r="I56" s="15">
        <v>22</v>
      </c>
      <c r="J56" s="16">
        <f t="shared" si="5"/>
        <v>660</v>
      </c>
      <c r="K56" s="17">
        <v>46083</v>
      </c>
      <c r="L56" s="10">
        <v>30</v>
      </c>
      <c r="M56" s="18">
        <f t="shared" si="0"/>
        <v>30</v>
      </c>
      <c r="N56" s="19">
        <f t="shared" si="6"/>
        <v>0</v>
      </c>
      <c r="O56" s="10" t="str">
        <f t="shared" si="7"/>
        <v>COMPLETE</v>
      </c>
      <c r="P56" s="10"/>
      <c r="Q56" s="10" t="str">
        <f t="shared" si="2"/>
        <v>OK</v>
      </c>
    </row>
    <row r="57" spans="1:17" x14ac:dyDescent="0.3">
      <c r="A57" s="51" t="s">
        <v>183</v>
      </c>
      <c r="B57" s="13" t="s">
        <v>158</v>
      </c>
      <c r="C57" s="13" t="s">
        <v>360</v>
      </c>
      <c r="D57" s="13" t="s">
        <v>47</v>
      </c>
      <c r="E57" s="13" t="s">
        <v>47</v>
      </c>
      <c r="F57" s="13" t="s">
        <v>59</v>
      </c>
      <c r="G57" s="13" t="s">
        <v>61</v>
      </c>
      <c r="H57" s="14">
        <v>30</v>
      </c>
      <c r="I57" s="15">
        <v>22</v>
      </c>
      <c r="J57" s="16">
        <f t="shared" si="5"/>
        <v>660</v>
      </c>
      <c r="K57" s="17">
        <v>46083</v>
      </c>
      <c r="L57" s="10">
        <v>30</v>
      </c>
      <c r="M57" s="18">
        <f t="shared" si="0"/>
        <v>30</v>
      </c>
      <c r="N57" s="19">
        <f t="shared" si="6"/>
        <v>0</v>
      </c>
      <c r="O57" s="10" t="str">
        <f t="shared" si="7"/>
        <v>COMPLETE</v>
      </c>
      <c r="P57" s="10"/>
      <c r="Q57" s="10" t="str">
        <f t="shared" si="2"/>
        <v>OK</v>
      </c>
    </row>
    <row r="58" spans="1:17" x14ac:dyDescent="0.3">
      <c r="A58" s="51" t="s">
        <v>183</v>
      </c>
      <c r="B58" s="13" t="s">
        <v>158</v>
      </c>
      <c r="C58" s="13" t="s">
        <v>360</v>
      </c>
      <c r="D58" s="13" t="s">
        <v>47</v>
      </c>
      <c r="E58" s="13" t="s">
        <v>47</v>
      </c>
      <c r="F58" s="13" t="s">
        <v>60</v>
      </c>
      <c r="G58" s="13" t="s">
        <v>62</v>
      </c>
      <c r="H58" s="14">
        <v>10</v>
      </c>
      <c r="I58" s="15">
        <v>22</v>
      </c>
      <c r="J58" s="16">
        <f t="shared" si="5"/>
        <v>220</v>
      </c>
      <c r="K58" s="17">
        <v>46083</v>
      </c>
      <c r="L58" s="10">
        <v>30</v>
      </c>
      <c r="M58" s="18">
        <f t="shared" si="0"/>
        <v>10</v>
      </c>
      <c r="N58" s="19">
        <f t="shared" si="6"/>
        <v>20</v>
      </c>
      <c r="O58" s="10" t="str">
        <f t="shared" si="7"/>
        <v>INCOMPLETE</v>
      </c>
      <c r="P58" s="10"/>
      <c r="Q58" s="10" t="str">
        <f t="shared" si="2"/>
        <v>OK</v>
      </c>
    </row>
    <row r="59" spans="1:17" x14ac:dyDescent="0.3">
      <c r="A59" s="51" t="s">
        <v>183</v>
      </c>
      <c r="B59" s="13" t="s">
        <v>158</v>
      </c>
      <c r="C59" s="13" t="s">
        <v>360</v>
      </c>
      <c r="D59" s="13" t="s">
        <v>134</v>
      </c>
      <c r="E59" s="13" t="s">
        <v>134</v>
      </c>
      <c r="F59" s="13" t="s">
        <v>60</v>
      </c>
      <c r="G59" s="13" t="s">
        <v>62</v>
      </c>
      <c r="H59" s="14">
        <v>20</v>
      </c>
      <c r="I59" s="15">
        <v>22</v>
      </c>
      <c r="J59" s="16">
        <f t="shared" si="5"/>
        <v>440</v>
      </c>
      <c r="K59" s="17">
        <v>46133</v>
      </c>
      <c r="L59" s="10">
        <v>20</v>
      </c>
      <c r="M59" s="18">
        <f t="shared" si="0"/>
        <v>20</v>
      </c>
      <c r="N59" s="19">
        <f t="shared" si="6"/>
        <v>0</v>
      </c>
      <c r="O59" s="10" t="str">
        <f t="shared" si="7"/>
        <v>COMPLETE</v>
      </c>
      <c r="P59" s="10"/>
      <c r="Q59" s="10" t="str">
        <f t="shared" si="2"/>
        <v>OK</v>
      </c>
    </row>
    <row r="60" spans="1:17" x14ac:dyDescent="0.3">
      <c r="A60" s="30" t="s">
        <v>194</v>
      </c>
      <c r="B60" s="13" t="s">
        <v>95</v>
      </c>
      <c r="C60" s="13" t="s">
        <v>399</v>
      </c>
      <c r="D60" s="13" t="s">
        <v>39</v>
      </c>
      <c r="E60" s="13" t="s">
        <v>39</v>
      </c>
      <c r="F60" s="13" t="s">
        <v>59</v>
      </c>
      <c r="G60" s="13" t="s">
        <v>61</v>
      </c>
      <c r="H60" s="14">
        <v>100</v>
      </c>
      <c r="I60" s="15">
        <v>16.5</v>
      </c>
      <c r="J60" s="16">
        <f t="shared" si="5"/>
        <v>1650</v>
      </c>
      <c r="K60" s="17">
        <v>46090</v>
      </c>
      <c r="L60" s="10">
        <v>250</v>
      </c>
      <c r="M60" s="18">
        <f t="shared" si="0"/>
        <v>100</v>
      </c>
      <c r="N60" s="19">
        <f t="shared" si="6"/>
        <v>150</v>
      </c>
      <c r="O60" s="10" t="str">
        <f t="shared" si="7"/>
        <v>INCOMPLETE</v>
      </c>
      <c r="P60" s="10"/>
      <c r="Q60" s="10" t="str">
        <f t="shared" si="2"/>
        <v>OK</v>
      </c>
    </row>
    <row r="61" spans="1:17" x14ac:dyDescent="0.3">
      <c r="A61" s="30" t="s">
        <v>194</v>
      </c>
      <c r="B61" s="13" t="s">
        <v>95</v>
      </c>
      <c r="C61" s="13" t="s">
        <v>399</v>
      </c>
      <c r="D61" s="13" t="s">
        <v>43</v>
      </c>
      <c r="E61" s="13" t="s">
        <v>43</v>
      </c>
      <c r="F61" s="13" t="s">
        <v>59</v>
      </c>
      <c r="G61" s="13" t="s">
        <v>61</v>
      </c>
      <c r="H61" s="14">
        <v>25</v>
      </c>
      <c r="I61" s="15">
        <v>16.5</v>
      </c>
      <c r="J61" s="16">
        <f t="shared" si="5"/>
        <v>412.5</v>
      </c>
      <c r="K61" s="17">
        <v>46098</v>
      </c>
      <c r="L61" s="10">
        <v>150</v>
      </c>
      <c r="M61" s="18">
        <f t="shared" si="0"/>
        <v>25</v>
      </c>
      <c r="N61" s="19">
        <f t="shared" si="6"/>
        <v>125</v>
      </c>
      <c r="O61" s="10" t="str">
        <f t="shared" si="7"/>
        <v>INCOMPLETE</v>
      </c>
      <c r="P61" s="10"/>
      <c r="Q61" s="10" t="str">
        <f t="shared" si="2"/>
        <v>OK</v>
      </c>
    </row>
    <row r="62" spans="1:17" x14ac:dyDescent="0.3">
      <c r="A62" s="30" t="s">
        <v>194</v>
      </c>
      <c r="B62" s="13" t="s">
        <v>95</v>
      </c>
      <c r="C62" s="13" t="s">
        <v>399</v>
      </c>
      <c r="D62" s="13" t="s">
        <v>47</v>
      </c>
      <c r="E62" s="13" t="s">
        <v>47</v>
      </c>
      <c r="F62" s="13" t="s">
        <v>59</v>
      </c>
      <c r="G62" s="13" t="s">
        <v>61</v>
      </c>
      <c r="H62" s="14">
        <v>125</v>
      </c>
      <c r="I62" s="15">
        <v>16.5</v>
      </c>
      <c r="J62" s="16">
        <f t="shared" si="5"/>
        <v>2062.5</v>
      </c>
      <c r="K62" s="17">
        <v>46133</v>
      </c>
      <c r="L62" s="10">
        <v>125</v>
      </c>
      <c r="M62" s="18">
        <f t="shared" si="0"/>
        <v>125</v>
      </c>
      <c r="N62" s="19">
        <f t="shared" si="6"/>
        <v>0</v>
      </c>
      <c r="O62" s="10" t="str">
        <f t="shared" si="7"/>
        <v>COMPLETE</v>
      </c>
      <c r="P62" s="10"/>
      <c r="Q62" s="10" t="str">
        <f t="shared" si="2"/>
        <v>OK</v>
      </c>
    </row>
    <row r="63" spans="1:17" x14ac:dyDescent="0.3">
      <c r="A63" s="53" t="s">
        <v>201</v>
      </c>
      <c r="B63" s="13" t="s">
        <v>50</v>
      </c>
      <c r="C63" s="13" t="s">
        <v>404</v>
      </c>
      <c r="D63" s="13" t="s">
        <v>325</v>
      </c>
      <c r="E63" s="13" t="s">
        <v>325</v>
      </c>
      <c r="F63" s="13" t="s">
        <v>56</v>
      </c>
      <c r="G63" s="13" t="s">
        <v>57</v>
      </c>
      <c r="H63" s="14">
        <v>150</v>
      </c>
      <c r="I63" s="15">
        <v>17.399999999999999</v>
      </c>
      <c r="J63" s="16">
        <f t="shared" si="5"/>
        <v>2610</v>
      </c>
      <c r="K63" s="17">
        <v>46091</v>
      </c>
      <c r="L63" s="10">
        <v>150</v>
      </c>
      <c r="M63" s="18">
        <f t="shared" si="0"/>
        <v>150</v>
      </c>
      <c r="N63" s="19">
        <f t="shared" si="6"/>
        <v>0</v>
      </c>
      <c r="O63" s="10" t="str">
        <f t="shared" si="7"/>
        <v>COMPLETE</v>
      </c>
      <c r="P63" s="10"/>
      <c r="Q63" s="10" t="str">
        <f t="shared" si="2"/>
        <v>OK</v>
      </c>
    </row>
    <row r="64" spans="1:17" x14ac:dyDescent="0.3">
      <c r="A64" s="53" t="s">
        <v>201</v>
      </c>
      <c r="B64" s="13" t="s">
        <v>50</v>
      </c>
      <c r="C64" s="13" t="s">
        <v>404</v>
      </c>
      <c r="D64" s="13" t="s">
        <v>325</v>
      </c>
      <c r="E64" s="13" t="s">
        <v>325</v>
      </c>
      <c r="F64" s="13" t="s">
        <v>59</v>
      </c>
      <c r="G64" s="13" t="s">
        <v>61</v>
      </c>
      <c r="H64" s="14">
        <v>50</v>
      </c>
      <c r="I64" s="15">
        <v>17.399999999999999</v>
      </c>
      <c r="J64" s="16">
        <f t="shared" si="5"/>
        <v>869.99999999999989</v>
      </c>
      <c r="K64" s="17">
        <v>46091</v>
      </c>
      <c r="L64" s="10">
        <v>150</v>
      </c>
      <c r="M64" s="18">
        <f t="shared" si="0"/>
        <v>50</v>
      </c>
      <c r="N64" s="19">
        <f t="shared" si="6"/>
        <v>100</v>
      </c>
      <c r="O64" s="10" t="str">
        <f t="shared" si="7"/>
        <v>INCOMPLETE</v>
      </c>
      <c r="P64" s="10"/>
      <c r="Q64" s="10" t="str">
        <f t="shared" si="2"/>
        <v>OK</v>
      </c>
    </row>
    <row r="65" spans="1:17" x14ac:dyDescent="0.3">
      <c r="A65" s="53" t="s">
        <v>201</v>
      </c>
      <c r="B65" s="13" t="s">
        <v>50</v>
      </c>
      <c r="C65" s="13" t="s">
        <v>404</v>
      </c>
      <c r="D65" s="13" t="s">
        <v>333</v>
      </c>
      <c r="E65" s="13" t="s">
        <v>333</v>
      </c>
      <c r="F65" s="13" t="s">
        <v>59</v>
      </c>
      <c r="G65" s="13" t="s">
        <v>61</v>
      </c>
      <c r="H65" s="14">
        <v>15</v>
      </c>
      <c r="I65" s="15">
        <v>17.399999999999999</v>
      </c>
      <c r="J65" s="16">
        <f t="shared" si="5"/>
        <v>261</v>
      </c>
      <c r="K65" s="17">
        <v>46106</v>
      </c>
      <c r="L65" s="10">
        <v>100</v>
      </c>
      <c r="M65" s="18">
        <f t="shared" si="0"/>
        <v>15</v>
      </c>
      <c r="N65" s="19">
        <f t="shared" si="6"/>
        <v>85</v>
      </c>
      <c r="O65" s="10" t="str">
        <f t="shared" si="7"/>
        <v>INCOMPLETE</v>
      </c>
      <c r="P65" s="10"/>
      <c r="Q65" s="10" t="str">
        <f t="shared" si="2"/>
        <v>OK</v>
      </c>
    </row>
    <row r="66" spans="1:17" x14ac:dyDescent="0.3">
      <c r="A66" s="53" t="s">
        <v>201</v>
      </c>
      <c r="B66" s="13" t="s">
        <v>50</v>
      </c>
      <c r="C66" s="13" t="s">
        <v>404</v>
      </c>
      <c r="D66" s="13" t="s">
        <v>333</v>
      </c>
      <c r="E66" s="13" t="s">
        <v>333</v>
      </c>
      <c r="F66" s="13" t="s">
        <v>60</v>
      </c>
      <c r="G66" s="13" t="s">
        <v>62</v>
      </c>
      <c r="H66" s="14">
        <v>4</v>
      </c>
      <c r="I66" s="15">
        <v>17.399999999999999</v>
      </c>
      <c r="J66" s="16">
        <f t="shared" si="5"/>
        <v>69.599999999999994</v>
      </c>
      <c r="K66" s="17">
        <v>46106</v>
      </c>
      <c r="L66" s="10">
        <v>150</v>
      </c>
      <c r="M66" s="18">
        <f t="shared" si="0"/>
        <v>4</v>
      </c>
      <c r="N66" s="19">
        <f t="shared" si="6"/>
        <v>146</v>
      </c>
      <c r="O66" s="10" t="str">
        <f t="shared" si="7"/>
        <v>INCOMPLETE</v>
      </c>
      <c r="P66" s="10"/>
      <c r="Q66" s="10" t="str">
        <f t="shared" si="2"/>
        <v>OK</v>
      </c>
    </row>
    <row r="67" spans="1:17" x14ac:dyDescent="0.3">
      <c r="A67" s="53" t="s">
        <v>201</v>
      </c>
      <c r="B67" s="13" t="s">
        <v>50</v>
      </c>
      <c r="C67" s="13" t="s">
        <v>404</v>
      </c>
      <c r="D67" s="13" t="s">
        <v>397</v>
      </c>
      <c r="E67" s="13" t="s">
        <v>397</v>
      </c>
      <c r="F67" s="13" t="s">
        <v>59</v>
      </c>
      <c r="G67" s="13" t="s">
        <v>61</v>
      </c>
      <c r="H67" s="14">
        <v>85</v>
      </c>
      <c r="I67" s="15">
        <v>17.399999999999999</v>
      </c>
      <c r="J67" s="16">
        <f t="shared" si="5"/>
        <v>1478.9999999999998</v>
      </c>
      <c r="K67" s="17">
        <v>46136</v>
      </c>
      <c r="L67" s="10">
        <v>85</v>
      </c>
      <c r="M67" s="18">
        <f t="shared" si="0"/>
        <v>85</v>
      </c>
      <c r="N67" s="19">
        <f t="shared" si="6"/>
        <v>0</v>
      </c>
      <c r="O67" s="10" t="str">
        <f t="shared" si="7"/>
        <v>COMPLETE</v>
      </c>
      <c r="P67" s="10"/>
      <c r="Q67" s="10" t="str">
        <f t="shared" si="2"/>
        <v>OK</v>
      </c>
    </row>
    <row r="68" spans="1:17" x14ac:dyDescent="0.3">
      <c r="A68" s="53" t="s">
        <v>201</v>
      </c>
      <c r="B68" s="13" t="s">
        <v>50</v>
      </c>
      <c r="C68" s="13" t="s">
        <v>404</v>
      </c>
      <c r="D68" s="13" t="s">
        <v>397</v>
      </c>
      <c r="E68" s="13" t="s">
        <v>397</v>
      </c>
      <c r="F68" s="13" t="s">
        <v>60</v>
      </c>
      <c r="G68" s="13" t="s">
        <v>62</v>
      </c>
      <c r="H68" s="14">
        <v>76</v>
      </c>
      <c r="I68" s="15">
        <v>17.399999999999999</v>
      </c>
      <c r="J68" s="16">
        <f t="shared" si="5"/>
        <v>1322.3999999999999</v>
      </c>
      <c r="K68" s="17">
        <v>46136</v>
      </c>
      <c r="L68" s="10">
        <v>146</v>
      </c>
      <c r="M68" s="18">
        <f t="shared" si="0"/>
        <v>76</v>
      </c>
      <c r="N68" s="19">
        <f t="shared" si="6"/>
        <v>70</v>
      </c>
      <c r="O68" s="10" t="str">
        <f t="shared" si="7"/>
        <v>INCOMPLETE</v>
      </c>
      <c r="P68" s="10"/>
      <c r="Q68" s="10" t="str">
        <f t="shared" si="2"/>
        <v>OK</v>
      </c>
    </row>
    <row r="69" spans="1:17" x14ac:dyDescent="0.3">
      <c r="A69" s="53">
        <v>24</v>
      </c>
      <c r="B69" s="13" t="s">
        <v>50</v>
      </c>
      <c r="C69" s="13" t="s">
        <v>404</v>
      </c>
      <c r="D69" s="13" t="s">
        <v>436</v>
      </c>
      <c r="E69" s="13" t="s">
        <v>436</v>
      </c>
      <c r="F69" s="13" t="s">
        <v>60</v>
      </c>
      <c r="G69" s="13" t="s">
        <v>62</v>
      </c>
      <c r="H69" s="14">
        <v>70</v>
      </c>
      <c r="I69" s="15">
        <v>17.399999999999999</v>
      </c>
      <c r="J69" s="16">
        <f t="shared" ref="J69" si="8">H69*I69</f>
        <v>1218</v>
      </c>
      <c r="K69" s="17">
        <v>46156</v>
      </c>
      <c r="L69" s="10">
        <v>70</v>
      </c>
      <c r="M69" s="18">
        <f t="shared" si="0"/>
        <v>70</v>
      </c>
      <c r="N69" s="19">
        <f t="shared" si="6"/>
        <v>0</v>
      </c>
      <c r="O69" s="10" t="str">
        <f t="shared" si="7"/>
        <v>COMPLETE</v>
      </c>
      <c r="P69" s="10"/>
      <c r="Q69" s="10" t="str">
        <f t="shared" si="2"/>
        <v>OK</v>
      </c>
    </row>
    <row r="70" spans="1:17" x14ac:dyDescent="0.3">
      <c r="A70" s="56" t="s">
        <v>203</v>
      </c>
      <c r="B70" s="13" t="s">
        <v>73</v>
      </c>
      <c r="C70" s="13" t="s">
        <v>416</v>
      </c>
      <c r="D70" s="13" t="s">
        <v>259</v>
      </c>
      <c r="E70" s="13" t="s">
        <v>259</v>
      </c>
      <c r="F70" s="13" t="s">
        <v>59</v>
      </c>
      <c r="G70" s="13" t="s">
        <v>61</v>
      </c>
      <c r="H70" s="14">
        <v>50</v>
      </c>
      <c r="I70" s="15">
        <v>23</v>
      </c>
      <c r="J70" s="16">
        <f t="shared" si="5"/>
        <v>1150</v>
      </c>
      <c r="K70" s="17">
        <v>46093</v>
      </c>
      <c r="L70" s="10">
        <v>50</v>
      </c>
      <c r="M70" s="18">
        <f t="shared" si="0"/>
        <v>50</v>
      </c>
      <c r="N70" s="19">
        <f t="shared" si="6"/>
        <v>0</v>
      </c>
      <c r="O70" s="10" t="str">
        <f t="shared" si="7"/>
        <v>COMPLETE</v>
      </c>
      <c r="P70" s="10"/>
      <c r="Q70" s="10" t="str">
        <f t="shared" si="2"/>
        <v>OK</v>
      </c>
    </row>
    <row r="71" spans="1:17" x14ac:dyDescent="0.3">
      <c r="A71" s="56" t="s">
        <v>203</v>
      </c>
      <c r="B71" s="13" t="s">
        <v>73</v>
      </c>
      <c r="C71" s="13" t="s">
        <v>416</v>
      </c>
      <c r="D71" s="13" t="s">
        <v>284</v>
      </c>
      <c r="E71" s="13" t="s">
        <v>282</v>
      </c>
      <c r="F71" s="13" t="s">
        <v>60</v>
      </c>
      <c r="G71" s="13" t="s">
        <v>62</v>
      </c>
      <c r="H71" s="14">
        <v>50</v>
      </c>
      <c r="I71" s="15">
        <v>23</v>
      </c>
      <c r="J71" s="16">
        <f t="shared" si="5"/>
        <v>1150</v>
      </c>
      <c r="K71" s="17">
        <v>46133</v>
      </c>
      <c r="L71" s="10">
        <v>50</v>
      </c>
      <c r="M71" s="18">
        <f t="shared" si="0"/>
        <v>50</v>
      </c>
      <c r="N71" s="19">
        <f t="shared" si="6"/>
        <v>0</v>
      </c>
      <c r="O71" s="10" t="str">
        <f t="shared" si="7"/>
        <v>COMPLETE</v>
      </c>
      <c r="P71" s="10"/>
      <c r="Q71" s="10" t="str">
        <f t="shared" si="2"/>
        <v>OK</v>
      </c>
    </row>
    <row r="72" spans="1:17" x14ac:dyDescent="0.3">
      <c r="A72" s="57" t="s">
        <v>205</v>
      </c>
      <c r="B72" s="13" t="s">
        <v>158</v>
      </c>
      <c r="C72" s="13" t="s">
        <v>440</v>
      </c>
      <c r="D72" s="13" t="s">
        <v>94</v>
      </c>
      <c r="E72" s="13" t="s">
        <v>94</v>
      </c>
      <c r="F72" s="13" t="s">
        <v>56</v>
      </c>
      <c r="G72" s="13" t="s">
        <v>57</v>
      </c>
      <c r="H72" s="14">
        <v>40</v>
      </c>
      <c r="I72" s="15">
        <v>22</v>
      </c>
      <c r="J72" s="16">
        <f t="shared" si="5"/>
        <v>880</v>
      </c>
      <c r="K72" s="17">
        <v>46098</v>
      </c>
      <c r="L72" s="10">
        <v>40</v>
      </c>
      <c r="M72" s="18">
        <f t="shared" si="0"/>
        <v>40</v>
      </c>
      <c r="N72" s="19">
        <f t="shared" si="6"/>
        <v>0</v>
      </c>
      <c r="O72" s="10" t="str">
        <f t="shared" si="7"/>
        <v>COMPLETE</v>
      </c>
      <c r="P72" s="10"/>
      <c r="Q72" s="10" t="str">
        <f t="shared" si="2"/>
        <v>OK</v>
      </c>
    </row>
    <row r="73" spans="1:17" x14ac:dyDescent="0.3">
      <c r="A73" s="57" t="s">
        <v>205</v>
      </c>
      <c r="B73" s="13" t="s">
        <v>158</v>
      </c>
      <c r="C73" s="13" t="s">
        <v>440</v>
      </c>
      <c r="D73" s="13" t="s">
        <v>94</v>
      </c>
      <c r="E73" s="13" t="s">
        <v>94</v>
      </c>
      <c r="F73" s="13" t="s">
        <v>59</v>
      </c>
      <c r="G73" s="13" t="s">
        <v>61</v>
      </c>
      <c r="H73" s="14">
        <v>20</v>
      </c>
      <c r="I73" s="15">
        <v>22</v>
      </c>
      <c r="J73" s="16">
        <f t="shared" si="5"/>
        <v>440</v>
      </c>
      <c r="K73" s="17">
        <v>46098</v>
      </c>
      <c r="L73" s="10">
        <v>40</v>
      </c>
      <c r="M73" s="18">
        <f t="shared" si="0"/>
        <v>20</v>
      </c>
      <c r="N73" s="19">
        <f t="shared" si="6"/>
        <v>20</v>
      </c>
      <c r="O73" s="10" t="str">
        <f t="shared" si="7"/>
        <v>INCOMPLETE</v>
      </c>
      <c r="P73" s="10"/>
      <c r="Q73" s="10" t="str">
        <f t="shared" si="2"/>
        <v>OK</v>
      </c>
    </row>
    <row r="74" spans="1:17" x14ac:dyDescent="0.3">
      <c r="A74" s="57" t="s">
        <v>205</v>
      </c>
      <c r="B74" s="13" t="s">
        <v>158</v>
      </c>
      <c r="C74" s="13" t="s">
        <v>440</v>
      </c>
      <c r="D74" s="13" t="s">
        <v>94</v>
      </c>
      <c r="E74" s="13" t="s">
        <v>94</v>
      </c>
      <c r="F74" s="13" t="s">
        <v>60</v>
      </c>
      <c r="G74" s="13" t="s">
        <v>62</v>
      </c>
      <c r="H74" s="14">
        <v>10</v>
      </c>
      <c r="I74" s="15">
        <v>22</v>
      </c>
      <c r="J74" s="16">
        <f t="shared" si="5"/>
        <v>220</v>
      </c>
      <c r="K74" s="17">
        <v>46098</v>
      </c>
      <c r="L74" s="10">
        <v>50</v>
      </c>
      <c r="M74" s="18">
        <f t="shared" si="0"/>
        <v>10</v>
      </c>
      <c r="N74" s="19">
        <f t="shared" si="6"/>
        <v>40</v>
      </c>
      <c r="O74" s="10" t="str">
        <f t="shared" si="7"/>
        <v>INCOMPLETE</v>
      </c>
      <c r="P74" s="10"/>
      <c r="Q74" s="10" t="str">
        <f t="shared" si="2"/>
        <v>OK</v>
      </c>
    </row>
    <row r="75" spans="1:17" x14ac:dyDescent="0.3">
      <c r="A75" s="57" t="s">
        <v>205</v>
      </c>
      <c r="B75" s="13" t="s">
        <v>158</v>
      </c>
      <c r="C75" s="13" t="s">
        <v>440</v>
      </c>
      <c r="D75" s="13" t="s">
        <v>133</v>
      </c>
      <c r="E75" s="13" t="s">
        <v>133</v>
      </c>
      <c r="F75" s="13" t="s">
        <v>59</v>
      </c>
      <c r="G75" s="13" t="s">
        <v>61</v>
      </c>
      <c r="H75" s="14">
        <v>20</v>
      </c>
      <c r="I75" s="15">
        <v>22</v>
      </c>
      <c r="J75" s="16">
        <f t="shared" si="5"/>
        <v>440</v>
      </c>
      <c r="K75" s="17">
        <v>46133</v>
      </c>
      <c r="L75" s="10">
        <v>20</v>
      </c>
      <c r="M75" s="18">
        <f t="shared" si="0"/>
        <v>20</v>
      </c>
      <c r="N75" s="19">
        <f t="shared" si="6"/>
        <v>0</v>
      </c>
      <c r="O75" s="10" t="str">
        <f t="shared" si="7"/>
        <v>COMPLETE</v>
      </c>
      <c r="P75" s="10"/>
      <c r="Q75" s="10" t="str">
        <f t="shared" si="2"/>
        <v>OK</v>
      </c>
    </row>
    <row r="76" spans="1:17" x14ac:dyDescent="0.3">
      <c r="A76" s="57" t="s">
        <v>205</v>
      </c>
      <c r="B76" s="13" t="s">
        <v>158</v>
      </c>
      <c r="C76" s="13" t="s">
        <v>440</v>
      </c>
      <c r="D76" s="13" t="s">
        <v>133</v>
      </c>
      <c r="E76" s="13" t="s">
        <v>133</v>
      </c>
      <c r="F76" s="13" t="s">
        <v>60</v>
      </c>
      <c r="G76" s="13" t="s">
        <v>62</v>
      </c>
      <c r="H76" s="14">
        <v>40</v>
      </c>
      <c r="I76" s="15">
        <v>22</v>
      </c>
      <c r="J76" s="16">
        <f t="shared" si="5"/>
        <v>880</v>
      </c>
      <c r="K76" s="17">
        <v>46133</v>
      </c>
      <c r="L76" s="10">
        <v>40</v>
      </c>
      <c r="M76" s="18">
        <f t="shared" si="0"/>
        <v>40</v>
      </c>
      <c r="N76" s="19">
        <f t="shared" si="6"/>
        <v>0</v>
      </c>
      <c r="O76" s="10" t="str">
        <f t="shared" si="7"/>
        <v>COMPLETE</v>
      </c>
      <c r="P76" s="10"/>
      <c r="Q76" s="10" t="str">
        <f t="shared" si="2"/>
        <v>OK</v>
      </c>
    </row>
    <row r="77" spans="1:17" x14ac:dyDescent="0.3">
      <c r="A77" s="50" t="s">
        <v>210</v>
      </c>
      <c r="B77" s="13" t="s">
        <v>73</v>
      </c>
      <c r="C77" s="13" t="s">
        <v>442</v>
      </c>
      <c r="D77" s="13" t="s">
        <v>269</v>
      </c>
      <c r="E77" s="13" t="s">
        <v>269</v>
      </c>
      <c r="F77" s="13" t="s">
        <v>59</v>
      </c>
      <c r="G77" s="13" t="s">
        <v>61</v>
      </c>
      <c r="H77" s="14">
        <v>25</v>
      </c>
      <c r="I77" s="15">
        <v>23</v>
      </c>
      <c r="J77" s="16">
        <f t="shared" si="5"/>
        <v>575</v>
      </c>
      <c r="K77" s="17">
        <v>46098</v>
      </c>
      <c r="L77" s="10">
        <v>50</v>
      </c>
      <c r="M77" s="18">
        <f t="shared" si="0"/>
        <v>25</v>
      </c>
      <c r="N77" s="19">
        <f t="shared" si="6"/>
        <v>25</v>
      </c>
      <c r="O77" s="10" t="str">
        <f t="shared" si="7"/>
        <v>INCOMPLETE</v>
      </c>
      <c r="P77" s="10"/>
      <c r="Q77" s="10" t="str">
        <f t="shared" si="2"/>
        <v>OK</v>
      </c>
    </row>
    <row r="78" spans="1:17" x14ac:dyDescent="0.3">
      <c r="A78" s="50" t="s">
        <v>210</v>
      </c>
      <c r="B78" s="13" t="s">
        <v>73</v>
      </c>
      <c r="C78" s="13" t="s">
        <v>442</v>
      </c>
      <c r="D78" s="13" t="s">
        <v>271</v>
      </c>
      <c r="E78" s="13" t="s">
        <v>271</v>
      </c>
      <c r="F78" s="13" t="s">
        <v>59</v>
      </c>
      <c r="G78" s="13" t="s">
        <v>61</v>
      </c>
      <c r="H78" s="14">
        <v>20</v>
      </c>
      <c r="I78" s="15">
        <v>23</v>
      </c>
      <c r="J78" s="16">
        <f t="shared" si="5"/>
        <v>460</v>
      </c>
      <c r="K78" s="17">
        <v>46106</v>
      </c>
      <c r="L78" s="10">
        <v>25</v>
      </c>
      <c r="M78" s="18">
        <f t="shared" si="0"/>
        <v>20</v>
      </c>
      <c r="N78" s="19">
        <f t="shared" si="6"/>
        <v>5</v>
      </c>
      <c r="O78" s="10" t="str">
        <f t="shared" si="7"/>
        <v>INCOMPLETE</v>
      </c>
      <c r="P78" s="10"/>
      <c r="Q78" s="10" t="str">
        <f t="shared" si="2"/>
        <v>OK</v>
      </c>
    </row>
    <row r="79" spans="1:17" x14ac:dyDescent="0.3">
      <c r="A79" s="50" t="s">
        <v>210</v>
      </c>
      <c r="B79" s="13" t="s">
        <v>73</v>
      </c>
      <c r="C79" s="13" t="s">
        <v>442</v>
      </c>
      <c r="D79" s="13" t="s">
        <v>274</v>
      </c>
      <c r="E79" s="13" t="s">
        <v>274</v>
      </c>
      <c r="F79" s="13" t="s">
        <v>59</v>
      </c>
      <c r="G79" s="13" t="s">
        <v>61</v>
      </c>
      <c r="H79" s="14">
        <v>5</v>
      </c>
      <c r="I79" s="15">
        <v>23</v>
      </c>
      <c r="J79" s="16">
        <f t="shared" si="5"/>
        <v>115</v>
      </c>
      <c r="K79" s="17">
        <v>46113</v>
      </c>
      <c r="L79" s="10">
        <v>5</v>
      </c>
      <c r="M79" s="18">
        <f t="shared" si="0"/>
        <v>5</v>
      </c>
      <c r="N79" s="19">
        <f t="shared" si="6"/>
        <v>0</v>
      </c>
      <c r="O79" s="10" t="str">
        <f t="shared" si="7"/>
        <v>COMPLETE</v>
      </c>
      <c r="P79" s="10"/>
      <c r="Q79" s="10" t="str">
        <f t="shared" si="2"/>
        <v>OK</v>
      </c>
    </row>
    <row r="80" spans="1:17" x14ac:dyDescent="0.3">
      <c r="A80" s="31" t="s">
        <v>212</v>
      </c>
      <c r="B80" s="13" t="s">
        <v>50</v>
      </c>
      <c r="C80" s="13" t="s">
        <v>477</v>
      </c>
      <c r="D80" s="13" t="s">
        <v>343</v>
      </c>
      <c r="E80" s="13" t="s">
        <v>343</v>
      </c>
      <c r="F80" s="13" t="s">
        <v>106</v>
      </c>
      <c r="G80" s="13" t="s">
        <v>107</v>
      </c>
      <c r="H80" s="14">
        <v>20</v>
      </c>
      <c r="I80" s="15">
        <v>17.399999999999999</v>
      </c>
      <c r="J80" s="16">
        <f t="shared" si="5"/>
        <v>348</v>
      </c>
      <c r="K80" s="17">
        <v>46111</v>
      </c>
      <c r="L80" s="10">
        <v>120</v>
      </c>
      <c r="M80" s="18">
        <f t="shared" si="0"/>
        <v>20</v>
      </c>
      <c r="N80" s="19">
        <f t="shared" si="6"/>
        <v>100</v>
      </c>
      <c r="O80" s="10" t="str">
        <f t="shared" si="7"/>
        <v>INCOMPLETE</v>
      </c>
      <c r="P80" s="10"/>
      <c r="Q80" s="10" t="str">
        <f t="shared" si="2"/>
        <v>OK</v>
      </c>
    </row>
    <row r="81" spans="1:17" x14ac:dyDescent="0.3">
      <c r="A81" s="31" t="s">
        <v>212</v>
      </c>
      <c r="B81" s="13" t="s">
        <v>50</v>
      </c>
      <c r="C81" s="13" t="s">
        <v>477</v>
      </c>
      <c r="D81" s="13" t="s">
        <v>343</v>
      </c>
      <c r="E81" s="13" t="s">
        <v>343</v>
      </c>
      <c r="F81" s="13" t="s">
        <v>56</v>
      </c>
      <c r="G81" s="13" t="s">
        <v>57</v>
      </c>
      <c r="H81" s="14">
        <v>100</v>
      </c>
      <c r="I81" s="15">
        <v>17.399999999999999</v>
      </c>
      <c r="J81" s="16">
        <f t="shared" si="5"/>
        <v>1739.9999999999998</v>
      </c>
      <c r="K81" s="17">
        <v>46111</v>
      </c>
      <c r="L81" s="10">
        <v>250</v>
      </c>
      <c r="M81" s="18">
        <f t="shared" ref="M81:M111" si="9">H81</f>
        <v>100</v>
      </c>
      <c r="N81" s="19">
        <f t="shared" si="6"/>
        <v>150</v>
      </c>
      <c r="O81" s="10" t="str">
        <f t="shared" si="7"/>
        <v>INCOMPLETE</v>
      </c>
      <c r="P81" s="10"/>
      <c r="Q81" s="10" t="str">
        <f t="shared" ref="Q81:Q111" si="10">IF(M81=H81,"OK","X")</f>
        <v>OK</v>
      </c>
    </row>
    <row r="82" spans="1:17" x14ac:dyDescent="0.3">
      <c r="A82" s="31" t="s">
        <v>212</v>
      </c>
      <c r="B82" s="13" t="s">
        <v>50</v>
      </c>
      <c r="C82" s="13" t="s">
        <v>477</v>
      </c>
      <c r="D82" s="13" t="s">
        <v>382</v>
      </c>
      <c r="E82" s="13" t="s">
        <v>382</v>
      </c>
      <c r="F82" s="13" t="s">
        <v>106</v>
      </c>
      <c r="G82" s="13" t="s">
        <v>107</v>
      </c>
      <c r="H82" s="14">
        <v>60</v>
      </c>
      <c r="I82" s="15">
        <v>17.399999999999999</v>
      </c>
      <c r="J82" s="16">
        <f t="shared" si="5"/>
        <v>1044</v>
      </c>
      <c r="K82" s="17">
        <v>46133</v>
      </c>
      <c r="L82" s="10">
        <v>100</v>
      </c>
      <c r="M82" s="18">
        <f t="shared" si="9"/>
        <v>60</v>
      </c>
      <c r="N82" s="19">
        <f t="shared" si="6"/>
        <v>40</v>
      </c>
      <c r="O82" s="10" t="str">
        <f t="shared" si="7"/>
        <v>INCOMPLETE</v>
      </c>
      <c r="P82" s="10"/>
      <c r="Q82" s="10" t="str">
        <f t="shared" si="10"/>
        <v>OK</v>
      </c>
    </row>
    <row r="83" spans="1:17" x14ac:dyDescent="0.3">
      <c r="A83" s="31" t="s">
        <v>212</v>
      </c>
      <c r="B83" s="13" t="s">
        <v>50</v>
      </c>
      <c r="C83" s="13" t="s">
        <v>477</v>
      </c>
      <c r="D83" s="13" t="s">
        <v>382</v>
      </c>
      <c r="E83" s="13" t="s">
        <v>382</v>
      </c>
      <c r="F83" s="13" t="s">
        <v>56</v>
      </c>
      <c r="G83" s="13" t="s">
        <v>57</v>
      </c>
      <c r="H83" s="14">
        <v>100</v>
      </c>
      <c r="I83" s="15">
        <v>17.399999999999999</v>
      </c>
      <c r="J83" s="16">
        <f t="shared" si="5"/>
        <v>1739.9999999999998</v>
      </c>
      <c r="K83" s="17">
        <v>46133</v>
      </c>
      <c r="L83" s="10">
        <v>150</v>
      </c>
      <c r="M83" s="18">
        <f t="shared" si="9"/>
        <v>100</v>
      </c>
      <c r="N83" s="19">
        <f t="shared" si="6"/>
        <v>50</v>
      </c>
      <c r="O83" s="10" t="str">
        <f t="shared" si="7"/>
        <v>INCOMPLETE</v>
      </c>
      <c r="P83" s="10"/>
      <c r="Q83" s="10" t="str">
        <f t="shared" si="10"/>
        <v>OK</v>
      </c>
    </row>
    <row r="84" spans="1:17" x14ac:dyDescent="0.3">
      <c r="A84" s="31" t="s">
        <v>212</v>
      </c>
      <c r="B84" s="13" t="s">
        <v>50</v>
      </c>
      <c r="C84" s="13" t="s">
        <v>477</v>
      </c>
      <c r="D84" s="13" t="s">
        <v>382</v>
      </c>
      <c r="E84" s="13" t="s">
        <v>382</v>
      </c>
      <c r="F84" s="13" t="s">
        <v>59</v>
      </c>
      <c r="G84" s="13" t="s">
        <v>61</v>
      </c>
      <c r="H84" s="14">
        <v>100</v>
      </c>
      <c r="I84" s="15">
        <v>17.399999999999999</v>
      </c>
      <c r="J84" s="16">
        <f t="shared" si="5"/>
        <v>1739.9999999999998</v>
      </c>
      <c r="K84" s="17">
        <v>46133</v>
      </c>
      <c r="L84" s="10">
        <v>400</v>
      </c>
      <c r="M84" s="18">
        <f t="shared" si="9"/>
        <v>100</v>
      </c>
      <c r="N84" s="19">
        <f t="shared" si="6"/>
        <v>300</v>
      </c>
      <c r="O84" s="10" t="str">
        <f t="shared" si="7"/>
        <v>INCOMPLETE</v>
      </c>
      <c r="P84" s="10"/>
      <c r="Q84" s="10" t="str">
        <f t="shared" si="10"/>
        <v>OK</v>
      </c>
    </row>
    <row r="85" spans="1:17" ht="14.25" customHeight="1" x14ac:dyDescent="0.3">
      <c r="A85" s="31" t="s">
        <v>212</v>
      </c>
      <c r="B85" s="13" t="s">
        <v>50</v>
      </c>
      <c r="C85" s="13" t="s">
        <v>477</v>
      </c>
      <c r="D85" s="13" t="s">
        <v>382</v>
      </c>
      <c r="E85" s="13" t="s">
        <v>382</v>
      </c>
      <c r="F85" s="13" t="s">
        <v>60</v>
      </c>
      <c r="G85" s="13" t="s">
        <v>62</v>
      </c>
      <c r="H85" s="14">
        <v>100</v>
      </c>
      <c r="I85" s="15">
        <v>17.399999999999999</v>
      </c>
      <c r="J85" s="16">
        <f t="shared" si="5"/>
        <v>1739.9999999999998</v>
      </c>
      <c r="K85" s="17">
        <v>46133</v>
      </c>
      <c r="L85" s="10">
        <v>400</v>
      </c>
      <c r="M85" s="18">
        <f t="shared" si="9"/>
        <v>100</v>
      </c>
      <c r="N85" s="19">
        <f t="shared" si="6"/>
        <v>300</v>
      </c>
      <c r="O85" s="10" t="str">
        <f t="shared" si="7"/>
        <v>INCOMPLETE</v>
      </c>
      <c r="P85" s="10"/>
      <c r="Q85" s="10" t="str">
        <f t="shared" si="10"/>
        <v>OK</v>
      </c>
    </row>
    <row r="86" spans="1:17" ht="14.25" customHeight="1" x14ac:dyDescent="0.3">
      <c r="A86" s="31" t="s">
        <v>212</v>
      </c>
      <c r="B86" s="13" t="s">
        <v>50</v>
      </c>
      <c r="C86" s="13" t="s">
        <v>477</v>
      </c>
      <c r="D86" s="13" t="s">
        <v>447</v>
      </c>
      <c r="E86" s="13" t="s">
        <v>447</v>
      </c>
      <c r="F86" s="13" t="s">
        <v>106</v>
      </c>
      <c r="G86" s="13" t="s">
        <v>107</v>
      </c>
      <c r="H86" s="14">
        <v>40</v>
      </c>
      <c r="I86" s="15">
        <v>17.399999999999999</v>
      </c>
      <c r="J86" s="16">
        <f t="shared" si="5"/>
        <v>696</v>
      </c>
      <c r="K86" s="17">
        <v>46156</v>
      </c>
      <c r="L86" s="10">
        <v>40</v>
      </c>
      <c r="M86" s="18">
        <f t="shared" si="9"/>
        <v>40</v>
      </c>
      <c r="N86" s="19">
        <f t="shared" si="6"/>
        <v>0</v>
      </c>
      <c r="O86" s="10" t="str">
        <f t="shared" si="7"/>
        <v>COMPLETE</v>
      </c>
      <c r="P86" s="10"/>
      <c r="Q86" s="10" t="str">
        <f t="shared" si="10"/>
        <v>OK</v>
      </c>
    </row>
    <row r="87" spans="1:17" ht="14.25" customHeight="1" x14ac:dyDescent="0.3">
      <c r="A87" s="31" t="s">
        <v>212</v>
      </c>
      <c r="B87" s="13" t="s">
        <v>50</v>
      </c>
      <c r="C87" s="13" t="s">
        <v>477</v>
      </c>
      <c r="D87" s="13" t="s">
        <v>447</v>
      </c>
      <c r="E87" s="13" t="s">
        <v>447</v>
      </c>
      <c r="F87" s="13" t="s">
        <v>56</v>
      </c>
      <c r="G87" s="13" t="s">
        <v>57</v>
      </c>
      <c r="H87" s="14">
        <v>50</v>
      </c>
      <c r="I87" s="15">
        <v>17.399999999999999</v>
      </c>
      <c r="J87" s="16">
        <f t="shared" si="5"/>
        <v>869.99999999999989</v>
      </c>
      <c r="K87" s="17">
        <v>46156</v>
      </c>
      <c r="L87" s="10">
        <v>50</v>
      </c>
      <c r="M87" s="18">
        <f t="shared" si="9"/>
        <v>50</v>
      </c>
      <c r="N87" s="19">
        <f t="shared" si="6"/>
        <v>0</v>
      </c>
      <c r="O87" s="10" t="str">
        <f t="shared" si="7"/>
        <v>COMPLETE</v>
      </c>
      <c r="P87" s="10"/>
      <c r="Q87" s="10" t="str">
        <f t="shared" si="10"/>
        <v>OK</v>
      </c>
    </row>
    <row r="88" spans="1:17" ht="14.25" customHeight="1" x14ac:dyDescent="0.3">
      <c r="A88" s="31" t="s">
        <v>212</v>
      </c>
      <c r="B88" s="13" t="s">
        <v>50</v>
      </c>
      <c r="C88" s="13" t="s">
        <v>477</v>
      </c>
      <c r="D88" s="13" t="s">
        <v>447</v>
      </c>
      <c r="E88" s="13" t="s">
        <v>447</v>
      </c>
      <c r="F88" s="13" t="s">
        <v>59</v>
      </c>
      <c r="G88" s="13" t="s">
        <v>61</v>
      </c>
      <c r="H88" s="14">
        <v>100</v>
      </c>
      <c r="I88" s="15">
        <v>17.399999999999999</v>
      </c>
      <c r="J88" s="16">
        <f t="shared" si="5"/>
        <v>1739.9999999999998</v>
      </c>
      <c r="K88" s="17">
        <v>46156</v>
      </c>
      <c r="L88" s="10">
        <v>300</v>
      </c>
      <c r="M88" s="18">
        <f t="shared" si="9"/>
        <v>100</v>
      </c>
      <c r="N88" s="19">
        <f t="shared" si="6"/>
        <v>200</v>
      </c>
      <c r="O88" s="10" t="str">
        <f t="shared" si="7"/>
        <v>INCOMPLETE</v>
      </c>
      <c r="P88" s="10"/>
      <c r="Q88" s="10" t="str">
        <f t="shared" si="10"/>
        <v>OK</v>
      </c>
    </row>
    <row r="89" spans="1:17" ht="14.25" customHeight="1" x14ac:dyDescent="0.3">
      <c r="A89" s="31" t="s">
        <v>212</v>
      </c>
      <c r="B89" s="13" t="s">
        <v>50</v>
      </c>
      <c r="C89" s="13" t="s">
        <v>477</v>
      </c>
      <c r="D89" s="13" t="s">
        <v>447</v>
      </c>
      <c r="E89" s="13" t="s">
        <v>447</v>
      </c>
      <c r="F89" s="13" t="s">
        <v>60</v>
      </c>
      <c r="G89" s="13" t="s">
        <v>62</v>
      </c>
      <c r="H89" s="14">
        <v>300</v>
      </c>
      <c r="I89" s="15">
        <v>17.399999999999999</v>
      </c>
      <c r="J89" s="16">
        <f t="shared" si="5"/>
        <v>5220</v>
      </c>
      <c r="K89" s="17">
        <v>46156</v>
      </c>
      <c r="L89" s="10">
        <v>300</v>
      </c>
      <c r="M89" s="18">
        <f t="shared" si="9"/>
        <v>300</v>
      </c>
      <c r="N89" s="19">
        <f t="shared" si="6"/>
        <v>0</v>
      </c>
      <c r="O89" s="10" t="str">
        <f t="shared" si="7"/>
        <v>COMPLETE</v>
      </c>
      <c r="P89" s="10"/>
      <c r="Q89" s="10" t="str">
        <f t="shared" si="10"/>
        <v>OK</v>
      </c>
    </row>
    <row r="90" spans="1:17" x14ac:dyDescent="0.3">
      <c r="A90" s="10" t="s">
        <v>214</v>
      </c>
      <c r="B90" s="13" t="s">
        <v>73</v>
      </c>
      <c r="C90" s="13" t="s">
        <v>482</v>
      </c>
      <c r="D90" s="13" t="s">
        <v>272</v>
      </c>
      <c r="E90" s="13" t="s">
        <v>272</v>
      </c>
      <c r="F90" s="13" t="s">
        <v>59</v>
      </c>
      <c r="G90" s="13" t="s">
        <v>61</v>
      </c>
      <c r="H90" s="14">
        <v>15</v>
      </c>
      <c r="I90" s="15">
        <v>23</v>
      </c>
      <c r="J90" s="16">
        <f t="shared" si="5"/>
        <v>345</v>
      </c>
      <c r="K90" s="17">
        <v>46112</v>
      </c>
      <c r="L90" s="10">
        <v>15</v>
      </c>
      <c r="M90" s="18">
        <f t="shared" si="9"/>
        <v>15</v>
      </c>
      <c r="N90" s="19">
        <f t="shared" si="6"/>
        <v>0</v>
      </c>
      <c r="O90" s="10" t="str">
        <f t="shared" si="7"/>
        <v>COMPLETE</v>
      </c>
      <c r="P90" s="10"/>
      <c r="Q90" s="10" t="str">
        <f t="shared" si="10"/>
        <v>OK</v>
      </c>
    </row>
    <row r="91" spans="1:17" x14ac:dyDescent="0.3">
      <c r="A91" s="38" t="s">
        <v>215</v>
      </c>
      <c r="B91" s="13" t="s">
        <v>158</v>
      </c>
      <c r="C91" s="13" t="s">
        <v>513</v>
      </c>
      <c r="D91" s="13" t="s">
        <v>135</v>
      </c>
      <c r="E91" s="13" t="s">
        <v>135</v>
      </c>
      <c r="F91" s="13" t="s">
        <v>56</v>
      </c>
      <c r="G91" s="13" t="s">
        <v>57</v>
      </c>
      <c r="H91" s="14">
        <v>30</v>
      </c>
      <c r="I91" s="15">
        <v>22</v>
      </c>
      <c r="J91" s="16">
        <f t="shared" si="5"/>
        <v>660</v>
      </c>
      <c r="K91" s="17">
        <v>46119</v>
      </c>
      <c r="L91" s="10">
        <v>30</v>
      </c>
      <c r="M91" s="18">
        <f t="shared" si="9"/>
        <v>30</v>
      </c>
      <c r="N91" s="19">
        <f t="shared" si="6"/>
        <v>0</v>
      </c>
      <c r="O91" s="10" t="str">
        <f t="shared" si="7"/>
        <v>COMPLETE</v>
      </c>
      <c r="P91" s="10"/>
      <c r="Q91" s="10" t="str">
        <f t="shared" si="10"/>
        <v>OK</v>
      </c>
    </row>
    <row r="92" spans="1:17" x14ac:dyDescent="0.3">
      <c r="A92" s="38" t="s">
        <v>215</v>
      </c>
      <c r="B92" s="13" t="s">
        <v>158</v>
      </c>
      <c r="C92" s="13" t="s">
        <v>513</v>
      </c>
      <c r="D92" s="13" t="s">
        <v>135</v>
      </c>
      <c r="E92" s="13" t="s">
        <v>135</v>
      </c>
      <c r="F92" s="13" t="s">
        <v>59</v>
      </c>
      <c r="G92" s="13" t="s">
        <v>61</v>
      </c>
      <c r="H92" s="14">
        <v>8</v>
      </c>
      <c r="I92" s="15">
        <v>22</v>
      </c>
      <c r="J92" s="16">
        <f t="shared" si="5"/>
        <v>176</v>
      </c>
      <c r="K92" s="17">
        <v>46119</v>
      </c>
      <c r="L92" s="10">
        <v>30</v>
      </c>
      <c r="M92" s="18">
        <f t="shared" si="9"/>
        <v>8</v>
      </c>
      <c r="N92" s="19">
        <f t="shared" si="6"/>
        <v>22</v>
      </c>
      <c r="O92" s="10" t="str">
        <f t="shared" si="7"/>
        <v>INCOMPLETE</v>
      </c>
      <c r="P92" s="10"/>
      <c r="Q92" s="10" t="str">
        <f t="shared" si="10"/>
        <v>OK</v>
      </c>
    </row>
    <row r="93" spans="1:17" x14ac:dyDescent="0.3">
      <c r="A93" s="38" t="s">
        <v>215</v>
      </c>
      <c r="B93" s="13" t="s">
        <v>158</v>
      </c>
      <c r="C93" s="13" t="s">
        <v>513</v>
      </c>
      <c r="D93" s="13" t="s">
        <v>165</v>
      </c>
      <c r="E93" s="13" t="s">
        <v>165</v>
      </c>
      <c r="F93" s="13" t="s">
        <v>59</v>
      </c>
      <c r="G93" s="13" t="s">
        <v>61</v>
      </c>
      <c r="H93" s="14">
        <v>22</v>
      </c>
      <c r="I93" s="15">
        <v>22</v>
      </c>
      <c r="J93" s="16">
        <f t="shared" si="5"/>
        <v>484</v>
      </c>
      <c r="K93" s="17">
        <v>46133</v>
      </c>
      <c r="L93" s="10">
        <v>22</v>
      </c>
      <c r="M93" s="18">
        <f t="shared" si="9"/>
        <v>22</v>
      </c>
      <c r="N93" s="19">
        <f t="shared" si="6"/>
        <v>0</v>
      </c>
      <c r="O93" s="10" t="str">
        <f t="shared" si="7"/>
        <v>COMPLETE</v>
      </c>
      <c r="P93" s="10"/>
      <c r="Q93" s="10" t="str">
        <f t="shared" si="10"/>
        <v>OK</v>
      </c>
    </row>
    <row r="94" spans="1:17" x14ac:dyDescent="0.3">
      <c r="A94" s="38" t="s">
        <v>215</v>
      </c>
      <c r="B94" s="13" t="s">
        <v>158</v>
      </c>
      <c r="C94" s="13" t="s">
        <v>513</v>
      </c>
      <c r="D94" s="13" t="s">
        <v>165</v>
      </c>
      <c r="E94" s="13" t="s">
        <v>165</v>
      </c>
      <c r="F94" s="13" t="s">
        <v>60</v>
      </c>
      <c r="G94" s="13" t="s">
        <v>62</v>
      </c>
      <c r="H94" s="14">
        <v>50</v>
      </c>
      <c r="I94" s="15">
        <v>22</v>
      </c>
      <c r="J94" s="16">
        <f t="shared" si="5"/>
        <v>1100</v>
      </c>
      <c r="K94" s="17">
        <v>46133</v>
      </c>
      <c r="L94" s="10">
        <v>50</v>
      </c>
      <c r="M94" s="18">
        <f t="shared" si="9"/>
        <v>50</v>
      </c>
      <c r="N94" s="19">
        <f t="shared" si="6"/>
        <v>0</v>
      </c>
      <c r="O94" s="10" t="str">
        <f t="shared" si="7"/>
        <v>COMPLETE</v>
      </c>
      <c r="P94" s="10"/>
      <c r="Q94" s="10" t="str">
        <f t="shared" si="10"/>
        <v>OK</v>
      </c>
    </row>
    <row r="95" spans="1:17" x14ac:dyDescent="0.3">
      <c r="A95" s="36" t="s">
        <v>220</v>
      </c>
      <c r="B95" s="13" t="s">
        <v>218</v>
      </c>
      <c r="C95" s="13" t="s">
        <v>563</v>
      </c>
      <c r="D95" s="13" t="s">
        <v>207</v>
      </c>
      <c r="E95" s="13" t="s">
        <v>207</v>
      </c>
      <c r="F95" s="13" t="s">
        <v>106</v>
      </c>
      <c r="G95" s="13" t="s">
        <v>107</v>
      </c>
      <c r="H95" s="14">
        <v>37</v>
      </c>
      <c r="I95" s="15">
        <v>18</v>
      </c>
      <c r="J95" s="16">
        <f t="shared" si="5"/>
        <v>666</v>
      </c>
      <c r="K95" s="17">
        <v>46127</v>
      </c>
      <c r="L95" s="10">
        <v>100</v>
      </c>
      <c r="M95" s="18">
        <f t="shared" si="9"/>
        <v>37</v>
      </c>
      <c r="N95" s="19">
        <f t="shared" si="6"/>
        <v>63</v>
      </c>
      <c r="O95" s="10" t="str">
        <f t="shared" si="7"/>
        <v>INCOMPLETE</v>
      </c>
      <c r="P95" s="10"/>
      <c r="Q95" s="10" t="str">
        <f t="shared" si="10"/>
        <v>OK</v>
      </c>
    </row>
    <row r="96" spans="1:17" x14ac:dyDescent="0.3">
      <c r="A96" s="36" t="s">
        <v>220</v>
      </c>
      <c r="B96" s="13" t="s">
        <v>218</v>
      </c>
      <c r="C96" s="13" t="s">
        <v>563</v>
      </c>
      <c r="D96" s="13" t="s">
        <v>207</v>
      </c>
      <c r="E96" s="13" t="s">
        <v>207</v>
      </c>
      <c r="F96" s="13" t="s">
        <v>56</v>
      </c>
      <c r="G96" s="13" t="s">
        <v>57</v>
      </c>
      <c r="H96" s="14">
        <v>150</v>
      </c>
      <c r="I96" s="15">
        <v>18</v>
      </c>
      <c r="J96" s="16">
        <f t="shared" si="5"/>
        <v>2700</v>
      </c>
      <c r="K96" s="17">
        <v>46127</v>
      </c>
      <c r="L96" s="10">
        <v>300</v>
      </c>
      <c r="M96" s="18">
        <f t="shared" si="9"/>
        <v>150</v>
      </c>
      <c r="N96" s="19">
        <f t="shared" si="6"/>
        <v>150</v>
      </c>
      <c r="O96" s="10" t="str">
        <f t="shared" si="7"/>
        <v>INCOMPLETE</v>
      </c>
      <c r="P96" s="10"/>
      <c r="Q96" s="10" t="str">
        <f t="shared" si="10"/>
        <v>OK</v>
      </c>
    </row>
    <row r="97" spans="1:17" x14ac:dyDescent="0.3">
      <c r="A97" s="36" t="s">
        <v>220</v>
      </c>
      <c r="B97" s="13" t="s">
        <v>218</v>
      </c>
      <c r="C97" s="13" t="s">
        <v>563</v>
      </c>
      <c r="D97" s="13" t="s">
        <v>259</v>
      </c>
      <c r="E97" s="13" t="s">
        <v>259</v>
      </c>
      <c r="F97" s="13" t="s">
        <v>106</v>
      </c>
      <c r="G97" s="13" t="s">
        <v>107</v>
      </c>
      <c r="H97" s="14">
        <v>50</v>
      </c>
      <c r="I97" s="15">
        <v>18</v>
      </c>
      <c r="J97" s="16">
        <f t="shared" si="5"/>
        <v>900</v>
      </c>
      <c r="K97" s="17">
        <v>46133</v>
      </c>
      <c r="L97" s="10">
        <v>63</v>
      </c>
      <c r="M97" s="18">
        <f t="shared" si="9"/>
        <v>50</v>
      </c>
      <c r="N97" s="19">
        <f t="shared" si="6"/>
        <v>13</v>
      </c>
      <c r="O97" s="10" t="str">
        <f t="shared" si="7"/>
        <v>INCOMPLETE</v>
      </c>
      <c r="P97" s="10"/>
      <c r="Q97" s="10" t="str">
        <f t="shared" si="10"/>
        <v>OK</v>
      </c>
    </row>
    <row r="98" spans="1:17" x14ac:dyDescent="0.3">
      <c r="A98" s="36" t="s">
        <v>220</v>
      </c>
      <c r="B98" s="13" t="s">
        <v>218</v>
      </c>
      <c r="C98" s="13" t="s">
        <v>563</v>
      </c>
      <c r="D98" s="13" t="s">
        <v>259</v>
      </c>
      <c r="E98" s="13" t="s">
        <v>259</v>
      </c>
      <c r="F98" s="13" t="s">
        <v>56</v>
      </c>
      <c r="G98" s="13" t="s">
        <v>57</v>
      </c>
      <c r="H98" s="14">
        <v>100</v>
      </c>
      <c r="I98" s="15">
        <v>18</v>
      </c>
      <c r="J98" s="16">
        <f t="shared" si="5"/>
        <v>1800</v>
      </c>
      <c r="K98" s="17">
        <v>46133</v>
      </c>
      <c r="L98" s="10">
        <v>150</v>
      </c>
      <c r="M98" s="18">
        <f t="shared" si="9"/>
        <v>100</v>
      </c>
      <c r="N98" s="19">
        <f t="shared" si="6"/>
        <v>50</v>
      </c>
      <c r="O98" s="10" t="str">
        <f t="shared" si="7"/>
        <v>INCOMPLETE</v>
      </c>
      <c r="P98" s="10"/>
      <c r="Q98" s="10" t="str">
        <f t="shared" si="10"/>
        <v>OK</v>
      </c>
    </row>
    <row r="99" spans="1:17" x14ac:dyDescent="0.3">
      <c r="A99" s="36" t="s">
        <v>220</v>
      </c>
      <c r="B99" s="13" t="s">
        <v>218</v>
      </c>
      <c r="C99" s="13" t="s">
        <v>563</v>
      </c>
      <c r="D99" s="13" t="s">
        <v>259</v>
      </c>
      <c r="E99" s="13" t="s">
        <v>259</v>
      </c>
      <c r="F99" s="13" t="s">
        <v>59</v>
      </c>
      <c r="G99" s="13" t="s">
        <v>61</v>
      </c>
      <c r="H99" s="14">
        <v>150</v>
      </c>
      <c r="I99" s="15">
        <v>18</v>
      </c>
      <c r="J99" s="16">
        <f t="shared" si="5"/>
        <v>2700</v>
      </c>
      <c r="K99" s="17">
        <v>46133</v>
      </c>
      <c r="L99" s="10">
        <v>300</v>
      </c>
      <c r="M99" s="18">
        <f t="shared" si="9"/>
        <v>150</v>
      </c>
      <c r="N99" s="19">
        <f t="shared" si="6"/>
        <v>150</v>
      </c>
      <c r="O99" s="10" t="str">
        <f t="shared" si="7"/>
        <v>INCOMPLETE</v>
      </c>
      <c r="P99" s="10"/>
      <c r="Q99" s="10" t="str">
        <f t="shared" si="10"/>
        <v>OK</v>
      </c>
    </row>
    <row r="100" spans="1:17" x14ac:dyDescent="0.3">
      <c r="A100" s="36" t="s">
        <v>220</v>
      </c>
      <c r="B100" s="13" t="s">
        <v>218</v>
      </c>
      <c r="C100" s="13" t="s">
        <v>563</v>
      </c>
      <c r="D100" s="13" t="s">
        <v>259</v>
      </c>
      <c r="E100" s="13" t="s">
        <v>259</v>
      </c>
      <c r="F100" s="13" t="s">
        <v>60</v>
      </c>
      <c r="G100" s="13" t="s">
        <v>62</v>
      </c>
      <c r="H100" s="14">
        <v>72</v>
      </c>
      <c r="I100" s="15">
        <v>18</v>
      </c>
      <c r="J100" s="16">
        <f t="shared" si="5"/>
        <v>1296</v>
      </c>
      <c r="K100" s="17">
        <v>46133</v>
      </c>
      <c r="L100" s="10">
        <v>72</v>
      </c>
      <c r="M100" s="18">
        <f t="shared" si="9"/>
        <v>72</v>
      </c>
      <c r="N100" s="19">
        <f t="shared" si="6"/>
        <v>0</v>
      </c>
      <c r="O100" s="10" t="str">
        <f t="shared" si="7"/>
        <v>COMPLETE</v>
      </c>
      <c r="P100" s="10"/>
      <c r="Q100" s="10" t="str">
        <f t="shared" si="10"/>
        <v>OK</v>
      </c>
    </row>
    <row r="101" spans="1:17" x14ac:dyDescent="0.3">
      <c r="A101" s="36">
        <v>31</v>
      </c>
      <c r="B101" s="13" t="s">
        <v>218</v>
      </c>
      <c r="C101" s="13" t="s">
        <v>563</v>
      </c>
      <c r="D101" s="13" t="s">
        <v>274</v>
      </c>
      <c r="E101" s="13" t="s">
        <v>274</v>
      </c>
      <c r="F101" s="13" t="s">
        <v>59</v>
      </c>
      <c r="G101" s="13" t="s">
        <v>61</v>
      </c>
      <c r="H101" s="14">
        <v>100</v>
      </c>
      <c r="I101" s="15">
        <v>18</v>
      </c>
      <c r="J101" s="16">
        <f t="shared" si="5"/>
        <v>1800</v>
      </c>
      <c r="K101" s="17">
        <v>46146</v>
      </c>
      <c r="L101" s="10">
        <v>150</v>
      </c>
      <c r="M101" s="18">
        <f t="shared" si="9"/>
        <v>100</v>
      </c>
      <c r="N101" s="19">
        <f t="shared" si="6"/>
        <v>50</v>
      </c>
      <c r="O101" s="10" t="str">
        <f t="shared" si="7"/>
        <v>INCOMPLETE</v>
      </c>
      <c r="P101" s="10"/>
      <c r="Q101" s="10" t="str">
        <f t="shared" si="10"/>
        <v>OK</v>
      </c>
    </row>
    <row r="102" spans="1:17" x14ac:dyDescent="0.3">
      <c r="A102" s="9">
        <v>32</v>
      </c>
      <c r="B102" s="13" t="s">
        <v>95</v>
      </c>
      <c r="C102" s="13" t="s">
        <v>622</v>
      </c>
      <c r="D102" s="13" t="s">
        <v>94</v>
      </c>
      <c r="E102" s="13" t="s">
        <v>94</v>
      </c>
      <c r="F102" s="13" t="s">
        <v>59</v>
      </c>
      <c r="G102" s="13" t="s">
        <v>61</v>
      </c>
      <c r="H102" s="14">
        <v>100</v>
      </c>
      <c r="I102" s="15">
        <v>16.5</v>
      </c>
      <c r="J102" s="16">
        <f t="shared" si="5"/>
        <v>1650</v>
      </c>
      <c r="K102" s="17">
        <v>46148</v>
      </c>
      <c r="L102" s="10">
        <v>200</v>
      </c>
      <c r="M102" s="18">
        <f t="shared" si="9"/>
        <v>100</v>
      </c>
      <c r="N102" s="19">
        <f t="shared" si="6"/>
        <v>100</v>
      </c>
      <c r="O102" s="10" t="str">
        <f t="shared" si="7"/>
        <v>INCOMPLETE</v>
      </c>
      <c r="P102" s="10"/>
      <c r="Q102" s="10" t="str">
        <f t="shared" si="10"/>
        <v>OK</v>
      </c>
    </row>
    <row r="103" spans="1:17" x14ac:dyDescent="0.3">
      <c r="A103" s="9">
        <v>32</v>
      </c>
      <c r="B103" s="13" t="s">
        <v>95</v>
      </c>
      <c r="C103" s="13" t="s">
        <v>622</v>
      </c>
      <c r="D103" s="13" t="s">
        <v>98</v>
      </c>
      <c r="E103" s="13" t="s">
        <v>98</v>
      </c>
      <c r="F103" s="13" t="s">
        <v>59</v>
      </c>
      <c r="G103" s="13" t="s">
        <v>61</v>
      </c>
      <c r="H103" s="14">
        <v>50</v>
      </c>
      <c r="I103" s="15">
        <v>16.5</v>
      </c>
      <c r="J103" s="16">
        <f t="shared" si="5"/>
        <v>825</v>
      </c>
      <c r="K103" s="17">
        <v>46174</v>
      </c>
      <c r="L103" s="10">
        <v>100</v>
      </c>
      <c r="M103" s="18">
        <f t="shared" si="9"/>
        <v>50</v>
      </c>
      <c r="N103" s="19">
        <f t="shared" si="6"/>
        <v>50</v>
      </c>
      <c r="O103" s="10" t="str">
        <f t="shared" si="7"/>
        <v>INCOMPLETE</v>
      </c>
      <c r="P103" s="10"/>
      <c r="Q103" s="10" t="str">
        <f t="shared" si="10"/>
        <v>OK</v>
      </c>
    </row>
    <row r="104" spans="1:17" x14ac:dyDescent="0.3">
      <c r="A104" s="10">
        <v>33</v>
      </c>
      <c r="B104" s="13" t="s">
        <v>102</v>
      </c>
      <c r="C104" s="13" t="s">
        <v>623</v>
      </c>
      <c r="D104" s="13" t="s">
        <v>134</v>
      </c>
      <c r="E104" s="13" t="s">
        <v>134</v>
      </c>
      <c r="F104" s="13" t="s">
        <v>106</v>
      </c>
      <c r="G104" s="13" t="s">
        <v>107</v>
      </c>
      <c r="H104" s="14">
        <v>30</v>
      </c>
      <c r="I104" s="15">
        <v>23</v>
      </c>
      <c r="J104" s="16">
        <f t="shared" si="5"/>
        <v>690</v>
      </c>
      <c r="K104" s="17">
        <v>46148</v>
      </c>
      <c r="L104" s="10">
        <v>30</v>
      </c>
      <c r="M104" s="18">
        <f t="shared" si="9"/>
        <v>30</v>
      </c>
      <c r="N104" s="19">
        <f t="shared" si="6"/>
        <v>0</v>
      </c>
      <c r="O104" s="10" t="str">
        <f t="shared" si="7"/>
        <v>COMPLETE</v>
      </c>
      <c r="P104" s="10"/>
      <c r="Q104" s="10" t="str">
        <f t="shared" si="10"/>
        <v>OK</v>
      </c>
    </row>
    <row r="105" spans="1:17" x14ac:dyDescent="0.3">
      <c r="A105" s="48">
        <v>34</v>
      </c>
      <c r="B105" s="13" t="s">
        <v>73</v>
      </c>
      <c r="C105" s="13" t="s">
        <v>645</v>
      </c>
      <c r="D105" s="13" t="s">
        <v>317</v>
      </c>
      <c r="E105" s="13" t="s">
        <v>333</v>
      </c>
      <c r="F105" s="13" t="s">
        <v>59</v>
      </c>
      <c r="G105" s="13" t="s">
        <v>61</v>
      </c>
      <c r="H105" s="14">
        <v>150</v>
      </c>
      <c r="I105" s="15">
        <v>23</v>
      </c>
      <c r="J105" s="16">
        <f t="shared" si="5"/>
        <v>3450</v>
      </c>
      <c r="K105" s="17">
        <v>46153</v>
      </c>
      <c r="L105" s="10">
        <v>150</v>
      </c>
      <c r="M105" s="18">
        <f t="shared" si="9"/>
        <v>150</v>
      </c>
      <c r="N105" s="19">
        <f t="shared" si="6"/>
        <v>0</v>
      </c>
      <c r="O105" s="10" t="str">
        <f t="shared" si="7"/>
        <v>COMPLETE</v>
      </c>
      <c r="P105" s="10"/>
      <c r="Q105" s="10" t="str">
        <f t="shared" si="10"/>
        <v>OK</v>
      </c>
    </row>
    <row r="106" spans="1:17" x14ac:dyDescent="0.3">
      <c r="A106" s="48">
        <v>34</v>
      </c>
      <c r="B106" s="13" t="s">
        <v>73</v>
      </c>
      <c r="C106" s="13" t="s">
        <v>645</v>
      </c>
      <c r="D106" s="13" t="s">
        <v>317</v>
      </c>
      <c r="E106" s="13" t="s">
        <v>333</v>
      </c>
      <c r="F106" s="13" t="s">
        <v>60</v>
      </c>
      <c r="G106" s="13" t="s">
        <v>62</v>
      </c>
      <c r="H106" s="14">
        <v>150</v>
      </c>
      <c r="I106" s="15">
        <v>23</v>
      </c>
      <c r="J106" s="16">
        <f t="shared" si="5"/>
        <v>3450</v>
      </c>
      <c r="K106" s="17">
        <v>46153</v>
      </c>
      <c r="L106" s="10">
        <v>150</v>
      </c>
      <c r="M106" s="18">
        <f t="shared" si="9"/>
        <v>150</v>
      </c>
      <c r="N106" s="19">
        <f t="shared" si="6"/>
        <v>0</v>
      </c>
      <c r="O106" s="10" t="str">
        <f t="shared" si="7"/>
        <v>COMPLETE</v>
      </c>
      <c r="P106" s="10"/>
      <c r="Q106" s="10" t="str">
        <f t="shared" si="10"/>
        <v>OK</v>
      </c>
    </row>
    <row r="107" spans="1:17" x14ac:dyDescent="0.3">
      <c r="A107" s="10">
        <v>35</v>
      </c>
      <c r="B107" s="13" t="s">
        <v>158</v>
      </c>
      <c r="C107" s="13" t="s">
        <v>677</v>
      </c>
      <c r="D107" s="13" t="s">
        <v>189</v>
      </c>
      <c r="E107" s="13" t="s">
        <v>189</v>
      </c>
      <c r="F107" s="13" t="s">
        <v>59</v>
      </c>
      <c r="G107" s="13" t="s">
        <v>61</v>
      </c>
      <c r="H107" s="14">
        <v>20</v>
      </c>
      <c r="I107" s="15">
        <v>22</v>
      </c>
      <c r="J107" s="16">
        <f t="shared" si="5"/>
        <v>440</v>
      </c>
      <c r="K107" s="17">
        <v>46163</v>
      </c>
      <c r="L107" s="10">
        <v>20</v>
      </c>
      <c r="M107" s="18">
        <f t="shared" si="9"/>
        <v>20</v>
      </c>
      <c r="N107" s="19">
        <f t="shared" si="6"/>
        <v>0</v>
      </c>
      <c r="O107" s="10" t="str">
        <f t="shared" si="7"/>
        <v>COMPLETE</v>
      </c>
      <c r="P107" s="10"/>
      <c r="Q107" s="10" t="str">
        <f t="shared" si="10"/>
        <v>OK</v>
      </c>
    </row>
    <row r="108" spans="1:17" x14ac:dyDescent="0.3">
      <c r="A108" s="38">
        <v>36</v>
      </c>
      <c r="B108" s="13" t="s">
        <v>73</v>
      </c>
      <c r="C108" s="13" t="s">
        <v>696</v>
      </c>
      <c r="D108" s="13" t="s">
        <v>382</v>
      </c>
      <c r="E108" s="13" t="s">
        <v>382</v>
      </c>
      <c r="F108" s="13" t="s">
        <v>59</v>
      </c>
      <c r="G108" s="13" t="s">
        <v>61</v>
      </c>
      <c r="H108" s="14">
        <v>100</v>
      </c>
      <c r="I108" s="15">
        <v>23</v>
      </c>
      <c r="J108" s="16">
        <f t="shared" si="5"/>
        <v>2300</v>
      </c>
      <c r="K108" s="17">
        <v>46176</v>
      </c>
      <c r="L108" s="10">
        <v>100</v>
      </c>
      <c r="M108" s="18">
        <f t="shared" si="9"/>
        <v>100</v>
      </c>
      <c r="N108" s="19">
        <f t="shared" si="6"/>
        <v>0</v>
      </c>
      <c r="O108" s="10" t="str">
        <f t="shared" si="7"/>
        <v>COMPLETE</v>
      </c>
      <c r="P108" s="10"/>
      <c r="Q108" s="10" t="str">
        <f t="shared" si="10"/>
        <v>OK</v>
      </c>
    </row>
    <row r="109" spans="1:17" x14ac:dyDescent="0.3">
      <c r="A109" s="38">
        <v>36</v>
      </c>
      <c r="B109" s="13" t="s">
        <v>73</v>
      </c>
      <c r="C109" s="13" t="s">
        <v>696</v>
      </c>
      <c r="D109" s="13" t="s">
        <v>382</v>
      </c>
      <c r="E109" s="13" t="s">
        <v>382</v>
      </c>
      <c r="F109" s="13" t="s">
        <v>60</v>
      </c>
      <c r="G109" s="13" t="s">
        <v>62</v>
      </c>
      <c r="H109" s="14">
        <v>100</v>
      </c>
      <c r="I109" s="15">
        <v>23</v>
      </c>
      <c r="J109" s="16">
        <f t="shared" si="5"/>
        <v>2300</v>
      </c>
      <c r="K109" s="17">
        <v>46176</v>
      </c>
      <c r="L109" s="10">
        <v>100</v>
      </c>
      <c r="M109" s="18">
        <f t="shared" si="9"/>
        <v>100</v>
      </c>
      <c r="N109" s="19">
        <f t="shared" si="6"/>
        <v>0</v>
      </c>
      <c r="O109" s="10" t="str">
        <f t="shared" si="7"/>
        <v>COMPLETE</v>
      </c>
      <c r="P109" s="10"/>
      <c r="Q109" s="10" t="str">
        <f t="shared" si="10"/>
        <v>OK</v>
      </c>
    </row>
    <row r="110" spans="1:17" x14ac:dyDescent="0.3">
      <c r="A110" s="37">
        <v>37</v>
      </c>
      <c r="B110" s="13" t="s">
        <v>102</v>
      </c>
      <c r="C110" s="13" t="s">
        <v>697</v>
      </c>
      <c r="D110" s="13" t="s">
        <v>133</v>
      </c>
      <c r="E110" s="13" t="s">
        <v>133</v>
      </c>
      <c r="F110" s="13" t="s">
        <v>106</v>
      </c>
      <c r="G110" s="13" t="s">
        <v>107</v>
      </c>
      <c r="H110" s="14">
        <v>20</v>
      </c>
      <c r="I110" s="15">
        <v>23</v>
      </c>
      <c r="J110" s="16">
        <f t="shared" si="5"/>
        <v>460</v>
      </c>
      <c r="K110" s="17">
        <v>46176</v>
      </c>
      <c r="L110" s="10">
        <v>20</v>
      </c>
      <c r="M110" s="18">
        <f t="shared" si="9"/>
        <v>20</v>
      </c>
      <c r="N110" s="19">
        <f t="shared" si="6"/>
        <v>0</v>
      </c>
      <c r="O110" s="10" t="str">
        <f t="shared" si="7"/>
        <v>COMPLETE</v>
      </c>
      <c r="P110" s="10"/>
      <c r="Q110" s="10" t="str">
        <f t="shared" si="10"/>
        <v>OK</v>
      </c>
    </row>
    <row r="111" spans="1:17" x14ac:dyDescent="0.3">
      <c r="A111" s="37">
        <v>37</v>
      </c>
      <c r="B111" s="13" t="s">
        <v>102</v>
      </c>
      <c r="C111" s="13" t="s">
        <v>697</v>
      </c>
      <c r="D111" s="13" t="s">
        <v>133</v>
      </c>
      <c r="E111" s="13" t="s">
        <v>133</v>
      </c>
      <c r="F111" s="13" t="s">
        <v>56</v>
      </c>
      <c r="G111" s="13" t="s">
        <v>57</v>
      </c>
      <c r="H111" s="14">
        <v>20</v>
      </c>
      <c r="I111" s="15">
        <v>23</v>
      </c>
      <c r="J111" s="16">
        <f t="shared" si="5"/>
        <v>460</v>
      </c>
      <c r="K111" s="17">
        <v>46176</v>
      </c>
      <c r="L111" s="10">
        <v>20</v>
      </c>
      <c r="M111" s="18">
        <f t="shared" si="9"/>
        <v>20</v>
      </c>
      <c r="N111" s="19">
        <f t="shared" si="6"/>
        <v>0</v>
      </c>
      <c r="O111" s="10" t="str">
        <f t="shared" si="7"/>
        <v>COMPLETE</v>
      </c>
      <c r="P111" s="10"/>
      <c r="Q111" s="10" t="str">
        <f t="shared" si="10"/>
        <v>OK</v>
      </c>
    </row>
  </sheetData>
  <conditionalFormatting sqref="C1:C18 C21:C26 C30:C1048576">
    <cfRule type="duplicateValues" dxfId="69" priority="5"/>
  </conditionalFormatting>
  <conditionalFormatting sqref="C19:C20">
    <cfRule type="duplicateValues" dxfId="68" priority="4"/>
  </conditionalFormatting>
  <conditionalFormatting sqref="C27">
    <cfRule type="duplicateValues" dxfId="67" priority="3"/>
  </conditionalFormatting>
  <conditionalFormatting sqref="C28">
    <cfRule type="duplicateValues" dxfId="66" priority="2"/>
  </conditionalFormatting>
  <conditionalFormatting sqref="C29">
    <cfRule type="duplicateValues" dxfId="65" priority="1"/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02020EA-1C37-4F1D-83B0-3C858B9B61FC}">
          <x14:formula1>
            <xm:f>DDL!$D$2:$D$112</xm:f>
          </x14:formula1>
          <xm:sqref>B2:B111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88862-5D94-441C-9AD3-FA8051B607B4}">
  <sheetPr codeName="Sheet7"/>
  <dimension ref="A1:Q51"/>
  <sheetViews>
    <sheetView workbookViewId="0">
      <pane ySplit="1" topLeftCell="A44" activePane="bottomLeft" state="frozen"/>
      <selection pane="bottomLeft" activeCell="G66" sqref="G66"/>
    </sheetView>
  </sheetViews>
  <sheetFormatPr defaultColWidth="9.109375" defaultRowHeight="13.8" x14ac:dyDescent="0.3"/>
  <cols>
    <col min="1" max="1" width="7.5546875" style="7" bestFit="1" customWidth="1"/>
    <col min="2" max="2" width="18.6640625" style="3" bestFit="1" customWidth="1"/>
    <col min="3" max="3" width="14.109375" style="3" bestFit="1" customWidth="1"/>
    <col min="4" max="4" width="8.33203125" style="3" bestFit="1" customWidth="1"/>
    <col min="5" max="5" width="7.88671875" style="3" bestFit="1" customWidth="1"/>
    <col min="6" max="6" width="14.33203125" style="3" bestFit="1" customWidth="1"/>
    <col min="7" max="7" width="18.77734375" style="3" bestFit="1" customWidth="1"/>
    <col min="8" max="8" width="9.109375" style="4" bestFit="1" customWidth="1"/>
    <col min="9" max="9" width="14.33203125" style="5" bestFit="1" customWidth="1"/>
    <col min="10" max="10" width="18.44140625" style="8" bestFit="1" customWidth="1"/>
    <col min="11" max="11" width="9.5546875" style="6" bestFit="1" customWidth="1"/>
    <col min="12" max="12" width="16.44140625" style="7" bestFit="1" customWidth="1"/>
    <col min="13" max="13" width="17.88671875" style="7" bestFit="1" customWidth="1"/>
    <col min="14" max="14" width="12.6640625" style="7" bestFit="1" customWidth="1"/>
    <col min="15" max="15" width="11.33203125" style="7" bestFit="1" customWidth="1"/>
    <col min="16" max="16" width="39.6640625" style="7" bestFit="1" customWidth="1"/>
    <col min="17" max="17" width="14.6640625" style="7" bestFit="1" customWidth="1"/>
    <col min="18" max="16384" width="9.109375" style="1"/>
  </cols>
  <sheetData>
    <row r="1" spans="1:17" s="86" customFormat="1" x14ac:dyDescent="0.3">
      <c r="A1" s="77" t="s">
        <v>0</v>
      </c>
      <c r="B1" s="78" t="s">
        <v>3</v>
      </c>
      <c r="C1" s="78" t="s">
        <v>2</v>
      </c>
      <c r="D1" s="78" t="s">
        <v>5</v>
      </c>
      <c r="E1" s="78" t="s">
        <v>4</v>
      </c>
      <c r="F1" s="78" t="s">
        <v>6</v>
      </c>
      <c r="G1" s="78" t="s">
        <v>9</v>
      </c>
      <c r="H1" s="79" t="s">
        <v>1</v>
      </c>
      <c r="I1" s="80" t="s">
        <v>7</v>
      </c>
      <c r="J1" s="81" t="s">
        <v>8</v>
      </c>
      <c r="K1" s="82" t="s">
        <v>10</v>
      </c>
      <c r="L1" s="78" t="s">
        <v>17</v>
      </c>
      <c r="M1" s="78" t="s">
        <v>11</v>
      </c>
      <c r="N1" s="83" t="s">
        <v>12</v>
      </c>
      <c r="O1" s="84" t="s">
        <v>13</v>
      </c>
      <c r="P1" s="85" t="s">
        <v>699</v>
      </c>
      <c r="Q1" s="86" t="s">
        <v>700</v>
      </c>
    </row>
    <row r="2" spans="1:17" x14ac:dyDescent="0.3">
      <c r="A2" s="10" t="s">
        <v>16</v>
      </c>
      <c r="B2" s="13" t="s">
        <v>109</v>
      </c>
      <c r="C2" s="13" t="s">
        <v>119</v>
      </c>
      <c r="D2" s="13" t="s">
        <v>21</v>
      </c>
      <c r="E2" s="13" t="s">
        <v>21</v>
      </c>
      <c r="F2" s="13" t="s">
        <v>120</v>
      </c>
      <c r="G2" s="13" t="s">
        <v>121</v>
      </c>
      <c r="H2" s="14">
        <v>250</v>
      </c>
      <c r="I2" s="15">
        <v>1.8</v>
      </c>
      <c r="J2" s="16">
        <f>H2*I2</f>
        <v>450</v>
      </c>
      <c r="K2" s="17">
        <v>46030</v>
      </c>
      <c r="L2" s="10">
        <v>250</v>
      </c>
      <c r="M2" s="18">
        <f t="shared" ref="M2:M10" si="0">H2</f>
        <v>250</v>
      </c>
      <c r="N2" s="19">
        <f>L2-M2</f>
        <v>0</v>
      </c>
      <c r="O2" s="10" t="str">
        <f>IF(N2=0,"COMPLETE","INCOMPLETE")</f>
        <v>COMPLETE</v>
      </c>
      <c r="P2" s="10"/>
      <c r="Q2" s="10" t="str">
        <f>IF(M2=H2,"OK","X")</f>
        <v>OK</v>
      </c>
    </row>
    <row r="3" spans="1:17" x14ac:dyDescent="0.3">
      <c r="A3" s="10" t="s">
        <v>18</v>
      </c>
      <c r="B3" s="13" t="s">
        <v>67</v>
      </c>
      <c r="C3" s="13" t="s">
        <v>149</v>
      </c>
      <c r="D3" s="13" t="s">
        <v>98</v>
      </c>
      <c r="E3" s="13" t="s">
        <v>135</v>
      </c>
      <c r="F3" s="13" t="s">
        <v>150</v>
      </c>
      <c r="G3" s="13" t="s">
        <v>151</v>
      </c>
      <c r="H3" s="14">
        <v>50</v>
      </c>
      <c r="I3" s="15">
        <v>2.35</v>
      </c>
      <c r="J3" s="16">
        <f>H3*I3</f>
        <v>117.5</v>
      </c>
      <c r="K3" s="17">
        <v>46035</v>
      </c>
      <c r="L3" s="10">
        <v>50</v>
      </c>
      <c r="M3" s="18">
        <f t="shared" si="0"/>
        <v>50</v>
      </c>
      <c r="N3" s="19">
        <f t="shared" ref="N3:N39" si="1">L3-M3</f>
        <v>0</v>
      </c>
      <c r="O3" s="10" t="str">
        <f t="shared" ref="O3:O39" si="2">IF(N3=0,"COMPLETE","INCOMPLETE")</f>
        <v>COMPLETE</v>
      </c>
      <c r="P3" s="10"/>
      <c r="Q3" s="10" t="str">
        <f t="shared" ref="Q3:Q39" si="3">IF(M3=H3,"OK","X")</f>
        <v>OK</v>
      </c>
    </row>
    <row r="4" spans="1:17" x14ac:dyDescent="0.3">
      <c r="A4" s="10" t="s">
        <v>38</v>
      </c>
      <c r="B4" s="13" t="s">
        <v>67</v>
      </c>
      <c r="C4" s="13" t="s">
        <v>193</v>
      </c>
      <c r="D4" s="13" t="s">
        <v>165</v>
      </c>
      <c r="E4" s="13" t="s">
        <v>189</v>
      </c>
      <c r="F4" s="13" t="s">
        <v>150</v>
      </c>
      <c r="G4" s="13" t="s">
        <v>151</v>
      </c>
      <c r="H4" s="14">
        <v>100</v>
      </c>
      <c r="I4" s="15">
        <v>2.35</v>
      </c>
      <c r="J4" s="16">
        <f t="shared" ref="J4:J39" si="4">H4*I4</f>
        <v>235</v>
      </c>
      <c r="K4" s="17">
        <v>46044</v>
      </c>
      <c r="L4" s="10">
        <v>100</v>
      </c>
      <c r="M4" s="18">
        <f t="shared" si="0"/>
        <v>100</v>
      </c>
      <c r="N4" s="19">
        <f t="shared" si="1"/>
        <v>0</v>
      </c>
      <c r="O4" s="10" t="str">
        <f t="shared" si="2"/>
        <v>COMPLETE</v>
      </c>
      <c r="P4" s="10"/>
      <c r="Q4" s="10" t="str">
        <f t="shared" si="3"/>
        <v>OK</v>
      </c>
    </row>
    <row r="5" spans="1:17" x14ac:dyDescent="0.3">
      <c r="A5" s="10" t="s">
        <v>54</v>
      </c>
      <c r="B5" s="13" t="s">
        <v>67</v>
      </c>
      <c r="C5" s="13" t="s">
        <v>221</v>
      </c>
      <c r="D5" s="13" t="s">
        <v>209</v>
      </c>
      <c r="E5" s="13" t="s">
        <v>222</v>
      </c>
      <c r="F5" s="13" t="s">
        <v>150</v>
      </c>
      <c r="G5" s="13" t="s">
        <v>151</v>
      </c>
      <c r="H5" s="14">
        <v>50</v>
      </c>
      <c r="I5" s="15">
        <v>2.35</v>
      </c>
      <c r="J5" s="16">
        <f t="shared" si="4"/>
        <v>117.5</v>
      </c>
      <c r="K5" s="17">
        <v>46049</v>
      </c>
      <c r="L5" s="10">
        <v>50</v>
      </c>
      <c r="M5" s="18">
        <f t="shared" si="0"/>
        <v>50</v>
      </c>
      <c r="N5" s="19">
        <f t="shared" si="1"/>
        <v>0</v>
      </c>
      <c r="O5" s="10" t="str">
        <f t="shared" si="2"/>
        <v>COMPLETE</v>
      </c>
      <c r="P5" s="10"/>
      <c r="Q5" s="10" t="str">
        <f t="shared" si="3"/>
        <v>OK</v>
      </c>
    </row>
    <row r="6" spans="1:17" x14ac:dyDescent="0.3">
      <c r="A6" s="10" t="s">
        <v>69</v>
      </c>
      <c r="B6" s="13" t="s">
        <v>109</v>
      </c>
      <c r="C6" s="13" t="s">
        <v>232</v>
      </c>
      <c r="D6" s="13" t="s">
        <v>98</v>
      </c>
      <c r="E6" s="13" t="s">
        <v>98</v>
      </c>
      <c r="F6" s="13" t="s">
        <v>120</v>
      </c>
      <c r="G6" s="13" t="s">
        <v>121</v>
      </c>
      <c r="H6" s="14">
        <v>250</v>
      </c>
      <c r="I6" s="15">
        <v>1.8</v>
      </c>
      <c r="J6" s="16">
        <f t="shared" si="4"/>
        <v>450</v>
      </c>
      <c r="K6" s="17">
        <v>46050</v>
      </c>
      <c r="L6" s="10">
        <v>250</v>
      </c>
      <c r="M6" s="18">
        <f t="shared" si="0"/>
        <v>250</v>
      </c>
      <c r="N6" s="19">
        <f t="shared" si="1"/>
        <v>0</v>
      </c>
      <c r="O6" s="10" t="str">
        <f t="shared" si="2"/>
        <v>COMPLETE</v>
      </c>
      <c r="P6" s="10"/>
      <c r="Q6" s="10" t="str">
        <f t="shared" si="3"/>
        <v>OK</v>
      </c>
    </row>
    <row r="7" spans="1:17" x14ac:dyDescent="0.3">
      <c r="A7" s="31" t="s">
        <v>72</v>
      </c>
      <c r="B7" s="13" t="s">
        <v>236</v>
      </c>
      <c r="C7" s="13" t="s">
        <v>238</v>
      </c>
      <c r="D7" s="13" t="s">
        <v>39</v>
      </c>
      <c r="E7" s="13" t="s">
        <v>39</v>
      </c>
      <c r="F7" s="13" t="s">
        <v>120</v>
      </c>
      <c r="G7" s="13" t="s">
        <v>121</v>
      </c>
      <c r="H7" s="14">
        <v>300</v>
      </c>
      <c r="I7" s="15">
        <v>2.4</v>
      </c>
      <c r="J7" s="16">
        <f t="shared" si="4"/>
        <v>720</v>
      </c>
      <c r="K7" s="17">
        <v>46051</v>
      </c>
      <c r="L7" s="10">
        <v>950</v>
      </c>
      <c r="M7" s="18">
        <f t="shared" si="0"/>
        <v>300</v>
      </c>
      <c r="N7" s="19">
        <f t="shared" si="1"/>
        <v>650</v>
      </c>
      <c r="O7" s="10" t="str">
        <f t="shared" si="2"/>
        <v>INCOMPLETE</v>
      </c>
      <c r="P7" s="10"/>
      <c r="Q7" s="10" t="str">
        <f t="shared" si="3"/>
        <v>OK</v>
      </c>
    </row>
    <row r="8" spans="1:17" x14ac:dyDescent="0.3">
      <c r="A8" s="31" t="s">
        <v>72</v>
      </c>
      <c r="B8" s="13" t="s">
        <v>236</v>
      </c>
      <c r="C8" s="13" t="s">
        <v>238</v>
      </c>
      <c r="D8" s="13" t="s">
        <v>47</v>
      </c>
      <c r="E8" s="13" t="s">
        <v>47</v>
      </c>
      <c r="F8" s="13" t="s">
        <v>120</v>
      </c>
      <c r="G8" s="13" t="s">
        <v>121</v>
      </c>
      <c r="H8" s="14">
        <v>150</v>
      </c>
      <c r="I8" s="15">
        <v>2.4</v>
      </c>
      <c r="J8" s="16">
        <f t="shared" si="4"/>
        <v>360</v>
      </c>
      <c r="K8" s="17">
        <v>46083</v>
      </c>
      <c r="L8" s="10">
        <v>650</v>
      </c>
      <c r="M8" s="18">
        <f t="shared" si="0"/>
        <v>150</v>
      </c>
      <c r="N8" s="19">
        <f t="shared" si="1"/>
        <v>500</v>
      </c>
      <c r="O8" s="10" t="str">
        <f t="shared" si="2"/>
        <v>INCOMPLETE</v>
      </c>
      <c r="P8" s="10"/>
      <c r="Q8" s="10" t="str">
        <f t="shared" si="3"/>
        <v>OK</v>
      </c>
    </row>
    <row r="9" spans="1:17" x14ac:dyDescent="0.3">
      <c r="A9" s="10" t="s">
        <v>85</v>
      </c>
      <c r="B9" s="13" t="s">
        <v>102</v>
      </c>
      <c r="C9" s="13" t="s">
        <v>263</v>
      </c>
      <c r="D9" s="13" t="s">
        <v>47</v>
      </c>
      <c r="E9" s="13" t="s">
        <v>47</v>
      </c>
      <c r="F9" s="13" t="s">
        <v>120</v>
      </c>
      <c r="G9" s="13" t="s">
        <v>121</v>
      </c>
      <c r="H9" s="14">
        <v>80</v>
      </c>
      <c r="I9" s="15">
        <v>2.5</v>
      </c>
      <c r="J9" s="16">
        <f t="shared" si="4"/>
        <v>200</v>
      </c>
      <c r="K9" s="17">
        <v>46058</v>
      </c>
      <c r="L9" s="10">
        <v>80</v>
      </c>
      <c r="M9" s="18">
        <f t="shared" si="0"/>
        <v>80</v>
      </c>
      <c r="N9" s="19">
        <f t="shared" si="1"/>
        <v>0</v>
      </c>
      <c r="O9" s="10" t="str">
        <f t="shared" si="2"/>
        <v>COMPLETE</v>
      </c>
      <c r="P9" s="10"/>
      <c r="Q9" s="10" t="str">
        <f t="shared" si="3"/>
        <v>OK</v>
      </c>
    </row>
    <row r="10" spans="1:17" x14ac:dyDescent="0.3">
      <c r="A10" s="10" t="s">
        <v>88</v>
      </c>
      <c r="B10" s="13" t="s">
        <v>216</v>
      </c>
      <c r="C10" s="13" t="s">
        <v>278</v>
      </c>
      <c r="D10" s="13" t="s">
        <v>39</v>
      </c>
      <c r="E10" s="13" t="s">
        <v>39</v>
      </c>
      <c r="F10" s="13" t="s">
        <v>120</v>
      </c>
      <c r="G10" s="13" t="s">
        <v>121</v>
      </c>
      <c r="H10" s="14">
        <v>150</v>
      </c>
      <c r="I10" s="15">
        <v>2.7</v>
      </c>
      <c r="J10" s="16">
        <f t="shared" si="4"/>
        <v>405</v>
      </c>
      <c r="K10" s="17">
        <v>46059</v>
      </c>
      <c r="L10" s="10">
        <v>150</v>
      </c>
      <c r="M10" s="18">
        <f t="shared" si="0"/>
        <v>150</v>
      </c>
      <c r="N10" s="19">
        <f t="shared" si="1"/>
        <v>0</v>
      </c>
      <c r="O10" s="10" t="str">
        <f t="shared" si="2"/>
        <v>COMPLETE</v>
      </c>
      <c r="P10" s="10"/>
      <c r="Q10" s="10" t="str">
        <f t="shared" si="3"/>
        <v>OK</v>
      </c>
    </row>
    <row r="11" spans="1:17" x14ac:dyDescent="0.3">
      <c r="A11" s="10" t="s">
        <v>90</v>
      </c>
      <c r="B11" s="13" t="s">
        <v>67</v>
      </c>
      <c r="C11" s="13" t="s">
        <v>291</v>
      </c>
      <c r="D11" s="13" t="s">
        <v>272</v>
      </c>
      <c r="E11" s="13" t="s">
        <v>274</v>
      </c>
      <c r="F11" s="13" t="s">
        <v>150</v>
      </c>
      <c r="G11" s="13" t="s">
        <v>151</v>
      </c>
      <c r="H11" s="14">
        <v>100</v>
      </c>
      <c r="I11" s="15">
        <v>2.35</v>
      </c>
      <c r="J11" s="16">
        <f t="shared" si="4"/>
        <v>235</v>
      </c>
      <c r="K11" s="17">
        <v>46063</v>
      </c>
      <c r="L11" s="10">
        <v>100</v>
      </c>
      <c r="M11" s="18">
        <f t="shared" ref="M11:M39" si="5">H11</f>
        <v>100</v>
      </c>
      <c r="N11" s="19">
        <f t="shared" si="1"/>
        <v>0</v>
      </c>
      <c r="O11" s="10" t="str">
        <f t="shared" si="2"/>
        <v>COMPLETE</v>
      </c>
      <c r="P11" s="10"/>
      <c r="Q11" s="10" t="str">
        <f t="shared" si="3"/>
        <v>OK</v>
      </c>
    </row>
    <row r="12" spans="1:17" x14ac:dyDescent="0.3">
      <c r="A12" s="10" t="s">
        <v>108</v>
      </c>
      <c r="B12" s="13" t="s">
        <v>67</v>
      </c>
      <c r="C12" s="13" t="s">
        <v>292</v>
      </c>
      <c r="D12" s="13" t="s">
        <v>271</v>
      </c>
      <c r="E12" s="13" t="s">
        <v>272</v>
      </c>
      <c r="F12" s="13" t="s">
        <v>150</v>
      </c>
      <c r="G12" s="13" t="s">
        <v>151</v>
      </c>
      <c r="H12" s="14">
        <v>50</v>
      </c>
      <c r="I12" s="15">
        <v>2.35</v>
      </c>
      <c r="J12" s="16">
        <f t="shared" si="4"/>
        <v>117.5</v>
      </c>
      <c r="K12" s="17">
        <v>46063</v>
      </c>
      <c r="L12" s="10">
        <v>50</v>
      </c>
      <c r="M12" s="18">
        <f t="shared" si="5"/>
        <v>50</v>
      </c>
      <c r="N12" s="19">
        <f t="shared" si="1"/>
        <v>0</v>
      </c>
      <c r="O12" s="10" t="str">
        <f t="shared" si="2"/>
        <v>COMPLETE</v>
      </c>
      <c r="P12" s="10"/>
      <c r="Q12" s="10" t="str">
        <f t="shared" si="3"/>
        <v>OK</v>
      </c>
    </row>
    <row r="13" spans="1:17" x14ac:dyDescent="0.3">
      <c r="A13" s="10" t="s">
        <v>115</v>
      </c>
      <c r="B13" s="13" t="s">
        <v>67</v>
      </c>
      <c r="C13" s="13" t="s">
        <v>293</v>
      </c>
      <c r="D13" s="13" t="s">
        <v>269</v>
      </c>
      <c r="E13" s="13" t="s">
        <v>271</v>
      </c>
      <c r="F13" s="13" t="s">
        <v>150</v>
      </c>
      <c r="G13" s="13" t="s">
        <v>151</v>
      </c>
      <c r="H13" s="14">
        <v>50</v>
      </c>
      <c r="I13" s="15">
        <v>2.35</v>
      </c>
      <c r="J13" s="16">
        <f t="shared" si="4"/>
        <v>117.5</v>
      </c>
      <c r="K13" s="17">
        <v>46063</v>
      </c>
      <c r="L13" s="10">
        <v>50</v>
      </c>
      <c r="M13" s="18">
        <f t="shared" si="5"/>
        <v>50</v>
      </c>
      <c r="N13" s="19">
        <f t="shared" si="1"/>
        <v>0</v>
      </c>
      <c r="O13" s="10" t="str">
        <f t="shared" si="2"/>
        <v>COMPLETE</v>
      </c>
      <c r="P13" s="10"/>
      <c r="Q13" s="10" t="str">
        <f t="shared" si="3"/>
        <v>OK</v>
      </c>
    </row>
    <row r="14" spans="1:17" x14ac:dyDescent="0.3">
      <c r="A14" s="10" t="s">
        <v>128</v>
      </c>
      <c r="B14" s="13" t="s">
        <v>67</v>
      </c>
      <c r="C14" s="13" t="s">
        <v>302</v>
      </c>
      <c r="D14" s="13" t="s">
        <v>285</v>
      </c>
      <c r="E14" s="13" t="s">
        <v>284</v>
      </c>
      <c r="F14" s="13" t="s">
        <v>150</v>
      </c>
      <c r="G14" s="13" t="s">
        <v>151</v>
      </c>
      <c r="H14" s="14">
        <v>50</v>
      </c>
      <c r="I14" s="15">
        <v>2.35</v>
      </c>
      <c r="J14" s="16">
        <f t="shared" si="4"/>
        <v>117.5</v>
      </c>
      <c r="K14" s="17">
        <v>46065</v>
      </c>
      <c r="L14" s="10">
        <v>50</v>
      </c>
      <c r="M14" s="18">
        <f t="shared" si="5"/>
        <v>50</v>
      </c>
      <c r="N14" s="19">
        <f t="shared" si="1"/>
        <v>0</v>
      </c>
      <c r="O14" s="10" t="str">
        <f t="shared" si="2"/>
        <v>COMPLETE</v>
      </c>
      <c r="P14" s="10"/>
      <c r="Q14" s="10" t="str">
        <f t="shared" si="3"/>
        <v>OK</v>
      </c>
    </row>
    <row r="15" spans="1:17" x14ac:dyDescent="0.3">
      <c r="A15" s="10" t="s">
        <v>142</v>
      </c>
      <c r="B15" s="13" t="s">
        <v>67</v>
      </c>
      <c r="C15" s="13" t="s">
        <v>342</v>
      </c>
      <c r="D15" s="13" t="s">
        <v>325</v>
      </c>
      <c r="E15" s="13" t="s">
        <v>343</v>
      </c>
      <c r="F15" s="13" t="s">
        <v>150</v>
      </c>
      <c r="G15" s="13" t="s">
        <v>151</v>
      </c>
      <c r="H15" s="14">
        <v>150</v>
      </c>
      <c r="I15" s="15">
        <v>2.35</v>
      </c>
      <c r="J15" s="16">
        <f t="shared" si="4"/>
        <v>352.5</v>
      </c>
      <c r="K15" s="17">
        <v>46078</v>
      </c>
      <c r="L15" s="10">
        <v>150</v>
      </c>
      <c r="M15" s="18">
        <f t="shared" si="5"/>
        <v>150</v>
      </c>
      <c r="N15" s="19">
        <f t="shared" si="1"/>
        <v>0</v>
      </c>
      <c r="O15" s="10" t="str">
        <f t="shared" si="2"/>
        <v>COMPLETE</v>
      </c>
      <c r="P15" s="10"/>
      <c r="Q15" s="10" t="str">
        <f t="shared" si="3"/>
        <v>OK</v>
      </c>
    </row>
    <row r="16" spans="1:17" x14ac:dyDescent="0.3">
      <c r="A16" s="9" t="s">
        <v>148</v>
      </c>
      <c r="B16" s="13" t="s">
        <v>109</v>
      </c>
      <c r="C16" s="13" t="s">
        <v>346</v>
      </c>
      <c r="D16" s="13" t="s">
        <v>135</v>
      </c>
      <c r="E16" s="13" t="s">
        <v>135</v>
      </c>
      <c r="F16" s="13" t="s">
        <v>120</v>
      </c>
      <c r="G16" s="13" t="s">
        <v>121</v>
      </c>
      <c r="H16" s="14">
        <v>250</v>
      </c>
      <c r="I16" s="15">
        <v>1.8</v>
      </c>
      <c r="J16" s="16">
        <f t="shared" si="4"/>
        <v>450</v>
      </c>
      <c r="K16" s="17">
        <v>46079</v>
      </c>
      <c r="L16" s="10">
        <v>1000</v>
      </c>
      <c r="M16" s="18">
        <f t="shared" si="5"/>
        <v>250</v>
      </c>
      <c r="N16" s="19">
        <f t="shared" si="1"/>
        <v>750</v>
      </c>
      <c r="O16" s="10" t="str">
        <f t="shared" si="2"/>
        <v>INCOMPLETE</v>
      </c>
      <c r="P16" s="10"/>
      <c r="Q16" s="10" t="str">
        <f t="shared" si="3"/>
        <v>OK</v>
      </c>
    </row>
    <row r="17" spans="1:17" x14ac:dyDescent="0.3">
      <c r="A17" s="9" t="s">
        <v>148</v>
      </c>
      <c r="B17" s="13" t="s">
        <v>109</v>
      </c>
      <c r="C17" s="13" t="s">
        <v>346</v>
      </c>
      <c r="D17" s="13" t="s">
        <v>133</v>
      </c>
      <c r="E17" s="13" t="s">
        <v>133</v>
      </c>
      <c r="F17" s="13" t="s">
        <v>120</v>
      </c>
      <c r="G17" s="13" t="s">
        <v>121</v>
      </c>
      <c r="H17" s="14">
        <v>500</v>
      </c>
      <c r="I17" s="15">
        <v>1.8</v>
      </c>
      <c r="J17" s="16">
        <f t="shared" si="4"/>
        <v>900</v>
      </c>
      <c r="K17" s="17">
        <v>46108</v>
      </c>
      <c r="L17" s="10">
        <v>750</v>
      </c>
      <c r="M17" s="18">
        <f t="shared" si="5"/>
        <v>500</v>
      </c>
      <c r="N17" s="19">
        <f t="shared" si="1"/>
        <v>250</v>
      </c>
      <c r="O17" s="10" t="str">
        <f t="shared" si="2"/>
        <v>INCOMPLETE</v>
      </c>
      <c r="P17" s="10"/>
      <c r="Q17" s="10" t="str">
        <f t="shared" si="3"/>
        <v>OK</v>
      </c>
    </row>
    <row r="18" spans="1:17" x14ac:dyDescent="0.3">
      <c r="A18" s="9" t="s">
        <v>148</v>
      </c>
      <c r="B18" s="13" t="s">
        <v>109</v>
      </c>
      <c r="C18" s="13" t="s">
        <v>346</v>
      </c>
      <c r="D18" s="13" t="s">
        <v>207</v>
      </c>
      <c r="E18" s="13" t="s">
        <v>207</v>
      </c>
      <c r="F18" s="13" t="s">
        <v>120</v>
      </c>
      <c r="G18" s="13" t="s">
        <v>121</v>
      </c>
      <c r="H18" s="14">
        <v>250</v>
      </c>
      <c r="I18" s="15">
        <v>1.8</v>
      </c>
      <c r="J18" s="16">
        <f t="shared" si="4"/>
        <v>450</v>
      </c>
      <c r="K18" s="17">
        <v>46120</v>
      </c>
      <c r="L18" s="10">
        <v>250</v>
      </c>
      <c r="M18" s="18">
        <f t="shared" si="5"/>
        <v>250</v>
      </c>
      <c r="N18" s="19">
        <f t="shared" si="1"/>
        <v>0</v>
      </c>
      <c r="O18" s="10" t="str">
        <f t="shared" si="2"/>
        <v>COMPLETE</v>
      </c>
      <c r="P18" s="10"/>
      <c r="Q18" s="10" t="str">
        <f t="shared" si="3"/>
        <v>OK</v>
      </c>
    </row>
    <row r="19" spans="1:17" x14ac:dyDescent="0.3">
      <c r="A19" s="10" t="s">
        <v>152</v>
      </c>
      <c r="B19" s="13" t="s">
        <v>67</v>
      </c>
      <c r="C19" s="13" t="s">
        <v>352</v>
      </c>
      <c r="D19" s="13" t="s">
        <v>333</v>
      </c>
      <c r="E19" s="13" t="s">
        <v>353</v>
      </c>
      <c r="F19" s="13" t="s">
        <v>150</v>
      </c>
      <c r="G19" s="13" t="s">
        <v>151</v>
      </c>
      <c r="H19" s="14">
        <v>50</v>
      </c>
      <c r="I19" s="15">
        <v>2.35</v>
      </c>
      <c r="J19" s="16">
        <f t="shared" si="4"/>
        <v>117.5</v>
      </c>
      <c r="K19" s="17">
        <v>46080</v>
      </c>
      <c r="L19" s="10">
        <v>50</v>
      </c>
      <c r="M19" s="18">
        <f t="shared" si="5"/>
        <v>50</v>
      </c>
      <c r="N19" s="19">
        <f t="shared" si="1"/>
        <v>0</v>
      </c>
      <c r="O19" s="10" t="str">
        <f t="shared" si="2"/>
        <v>COMPLETE</v>
      </c>
      <c r="P19" s="10"/>
      <c r="Q19" s="10" t="str">
        <f t="shared" si="3"/>
        <v>OK</v>
      </c>
    </row>
    <row r="20" spans="1:17" x14ac:dyDescent="0.3">
      <c r="A20" s="10" t="s">
        <v>160</v>
      </c>
      <c r="B20" s="13" t="s">
        <v>67</v>
      </c>
      <c r="C20" s="13" t="s">
        <v>381</v>
      </c>
      <c r="D20" s="13" t="s">
        <v>356</v>
      </c>
      <c r="E20" s="13" t="s">
        <v>382</v>
      </c>
      <c r="F20" s="13" t="s">
        <v>150</v>
      </c>
      <c r="G20" s="13" t="s">
        <v>151</v>
      </c>
      <c r="H20" s="14">
        <v>150</v>
      </c>
      <c r="I20" s="15">
        <v>2.35</v>
      </c>
      <c r="J20" s="16">
        <f t="shared" si="4"/>
        <v>352.5</v>
      </c>
      <c r="K20" s="17">
        <v>46086</v>
      </c>
      <c r="L20" s="10">
        <v>150</v>
      </c>
      <c r="M20" s="18">
        <f t="shared" si="5"/>
        <v>150</v>
      </c>
      <c r="N20" s="19">
        <f t="shared" si="1"/>
        <v>0</v>
      </c>
      <c r="O20" s="10" t="str">
        <f t="shared" si="2"/>
        <v>COMPLETE</v>
      </c>
      <c r="P20" s="10"/>
      <c r="Q20" s="10" t="str">
        <f t="shared" si="3"/>
        <v>OK</v>
      </c>
    </row>
    <row r="21" spans="1:17" x14ac:dyDescent="0.3">
      <c r="A21" s="10" t="s">
        <v>163</v>
      </c>
      <c r="B21" s="13" t="s">
        <v>67</v>
      </c>
      <c r="C21" s="13" t="s">
        <v>402</v>
      </c>
      <c r="D21" s="13" t="s">
        <v>377</v>
      </c>
      <c r="E21" s="13" t="s">
        <v>397</v>
      </c>
      <c r="F21" s="13" t="s">
        <v>150</v>
      </c>
      <c r="G21" s="13" t="s">
        <v>151</v>
      </c>
      <c r="H21" s="14">
        <v>50</v>
      </c>
      <c r="I21" s="15">
        <v>2.35</v>
      </c>
      <c r="J21" s="16">
        <f t="shared" si="4"/>
        <v>117.5</v>
      </c>
      <c r="K21" s="17">
        <v>46091</v>
      </c>
      <c r="L21" s="10">
        <v>50</v>
      </c>
      <c r="M21" s="18">
        <f t="shared" si="5"/>
        <v>50</v>
      </c>
      <c r="N21" s="19">
        <f t="shared" si="1"/>
        <v>0</v>
      </c>
      <c r="O21" s="10" t="str">
        <f t="shared" si="2"/>
        <v>COMPLETE</v>
      </c>
      <c r="P21" s="10"/>
      <c r="Q21" s="10" t="str">
        <f t="shared" si="3"/>
        <v>OK</v>
      </c>
    </row>
    <row r="22" spans="1:17" x14ac:dyDescent="0.3">
      <c r="A22" s="55" t="s">
        <v>166</v>
      </c>
      <c r="B22" s="13" t="s">
        <v>91</v>
      </c>
      <c r="C22" s="13" t="s">
        <v>417</v>
      </c>
      <c r="D22" s="13" t="s">
        <v>47</v>
      </c>
      <c r="E22" s="13" t="s">
        <v>47</v>
      </c>
      <c r="F22" s="13" t="s">
        <v>120</v>
      </c>
      <c r="G22" s="13" t="s">
        <v>121</v>
      </c>
      <c r="H22" s="14">
        <v>200</v>
      </c>
      <c r="I22" s="15">
        <v>2.6</v>
      </c>
      <c r="J22" s="16">
        <f t="shared" si="4"/>
        <v>520</v>
      </c>
      <c r="K22" s="17">
        <v>46094</v>
      </c>
      <c r="L22" s="10">
        <v>400</v>
      </c>
      <c r="M22" s="18">
        <f t="shared" si="5"/>
        <v>200</v>
      </c>
      <c r="N22" s="19">
        <f t="shared" si="1"/>
        <v>200</v>
      </c>
      <c r="O22" s="10" t="str">
        <f t="shared" si="2"/>
        <v>INCOMPLETE</v>
      </c>
      <c r="P22" s="10"/>
      <c r="Q22" s="10" t="str">
        <f t="shared" si="3"/>
        <v>OK</v>
      </c>
    </row>
    <row r="23" spans="1:17" x14ac:dyDescent="0.3">
      <c r="A23" s="55" t="s">
        <v>166</v>
      </c>
      <c r="B23" s="13" t="s">
        <v>91</v>
      </c>
      <c r="C23" s="13" t="s">
        <v>417</v>
      </c>
      <c r="D23" s="13" t="s">
        <v>134</v>
      </c>
      <c r="E23" s="13" t="s">
        <v>134</v>
      </c>
      <c r="F23" s="13" t="s">
        <v>120</v>
      </c>
      <c r="G23" s="13" t="s">
        <v>121</v>
      </c>
      <c r="H23" s="14">
        <v>200</v>
      </c>
      <c r="I23" s="15">
        <v>2.6</v>
      </c>
      <c r="J23" s="16">
        <f t="shared" si="4"/>
        <v>520</v>
      </c>
      <c r="K23" s="17">
        <v>46104</v>
      </c>
      <c r="L23" s="10">
        <v>200</v>
      </c>
      <c r="M23" s="18">
        <f t="shared" si="5"/>
        <v>200</v>
      </c>
      <c r="N23" s="19">
        <f t="shared" si="1"/>
        <v>0</v>
      </c>
      <c r="O23" s="10" t="str">
        <f t="shared" si="2"/>
        <v>COMPLETE</v>
      </c>
      <c r="P23" s="10"/>
      <c r="Q23" s="10" t="str">
        <f t="shared" si="3"/>
        <v>OK</v>
      </c>
    </row>
    <row r="24" spans="1:17" x14ac:dyDescent="0.3">
      <c r="A24" s="10" t="s">
        <v>170</v>
      </c>
      <c r="B24" s="13" t="s">
        <v>67</v>
      </c>
      <c r="C24" s="13" t="s">
        <v>434</v>
      </c>
      <c r="D24" s="13" t="s">
        <v>435</v>
      </c>
      <c r="E24" s="13" t="s">
        <v>436</v>
      </c>
      <c r="F24" s="13" t="s">
        <v>150</v>
      </c>
      <c r="G24" s="13" t="s">
        <v>151</v>
      </c>
      <c r="H24" s="14">
        <v>100</v>
      </c>
      <c r="I24" s="15">
        <v>2.35</v>
      </c>
      <c r="J24" s="16">
        <f>H24*I24</f>
        <v>235</v>
      </c>
      <c r="K24" s="17">
        <v>46098</v>
      </c>
      <c r="L24" s="10">
        <v>100</v>
      </c>
      <c r="M24" s="18">
        <f t="shared" si="5"/>
        <v>100</v>
      </c>
      <c r="N24" s="19">
        <f t="shared" si="1"/>
        <v>0</v>
      </c>
      <c r="O24" s="10" t="str">
        <f t="shared" si="2"/>
        <v>COMPLETE</v>
      </c>
      <c r="P24" s="10"/>
      <c r="Q24" s="10" t="str">
        <f t="shared" si="3"/>
        <v>OK</v>
      </c>
    </row>
    <row r="25" spans="1:17" x14ac:dyDescent="0.3">
      <c r="A25" s="36" t="s">
        <v>172</v>
      </c>
      <c r="B25" s="13" t="s">
        <v>109</v>
      </c>
      <c r="C25" s="13" t="s">
        <v>453</v>
      </c>
      <c r="D25" s="13" t="s">
        <v>134</v>
      </c>
      <c r="E25" s="13" t="s">
        <v>134</v>
      </c>
      <c r="F25" s="13" t="s">
        <v>120</v>
      </c>
      <c r="G25" s="13" t="s">
        <v>121</v>
      </c>
      <c r="H25" s="14">
        <v>350</v>
      </c>
      <c r="I25" s="15">
        <v>1.8</v>
      </c>
      <c r="J25" s="16">
        <f t="shared" si="4"/>
        <v>630</v>
      </c>
      <c r="K25" s="17">
        <v>46104</v>
      </c>
      <c r="L25" s="10">
        <v>750</v>
      </c>
      <c r="M25" s="18">
        <f t="shared" si="5"/>
        <v>350</v>
      </c>
      <c r="N25" s="19">
        <f t="shared" si="1"/>
        <v>400</v>
      </c>
      <c r="O25" s="10" t="str">
        <f t="shared" si="2"/>
        <v>INCOMPLETE</v>
      </c>
      <c r="P25" s="10"/>
      <c r="Q25" s="10" t="str">
        <f t="shared" si="3"/>
        <v>OK</v>
      </c>
    </row>
    <row r="26" spans="1:17" x14ac:dyDescent="0.3">
      <c r="A26" s="36" t="s">
        <v>172</v>
      </c>
      <c r="B26" s="13" t="s">
        <v>109</v>
      </c>
      <c r="C26" s="13" t="s">
        <v>453</v>
      </c>
      <c r="D26" s="13" t="s">
        <v>208</v>
      </c>
      <c r="E26" s="13" t="s">
        <v>208</v>
      </c>
      <c r="F26" s="13" t="s">
        <v>120</v>
      </c>
      <c r="G26" s="13" t="s">
        <v>121</v>
      </c>
      <c r="H26" s="14">
        <v>100</v>
      </c>
      <c r="I26" s="15">
        <v>1.8</v>
      </c>
      <c r="J26" s="16">
        <f t="shared" si="4"/>
        <v>180</v>
      </c>
      <c r="K26" s="17">
        <v>46132</v>
      </c>
      <c r="L26" s="10">
        <v>400</v>
      </c>
      <c r="M26" s="18">
        <f t="shared" si="5"/>
        <v>100</v>
      </c>
      <c r="N26" s="19">
        <f t="shared" si="1"/>
        <v>300</v>
      </c>
      <c r="O26" s="10" t="str">
        <f t="shared" si="2"/>
        <v>INCOMPLETE</v>
      </c>
      <c r="P26" s="10"/>
      <c r="Q26" s="10" t="str">
        <f t="shared" si="3"/>
        <v>OK</v>
      </c>
    </row>
    <row r="27" spans="1:17" x14ac:dyDescent="0.3">
      <c r="A27" s="36">
        <v>20</v>
      </c>
      <c r="B27" s="13" t="s">
        <v>109</v>
      </c>
      <c r="C27" s="13" t="s">
        <v>453</v>
      </c>
      <c r="D27" s="13" t="s">
        <v>271</v>
      </c>
      <c r="E27" s="13" t="s">
        <v>271</v>
      </c>
      <c r="F27" s="13" t="s">
        <v>120</v>
      </c>
      <c r="G27" s="13" t="s">
        <v>121</v>
      </c>
      <c r="H27" s="14">
        <v>50</v>
      </c>
      <c r="I27" s="15">
        <v>1.8</v>
      </c>
      <c r="J27" s="16">
        <f t="shared" si="4"/>
        <v>90</v>
      </c>
      <c r="K27" s="17">
        <v>46161</v>
      </c>
      <c r="L27" s="10">
        <v>300</v>
      </c>
      <c r="M27" s="18">
        <f t="shared" si="5"/>
        <v>50</v>
      </c>
      <c r="N27" s="19">
        <f t="shared" si="1"/>
        <v>250</v>
      </c>
      <c r="O27" s="10" t="str">
        <f t="shared" si="2"/>
        <v>INCOMPLETE</v>
      </c>
      <c r="P27" s="10"/>
      <c r="Q27" s="10" t="str">
        <f t="shared" si="3"/>
        <v>OK</v>
      </c>
    </row>
    <row r="28" spans="1:17" x14ac:dyDescent="0.3">
      <c r="A28" s="10" t="s">
        <v>177</v>
      </c>
      <c r="B28" s="13" t="s">
        <v>216</v>
      </c>
      <c r="C28" s="13" t="s">
        <v>462</v>
      </c>
      <c r="D28" s="13" t="s">
        <v>43</v>
      </c>
      <c r="E28" s="13" t="s">
        <v>43</v>
      </c>
      <c r="F28" s="13" t="s">
        <v>120</v>
      </c>
      <c r="G28" s="13" t="s">
        <v>121</v>
      </c>
      <c r="H28" s="14">
        <v>100</v>
      </c>
      <c r="I28" s="15">
        <v>2.7</v>
      </c>
      <c r="J28" s="16">
        <f t="shared" si="4"/>
        <v>270</v>
      </c>
      <c r="K28" s="17">
        <v>46104</v>
      </c>
      <c r="L28" s="10">
        <v>100</v>
      </c>
      <c r="M28" s="18">
        <f t="shared" si="5"/>
        <v>100</v>
      </c>
      <c r="N28" s="19">
        <f t="shared" si="1"/>
        <v>0</v>
      </c>
      <c r="O28" s="10" t="str">
        <f t="shared" si="2"/>
        <v>COMPLETE</v>
      </c>
      <c r="P28" s="10"/>
      <c r="Q28" s="10" t="str">
        <f t="shared" si="3"/>
        <v>OK</v>
      </c>
    </row>
    <row r="29" spans="1:17" x14ac:dyDescent="0.3">
      <c r="A29" s="10" t="s">
        <v>183</v>
      </c>
      <c r="B29" s="13" t="s">
        <v>67</v>
      </c>
      <c r="C29" s="13" t="s">
        <v>465</v>
      </c>
      <c r="D29" s="13" t="s">
        <v>450</v>
      </c>
      <c r="E29" s="13" t="s">
        <v>466</v>
      </c>
      <c r="F29" s="13" t="s">
        <v>150</v>
      </c>
      <c r="G29" s="13" t="s">
        <v>151</v>
      </c>
      <c r="H29" s="14">
        <v>50</v>
      </c>
      <c r="I29" s="15">
        <v>2.35</v>
      </c>
      <c r="J29" s="16">
        <f t="shared" si="4"/>
        <v>117.5</v>
      </c>
      <c r="K29" s="17">
        <v>46106</v>
      </c>
      <c r="L29" s="10">
        <v>50</v>
      </c>
      <c r="M29" s="18">
        <f t="shared" si="5"/>
        <v>50</v>
      </c>
      <c r="N29" s="19">
        <f t="shared" si="1"/>
        <v>0</v>
      </c>
      <c r="O29" s="10" t="str">
        <f t="shared" si="2"/>
        <v>COMPLETE</v>
      </c>
      <c r="P29" s="10"/>
      <c r="Q29" s="10" t="str">
        <f t="shared" si="3"/>
        <v>OK</v>
      </c>
    </row>
    <row r="30" spans="1:17" x14ac:dyDescent="0.3">
      <c r="A30" s="10" t="s">
        <v>194</v>
      </c>
      <c r="B30" s="13" t="s">
        <v>67</v>
      </c>
      <c r="C30" s="13" t="s">
        <v>468</v>
      </c>
      <c r="D30" s="13" t="s">
        <v>466</v>
      </c>
      <c r="E30" s="13" t="s">
        <v>469</v>
      </c>
      <c r="F30" s="13" t="s">
        <v>150</v>
      </c>
      <c r="G30" s="13" t="s">
        <v>151</v>
      </c>
      <c r="H30" s="14">
        <v>50</v>
      </c>
      <c r="I30" s="15">
        <v>2.35</v>
      </c>
      <c r="J30" s="16">
        <f t="shared" si="4"/>
        <v>117.5</v>
      </c>
      <c r="K30" s="17">
        <v>46107</v>
      </c>
      <c r="L30" s="10">
        <v>50</v>
      </c>
      <c r="M30" s="18">
        <f t="shared" si="5"/>
        <v>50</v>
      </c>
      <c r="N30" s="19">
        <f t="shared" si="1"/>
        <v>0</v>
      </c>
      <c r="O30" s="10" t="str">
        <f t="shared" si="2"/>
        <v>COMPLETE</v>
      </c>
      <c r="P30" s="10"/>
      <c r="Q30" s="10" t="str">
        <f t="shared" si="3"/>
        <v>OK</v>
      </c>
    </row>
    <row r="31" spans="1:17" x14ac:dyDescent="0.3">
      <c r="A31" s="10" t="s">
        <v>201</v>
      </c>
      <c r="B31" s="13" t="s">
        <v>77</v>
      </c>
      <c r="C31" s="13" t="s">
        <v>489</v>
      </c>
      <c r="D31" s="13" t="s">
        <v>209</v>
      </c>
      <c r="E31" s="13" t="s">
        <v>209</v>
      </c>
      <c r="F31" s="13" t="s">
        <v>120</v>
      </c>
      <c r="G31" s="13" t="s">
        <v>121</v>
      </c>
      <c r="H31" s="14">
        <v>100</v>
      </c>
      <c r="I31" s="15">
        <v>2.2000000000000002</v>
      </c>
      <c r="J31" s="16">
        <f t="shared" si="4"/>
        <v>220.00000000000003</v>
      </c>
      <c r="K31" s="17">
        <v>46114</v>
      </c>
      <c r="L31" s="10">
        <v>100</v>
      </c>
      <c r="M31" s="18">
        <f t="shared" si="5"/>
        <v>100</v>
      </c>
      <c r="N31" s="19">
        <f t="shared" si="1"/>
        <v>0</v>
      </c>
      <c r="O31" s="10" t="str">
        <f t="shared" si="2"/>
        <v>COMPLETE</v>
      </c>
      <c r="P31" s="10"/>
      <c r="Q31" s="10" t="str">
        <f t="shared" si="3"/>
        <v>OK</v>
      </c>
    </row>
    <row r="32" spans="1:17" x14ac:dyDescent="0.3">
      <c r="A32" s="10" t="s">
        <v>203</v>
      </c>
      <c r="B32" s="13" t="s">
        <v>67</v>
      </c>
      <c r="C32" s="13" t="s">
        <v>510</v>
      </c>
      <c r="D32" s="13" t="s">
        <v>498</v>
      </c>
      <c r="E32" s="13" t="s">
        <v>504</v>
      </c>
      <c r="F32" s="13" t="s">
        <v>150</v>
      </c>
      <c r="G32" s="13" t="s">
        <v>151</v>
      </c>
      <c r="H32" s="14">
        <v>200</v>
      </c>
      <c r="I32" s="15">
        <v>2.35</v>
      </c>
      <c r="J32" s="16">
        <f t="shared" si="4"/>
        <v>470</v>
      </c>
      <c r="K32" s="17">
        <v>46119</v>
      </c>
      <c r="L32" s="10">
        <v>200</v>
      </c>
      <c r="M32" s="18">
        <f t="shared" si="5"/>
        <v>200</v>
      </c>
      <c r="N32" s="19">
        <f t="shared" si="1"/>
        <v>0</v>
      </c>
      <c r="O32" s="10" t="str">
        <f t="shared" si="2"/>
        <v>COMPLETE</v>
      </c>
      <c r="P32" s="10"/>
      <c r="Q32" s="10" t="str">
        <f t="shared" si="3"/>
        <v>OK</v>
      </c>
    </row>
    <row r="33" spans="1:17" x14ac:dyDescent="0.3">
      <c r="A33" s="36" t="s">
        <v>205</v>
      </c>
      <c r="B33" s="13" t="s">
        <v>218</v>
      </c>
      <c r="C33" s="13" t="s">
        <v>528</v>
      </c>
      <c r="D33" s="13" t="s">
        <v>133</v>
      </c>
      <c r="E33" s="13" t="s">
        <v>133</v>
      </c>
      <c r="F33" s="13" t="s">
        <v>150</v>
      </c>
      <c r="G33" s="13" t="s">
        <v>151</v>
      </c>
      <c r="H33" s="14">
        <v>300</v>
      </c>
      <c r="I33" s="15">
        <v>2.2999999999999998</v>
      </c>
      <c r="J33" s="16">
        <f t="shared" si="4"/>
        <v>690</v>
      </c>
      <c r="K33" s="17">
        <v>46120</v>
      </c>
      <c r="L33" s="10">
        <v>1500</v>
      </c>
      <c r="M33" s="18">
        <f t="shared" si="5"/>
        <v>300</v>
      </c>
      <c r="N33" s="19">
        <f t="shared" si="1"/>
        <v>1200</v>
      </c>
      <c r="O33" s="10" t="str">
        <f t="shared" si="2"/>
        <v>INCOMPLETE</v>
      </c>
      <c r="P33" s="9" t="s">
        <v>531</v>
      </c>
      <c r="Q33" s="10" t="str">
        <f t="shared" si="3"/>
        <v>OK</v>
      </c>
    </row>
    <row r="34" spans="1:17" x14ac:dyDescent="0.3">
      <c r="A34" s="36" t="s">
        <v>205</v>
      </c>
      <c r="B34" s="13" t="s">
        <v>218</v>
      </c>
      <c r="C34" s="13" t="s">
        <v>528</v>
      </c>
      <c r="D34" s="13" t="s">
        <v>209</v>
      </c>
      <c r="E34" s="13" t="s">
        <v>209</v>
      </c>
      <c r="F34" s="13" t="s">
        <v>120</v>
      </c>
      <c r="G34" s="13" t="s">
        <v>121</v>
      </c>
      <c r="H34" s="14">
        <v>100</v>
      </c>
      <c r="I34" s="15">
        <v>2.2999999999999998</v>
      </c>
      <c r="J34" s="16">
        <f t="shared" si="4"/>
        <v>229.99999999999997</v>
      </c>
      <c r="K34" s="17">
        <v>46132</v>
      </c>
      <c r="L34" s="10">
        <v>1200</v>
      </c>
      <c r="M34" s="18">
        <f t="shared" si="5"/>
        <v>100</v>
      </c>
      <c r="N34" s="19">
        <f t="shared" si="1"/>
        <v>1100</v>
      </c>
      <c r="O34" s="10" t="str">
        <f t="shared" si="2"/>
        <v>INCOMPLETE</v>
      </c>
      <c r="P34" s="10"/>
      <c r="Q34" s="10" t="str">
        <f t="shared" si="3"/>
        <v>OK</v>
      </c>
    </row>
    <row r="35" spans="1:17" x14ac:dyDescent="0.3">
      <c r="A35" s="36" t="s">
        <v>205</v>
      </c>
      <c r="B35" s="13" t="s">
        <v>218</v>
      </c>
      <c r="C35" s="13" t="s">
        <v>528</v>
      </c>
      <c r="D35" s="13" t="s">
        <v>269</v>
      </c>
      <c r="E35" s="13" t="s">
        <v>269</v>
      </c>
      <c r="F35" s="13" t="s">
        <v>150</v>
      </c>
      <c r="G35" s="13" t="s">
        <v>151</v>
      </c>
      <c r="H35" s="14">
        <v>100</v>
      </c>
      <c r="I35" s="15">
        <v>2.2999999999999998</v>
      </c>
      <c r="J35" s="16">
        <f t="shared" si="4"/>
        <v>229.99999999999997</v>
      </c>
      <c r="K35" s="17">
        <v>46135</v>
      </c>
      <c r="L35" s="10">
        <v>1100</v>
      </c>
      <c r="M35" s="18">
        <f t="shared" si="5"/>
        <v>100</v>
      </c>
      <c r="N35" s="19">
        <f t="shared" si="1"/>
        <v>1000</v>
      </c>
      <c r="O35" s="10" t="str">
        <f t="shared" si="2"/>
        <v>INCOMPLETE</v>
      </c>
      <c r="P35" s="9" t="s">
        <v>531</v>
      </c>
      <c r="Q35" s="10" t="str">
        <f t="shared" si="3"/>
        <v>OK</v>
      </c>
    </row>
    <row r="36" spans="1:17" x14ac:dyDescent="0.3">
      <c r="A36" s="44" t="s">
        <v>210</v>
      </c>
      <c r="B36" s="13" t="s">
        <v>91</v>
      </c>
      <c r="C36" s="13" t="s">
        <v>101</v>
      </c>
      <c r="D36" s="13" t="s">
        <v>189</v>
      </c>
      <c r="E36" s="13" t="s">
        <v>189</v>
      </c>
      <c r="F36" s="13" t="s">
        <v>120</v>
      </c>
      <c r="G36" s="13" t="s">
        <v>121</v>
      </c>
      <c r="H36" s="14">
        <v>100</v>
      </c>
      <c r="I36" s="15">
        <v>2.6</v>
      </c>
      <c r="J36" s="16">
        <f t="shared" si="4"/>
        <v>260</v>
      </c>
      <c r="K36" s="17">
        <v>46125</v>
      </c>
      <c r="L36" s="10">
        <v>500</v>
      </c>
      <c r="M36" s="18">
        <f t="shared" si="5"/>
        <v>100</v>
      </c>
      <c r="N36" s="19">
        <f t="shared" si="1"/>
        <v>400</v>
      </c>
      <c r="O36" s="10" t="str">
        <f t="shared" si="2"/>
        <v>INCOMPLETE</v>
      </c>
      <c r="P36" s="10"/>
      <c r="Q36" s="10" t="str">
        <f t="shared" si="3"/>
        <v>OK</v>
      </c>
    </row>
    <row r="37" spans="1:17" x14ac:dyDescent="0.3">
      <c r="A37" s="44">
        <v>27</v>
      </c>
      <c r="B37" s="13" t="s">
        <v>91</v>
      </c>
      <c r="C37" s="13" t="s">
        <v>101</v>
      </c>
      <c r="D37" s="13" t="s">
        <v>207</v>
      </c>
      <c r="E37" s="13" t="s">
        <v>207</v>
      </c>
      <c r="F37" s="13" t="s">
        <v>150</v>
      </c>
      <c r="G37" s="13" t="s">
        <v>151</v>
      </c>
      <c r="H37" s="14">
        <v>200</v>
      </c>
      <c r="I37" s="15">
        <v>2.6</v>
      </c>
      <c r="J37" s="16">
        <f t="shared" si="4"/>
        <v>520</v>
      </c>
      <c r="K37" s="17">
        <v>46146</v>
      </c>
      <c r="L37" s="10">
        <v>400</v>
      </c>
      <c r="M37" s="18">
        <f t="shared" si="5"/>
        <v>200</v>
      </c>
      <c r="N37" s="19">
        <f t="shared" si="1"/>
        <v>200</v>
      </c>
      <c r="O37" s="10" t="str">
        <f t="shared" si="2"/>
        <v>INCOMPLETE</v>
      </c>
      <c r="P37" s="9" t="s">
        <v>531</v>
      </c>
      <c r="Q37" s="10" t="str">
        <f t="shared" si="3"/>
        <v>OK</v>
      </c>
    </row>
    <row r="38" spans="1:17" x14ac:dyDescent="0.3">
      <c r="A38" s="10" t="s">
        <v>212</v>
      </c>
      <c r="B38" s="13" t="s">
        <v>67</v>
      </c>
      <c r="C38" s="13" t="s">
        <v>559</v>
      </c>
      <c r="D38" s="13" t="s">
        <v>506</v>
      </c>
      <c r="E38" s="13" t="s">
        <v>548</v>
      </c>
      <c r="F38" s="13" t="s">
        <v>150</v>
      </c>
      <c r="G38" s="13" t="s">
        <v>151</v>
      </c>
      <c r="H38" s="14">
        <v>100</v>
      </c>
      <c r="I38" s="15">
        <v>2.35</v>
      </c>
      <c r="J38" s="16">
        <f t="shared" si="4"/>
        <v>235</v>
      </c>
      <c r="K38" s="17">
        <v>46125</v>
      </c>
      <c r="L38" s="10">
        <v>100</v>
      </c>
      <c r="M38" s="18">
        <f t="shared" si="5"/>
        <v>100</v>
      </c>
      <c r="N38" s="19">
        <f t="shared" si="1"/>
        <v>0</v>
      </c>
      <c r="O38" s="10" t="str">
        <f t="shared" si="2"/>
        <v>COMPLETE</v>
      </c>
      <c r="P38" s="10"/>
      <c r="Q38" s="10" t="str">
        <f t="shared" si="3"/>
        <v>OK</v>
      </c>
    </row>
    <row r="39" spans="1:17" x14ac:dyDescent="0.3">
      <c r="A39" s="10" t="s">
        <v>214</v>
      </c>
      <c r="B39" s="13" t="s">
        <v>102</v>
      </c>
      <c r="C39" s="13" t="s">
        <v>566</v>
      </c>
      <c r="D39" s="13" t="s">
        <v>135</v>
      </c>
      <c r="E39" s="13" t="s">
        <v>135</v>
      </c>
      <c r="F39" s="13" t="s">
        <v>120</v>
      </c>
      <c r="G39" s="13" t="s">
        <v>121</v>
      </c>
      <c r="H39" s="14">
        <v>25</v>
      </c>
      <c r="I39" s="15">
        <v>2.5</v>
      </c>
      <c r="J39" s="16">
        <f t="shared" si="4"/>
        <v>62.5</v>
      </c>
      <c r="K39" s="17">
        <v>46128</v>
      </c>
      <c r="L39" s="10">
        <v>25</v>
      </c>
      <c r="M39" s="18">
        <f t="shared" si="5"/>
        <v>25</v>
      </c>
      <c r="N39" s="19">
        <f t="shared" si="1"/>
        <v>0</v>
      </c>
      <c r="O39" s="10" t="str">
        <f t="shared" si="2"/>
        <v>COMPLETE</v>
      </c>
      <c r="P39" s="10"/>
      <c r="Q39" s="10" t="str">
        <f t="shared" si="3"/>
        <v>OK</v>
      </c>
    </row>
    <row r="40" spans="1:17" x14ac:dyDescent="0.3">
      <c r="A40" s="10" t="s">
        <v>215</v>
      </c>
      <c r="B40" s="13" t="s">
        <v>67</v>
      </c>
      <c r="C40" s="13" t="s">
        <v>578</v>
      </c>
      <c r="D40" s="13" t="s">
        <v>553</v>
      </c>
      <c r="E40" s="13" t="s">
        <v>555</v>
      </c>
      <c r="F40" s="13" t="s">
        <v>150</v>
      </c>
      <c r="G40" s="13" t="s">
        <v>151</v>
      </c>
      <c r="H40" s="14">
        <v>200</v>
      </c>
      <c r="I40" s="15">
        <v>2.35</v>
      </c>
      <c r="J40" s="16">
        <f t="shared" ref="J40:J51" si="6">H40*I40</f>
        <v>470</v>
      </c>
      <c r="K40" s="17">
        <v>46133</v>
      </c>
      <c r="L40" s="10">
        <v>200</v>
      </c>
      <c r="M40" s="18">
        <f t="shared" ref="M40:M51" si="7">H40</f>
        <v>200</v>
      </c>
      <c r="N40" s="19">
        <f t="shared" ref="N40:N51" si="8">L40-M40</f>
        <v>0</v>
      </c>
      <c r="O40" s="10" t="str">
        <f t="shared" ref="O40:O51" si="9">IF(N40=0,"COMPLETE","INCOMPLETE")</f>
        <v>COMPLETE</v>
      </c>
      <c r="P40" s="10"/>
      <c r="Q40" s="10" t="str">
        <f t="shared" ref="Q40:Q51" si="10">IF(M40=H40,"OK","X")</f>
        <v>OK</v>
      </c>
    </row>
    <row r="41" spans="1:17" x14ac:dyDescent="0.3">
      <c r="A41" s="10">
        <v>31</v>
      </c>
      <c r="B41" s="13" t="s">
        <v>67</v>
      </c>
      <c r="C41" s="13" t="s">
        <v>610</v>
      </c>
      <c r="D41" s="13" t="s">
        <v>567</v>
      </c>
      <c r="E41" s="13" t="s">
        <v>577</v>
      </c>
      <c r="F41" s="13" t="s">
        <v>150</v>
      </c>
      <c r="G41" s="13" t="s">
        <v>151</v>
      </c>
      <c r="H41" s="14">
        <v>50</v>
      </c>
      <c r="I41" s="15">
        <v>2.35</v>
      </c>
      <c r="J41" s="16">
        <f t="shared" si="6"/>
        <v>117.5</v>
      </c>
      <c r="K41" s="17">
        <v>46142</v>
      </c>
      <c r="L41" s="10">
        <v>50</v>
      </c>
      <c r="M41" s="18">
        <f t="shared" si="7"/>
        <v>50</v>
      </c>
      <c r="N41" s="19">
        <f t="shared" si="8"/>
        <v>0</v>
      </c>
      <c r="O41" s="10" t="str">
        <f t="shared" si="9"/>
        <v>COMPLETE</v>
      </c>
      <c r="P41" s="10"/>
      <c r="Q41" s="10" t="str">
        <f t="shared" si="10"/>
        <v>OK</v>
      </c>
    </row>
    <row r="42" spans="1:17" x14ac:dyDescent="0.3">
      <c r="A42" s="72">
        <v>32</v>
      </c>
      <c r="B42" s="13" t="s">
        <v>218</v>
      </c>
      <c r="C42" s="13" t="s">
        <v>616</v>
      </c>
      <c r="D42" s="13" t="s">
        <v>272</v>
      </c>
      <c r="E42" s="13" t="s">
        <v>272</v>
      </c>
      <c r="F42" s="13" t="s">
        <v>150</v>
      </c>
      <c r="G42" s="13" t="s">
        <v>151</v>
      </c>
      <c r="H42" s="14">
        <v>200</v>
      </c>
      <c r="I42" s="15">
        <v>2.2999999999999998</v>
      </c>
      <c r="J42" s="16">
        <f t="shared" si="6"/>
        <v>459.99999999999994</v>
      </c>
      <c r="K42" s="17">
        <v>46144</v>
      </c>
      <c r="L42" s="10">
        <v>2000</v>
      </c>
      <c r="M42" s="18">
        <f t="shared" si="7"/>
        <v>200</v>
      </c>
      <c r="N42" s="19">
        <f t="shared" si="8"/>
        <v>1800</v>
      </c>
      <c r="O42" s="10" t="str">
        <f t="shared" si="9"/>
        <v>INCOMPLETE</v>
      </c>
      <c r="P42" s="9" t="s">
        <v>531</v>
      </c>
      <c r="Q42" s="10" t="str">
        <f t="shared" si="10"/>
        <v>OK</v>
      </c>
    </row>
    <row r="43" spans="1:17" x14ac:dyDescent="0.3">
      <c r="A43" s="72">
        <v>32</v>
      </c>
      <c r="B43" s="13" t="s">
        <v>218</v>
      </c>
      <c r="C43" s="13" t="s">
        <v>616</v>
      </c>
      <c r="D43" s="13" t="s">
        <v>275</v>
      </c>
      <c r="E43" s="13" t="s">
        <v>275</v>
      </c>
      <c r="F43" s="13" t="s">
        <v>150</v>
      </c>
      <c r="G43" s="13" t="s">
        <v>151</v>
      </c>
      <c r="H43" s="14">
        <v>200</v>
      </c>
      <c r="I43" s="15">
        <v>2.2999999999999998</v>
      </c>
      <c r="J43" s="16">
        <f t="shared" si="6"/>
        <v>459.99999999999994</v>
      </c>
      <c r="K43" s="17">
        <v>46149</v>
      </c>
      <c r="L43" s="10">
        <v>1800</v>
      </c>
      <c r="M43" s="18">
        <f t="shared" si="7"/>
        <v>200</v>
      </c>
      <c r="N43" s="19">
        <f t="shared" si="8"/>
        <v>1600</v>
      </c>
      <c r="O43" s="10" t="str">
        <f t="shared" si="9"/>
        <v>INCOMPLETE</v>
      </c>
      <c r="P43" s="9" t="s">
        <v>531</v>
      </c>
      <c r="Q43" s="10" t="str">
        <f t="shared" si="10"/>
        <v>OK</v>
      </c>
    </row>
    <row r="44" spans="1:17" x14ac:dyDescent="0.3">
      <c r="A44" s="72">
        <v>32</v>
      </c>
      <c r="B44" s="13" t="s">
        <v>218</v>
      </c>
      <c r="C44" s="13" t="s">
        <v>616</v>
      </c>
      <c r="D44" s="13" t="s">
        <v>306</v>
      </c>
      <c r="E44" s="13" t="s">
        <v>306</v>
      </c>
      <c r="F44" s="13" t="s">
        <v>150</v>
      </c>
      <c r="G44" s="13" t="s">
        <v>151</v>
      </c>
      <c r="H44" s="14">
        <v>100</v>
      </c>
      <c r="I44" s="15">
        <v>2.2999999999999998</v>
      </c>
      <c r="J44" s="16">
        <f t="shared" si="6"/>
        <v>229.99999999999997</v>
      </c>
      <c r="K44" s="17">
        <v>46160</v>
      </c>
      <c r="L44" s="10">
        <v>1600</v>
      </c>
      <c r="M44" s="18">
        <f t="shared" si="7"/>
        <v>100</v>
      </c>
      <c r="N44" s="19">
        <f t="shared" si="8"/>
        <v>1500</v>
      </c>
      <c r="O44" s="10" t="str">
        <f t="shared" si="9"/>
        <v>INCOMPLETE</v>
      </c>
      <c r="P44" s="9" t="s">
        <v>531</v>
      </c>
      <c r="Q44" s="10" t="str">
        <f t="shared" si="10"/>
        <v>OK</v>
      </c>
    </row>
    <row r="45" spans="1:17" x14ac:dyDescent="0.3">
      <c r="A45" s="72">
        <v>32</v>
      </c>
      <c r="B45" s="13" t="s">
        <v>218</v>
      </c>
      <c r="C45" s="13" t="s">
        <v>616</v>
      </c>
      <c r="D45" s="13" t="s">
        <v>325</v>
      </c>
      <c r="E45" s="13" t="s">
        <v>325</v>
      </c>
      <c r="F45" s="13" t="s">
        <v>150</v>
      </c>
      <c r="G45" s="13" t="s">
        <v>151</v>
      </c>
      <c r="H45" s="14">
        <v>100</v>
      </c>
      <c r="I45" s="15">
        <v>2.2999999999999998</v>
      </c>
      <c r="J45" s="16">
        <f t="shared" ref="J45" si="11">H45*I45</f>
        <v>229.99999999999997</v>
      </c>
      <c r="K45" s="17">
        <v>46174</v>
      </c>
      <c r="L45" s="10">
        <v>1500</v>
      </c>
      <c r="M45" s="18">
        <f t="shared" ref="M45" si="12">H45</f>
        <v>100</v>
      </c>
      <c r="N45" s="19">
        <f t="shared" ref="N45" si="13">L45-M45</f>
        <v>1400</v>
      </c>
      <c r="O45" s="10" t="str">
        <f t="shared" ref="O45" si="14">IF(N45=0,"COMPLETE","INCOMPLETE")</f>
        <v>INCOMPLETE</v>
      </c>
      <c r="P45" s="9" t="s">
        <v>531</v>
      </c>
      <c r="Q45" s="10" t="str">
        <f t="shared" ref="Q45" si="15">IF(M45=H45,"OK","X")</f>
        <v>OK</v>
      </c>
    </row>
    <row r="46" spans="1:17" x14ac:dyDescent="0.3">
      <c r="A46" s="10">
        <v>33</v>
      </c>
      <c r="B46" s="13" t="s">
        <v>67</v>
      </c>
      <c r="C46" s="13" t="s">
        <v>628</v>
      </c>
      <c r="D46" s="13" t="s">
        <v>584</v>
      </c>
      <c r="E46" s="13" t="s">
        <v>596</v>
      </c>
      <c r="F46" s="13" t="s">
        <v>150</v>
      </c>
      <c r="G46" s="13" t="s">
        <v>151</v>
      </c>
      <c r="H46" s="14">
        <v>50</v>
      </c>
      <c r="I46" s="15">
        <v>2.35</v>
      </c>
      <c r="J46" s="16">
        <f t="shared" si="6"/>
        <v>117.5</v>
      </c>
      <c r="K46" s="17">
        <v>46148</v>
      </c>
      <c r="L46" s="10">
        <v>50</v>
      </c>
      <c r="M46" s="18">
        <f t="shared" si="7"/>
        <v>50</v>
      </c>
      <c r="N46" s="19">
        <f t="shared" si="8"/>
        <v>0</v>
      </c>
      <c r="O46" s="10" t="str">
        <f t="shared" si="9"/>
        <v>COMPLETE</v>
      </c>
      <c r="P46" s="10"/>
      <c r="Q46" s="10" t="str">
        <f t="shared" si="10"/>
        <v>OK</v>
      </c>
    </row>
    <row r="47" spans="1:17" x14ac:dyDescent="0.3">
      <c r="A47" s="10">
        <v>34</v>
      </c>
      <c r="B47" s="13" t="s">
        <v>77</v>
      </c>
      <c r="C47" s="13" t="s">
        <v>629</v>
      </c>
      <c r="D47" s="13" t="s">
        <v>269</v>
      </c>
      <c r="E47" s="13" t="s">
        <v>269</v>
      </c>
      <c r="F47" s="13" t="s">
        <v>120</v>
      </c>
      <c r="G47" s="13" t="s">
        <v>121</v>
      </c>
      <c r="H47" s="14">
        <v>100</v>
      </c>
      <c r="I47" s="15">
        <v>2.2000000000000002</v>
      </c>
      <c r="J47" s="16">
        <f t="shared" si="6"/>
        <v>220.00000000000003</v>
      </c>
      <c r="K47" s="17">
        <v>46149</v>
      </c>
      <c r="L47" s="10">
        <v>100</v>
      </c>
      <c r="M47" s="18">
        <f t="shared" si="7"/>
        <v>100</v>
      </c>
      <c r="N47" s="19">
        <f t="shared" si="8"/>
        <v>0</v>
      </c>
      <c r="O47" s="10" t="str">
        <f t="shared" si="9"/>
        <v>COMPLETE</v>
      </c>
      <c r="P47" s="10"/>
      <c r="Q47" s="10" t="str">
        <f t="shared" si="10"/>
        <v>OK</v>
      </c>
    </row>
    <row r="48" spans="1:17" x14ac:dyDescent="0.3">
      <c r="A48" s="10">
        <v>35</v>
      </c>
      <c r="B48" s="13" t="s">
        <v>67</v>
      </c>
      <c r="C48" s="13" t="s">
        <v>631</v>
      </c>
      <c r="D48" s="13" t="s">
        <v>583</v>
      </c>
      <c r="E48" s="13" t="s">
        <v>597</v>
      </c>
      <c r="F48" s="13" t="s">
        <v>150</v>
      </c>
      <c r="G48" s="13" t="s">
        <v>151</v>
      </c>
      <c r="H48" s="14">
        <v>50</v>
      </c>
      <c r="I48" s="15">
        <v>2.35</v>
      </c>
      <c r="J48" s="16">
        <f t="shared" si="6"/>
        <v>117.5</v>
      </c>
      <c r="K48" s="17">
        <v>46149</v>
      </c>
      <c r="L48" s="10">
        <v>50</v>
      </c>
      <c r="M48" s="18">
        <f t="shared" si="7"/>
        <v>50</v>
      </c>
      <c r="N48" s="19">
        <f t="shared" si="8"/>
        <v>0</v>
      </c>
      <c r="O48" s="10" t="str">
        <f t="shared" si="9"/>
        <v>COMPLETE</v>
      </c>
      <c r="P48" s="10"/>
      <c r="Q48" s="10" t="str">
        <f t="shared" si="10"/>
        <v>OK</v>
      </c>
    </row>
    <row r="49" spans="1:17" x14ac:dyDescent="0.3">
      <c r="A49" s="10">
        <v>36</v>
      </c>
      <c r="B49" s="13" t="s">
        <v>67</v>
      </c>
      <c r="C49" s="13" t="s">
        <v>657</v>
      </c>
      <c r="D49" s="13" t="s">
        <v>602</v>
      </c>
      <c r="E49" s="13" t="s">
        <v>606</v>
      </c>
      <c r="F49" s="13" t="s">
        <v>150</v>
      </c>
      <c r="G49" s="13" t="s">
        <v>151</v>
      </c>
      <c r="H49" s="14">
        <v>100</v>
      </c>
      <c r="I49" s="15">
        <v>2.35</v>
      </c>
      <c r="J49" s="16">
        <f t="shared" si="6"/>
        <v>235</v>
      </c>
      <c r="K49" s="17">
        <v>46156</v>
      </c>
      <c r="L49" s="10">
        <v>100</v>
      </c>
      <c r="M49" s="18">
        <f t="shared" si="7"/>
        <v>100</v>
      </c>
      <c r="N49" s="19">
        <f t="shared" si="8"/>
        <v>0</v>
      </c>
      <c r="O49" s="10" t="str">
        <f t="shared" si="9"/>
        <v>COMPLETE</v>
      </c>
      <c r="P49" s="10"/>
      <c r="Q49" s="10" t="str">
        <f t="shared" si="10"/>
        <v>OK</v>
      </c>
    </row>
    <row r="50" spans="1:17" x14ac:dyDescent="0.3">
      <c r="A50" s="10">
        <v>37</v>
      </c>
      <c r="B50" s="13" t="s">
        <v>67</v>
      </c>
      <c r="C50" s="13" t="s">
        <v>672</v>
      </c>
      <c r="D50" s="13" t="s">
        <v>606</v>
      </c>
      <c r="E50" s="13" t="s">
        <v>605</v>
      </c>
      <c r="F50" s="13" t="s">
        <v>150</v>
      </c>
      <c r="G50" s="13" t="s">
        <v>151</v>
      </c>
      <c r="H50" s="14">
        <v>50</v>
      </c>
      <c r="I50" s="15">
        <v>2.35</v>
      </c>
      <c r="J50" s="16">
        <f t="shared" si="6"/>
        <v>117.5</v>
      </c>
      <c r="K50" s="17">
        <v>46161</v>
      </c>
      <c r="L50" s="10">
        <v>100</v>
      </c>
      <c r="M50" s="18">
        <f t="shared" si="7"/>
        <v>50</v>
      </c>
      <c r="N50" s="19">
        <f t="shared" si="8"/>
        <v>50</v>
      </c>
      <c r="O50" s="10" t="str">
        <f t="shared" si="9"/>
        <v>INCOMPLETE</v>
      </c>
      <c r="P50" s="10"/>
      <c r="Q50" s="10" t="str">
        <f t="shared" si="10"/>
        <v>OK</v>
      </c>
    </row>
    <row r="51" spans="1:17" x14ac:dyDescent="0.3">
      <c r="A51" s="10">
        <v>38</v>
      </c>
      <c r="B51" s="13" t="s">
        <v>67</v>
      </c>
      <c r="C51" s="13" t="s">
        <v>688</v>
      </c>
      <c r="D51" s="13" t="s">
        <v>614</v>
      </c>
      <c r="E51" s="13" t="s">
        <v>635</v>
      </c>
      <c r="F51" s="13" t="s">
        <v>150</v>
      </c>
      <c r="G51" s="13" t="s">
        <v>151</v>
      </c>
      <c r="H51" s="14">
        <v>50</v>
      </c>
      <c r="I51" s="15">
        <v>2.35</v>
      </c>
      <c r="J51" s="16">
        <f t="shared" si="6"/>
        <v>117.5</v>
      </c>
      <c r="K51" s="17">
        <v>46174</v>
      </c>
      <c r="L51" s="10">
        <v>50</v>
      </c>
      <c r="M51" s="18">
        <f t="shared" si="7"/>
        <v>50</v>
      </c>
      <c r="N51" s="19">
        <f t="shared" si="8"/>
        <v>0</v>
      </c>
      <c r="O51" s="10" t="str">
        <f t="shared" si="9"/>
        <v>COMPLETE</v>
      </c>
      <c r="P51" s="10"/>
      <c r="Q51" s="10" t="str">
        <f t="shared" si="10"/>
        <v>OK</v>
      </c>
    </row>
  </sheetData>
  <conditionalFormatting sqref="C1:C1048576">
    <cfRule type="duplicateValues" dxfId="64" priority="1"/>
  </conditionalFormatting>
  <pageMargins left="0.7" right="0.7" top="0.75" bottom="0.75" header="0.3" footer="0.3"/>
  <pageSetup paperSize="9"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30ED998-8DE3-4D4F-81ED-EE60427BBC92}">
          <x14:formula1>
            <xm:f>DDL!$D$2:$D$112</xm:f>
          </x14:formula1>
          <xm:sqref>B2:B51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DD095-1DA2-4984-83ED-AA70F12D7790}">
  <sheetPr codeName="Sheet9"/>
  <dimension ref="A1:Q10"/>
  <sheetViews>
    <sheetView workbookViewId="0">
      <pane ySplit="1" topLeftCell="A2" activePane="bottomLeft" state="frozen"/>
      <selection pane="bottomLeft" activeCell="I22" sqref="I22"/>
    </sheetView>
  </sheetViews>
  <sheetFormatPr defaultColWidth="9.109375" defaultRowHeight="13.8" x14ac:dyDescent="0.3"/>
  <cols>
    <col min="1" max="1" width="7.5546875" style="2" bestFit="1" customWidth="1"/>
    <col min="2" max="2" width="20.21875" style="3" bestFit="1" customWidth="1"/>
    <col min="3" max="3" width="12.33203125" style="3" bestFit="1" customWidth="1"/>
    <col min="4" max="4" width="8.33203125" style="3" bestFit="1" customWidth="1"/>
    <col min="5" max="5" width="7.88671875" style="3" bestFit="1" customWidth="1"/>
    <col min="6" max="6" width="14.33203125" style="3" bestFit="1" customWidth="1"/>
    <col min="7" max="7" width="16.109375" style="3" bestFit="1" customWidth="1"/>
    <col min="8" max="8" width="9.109375" style="4" bestFit="1" customWidth="1"/>
    <col min="9" max="9" width="14.33203125" style="5" bestFit="1" customWidth="1"/>
    <col min="10" max="10" width="18.44140625" style="8" bestFit="1" customWidth="1"/>
    <col min="11" max="11" width="9.5546875" style="6" bestFit="1" customWidth="1"/>
    <col min="12" max="12" width="16.44140625" style="7" bestFit="1" customWidth="1"/>
    <col min="13" max="13" width="17.88671875" style="7" bestFit="1" customWidth="1"/>
    <col min="14" max="14" width="12.6640625" style="7" bestFit="1" customWidth="1"/>
    <col min="15" max="15" width="11.33203125" style="7" bestFit="1" customWidth="1"/>
    <col min="16" max="17" width="14.6640625" style="7" bestFit="1" customWidth="1"/>
    <col min="18" max="16384" width="9.109375" style="1"/>
  </cols>
  <sheetData>
    <row r="1" spans="1:17" s="86" customFormat="1" x14ac:dyDescent="0.3">
      <c r="A1" s="94" t="s">
        <v>0</v>
      </c>
      <c r="B1" s="78" t="s">
        <v>3</v>
      </c>
      <c r="C1" s="78" t="s">
        <v>2</v>
      </c>
      <c r="D1" s="78" t="s">
        <v>5</v>
      </c>
      <c r="E1" s="78" t="s">
        <v>4</v>
      </c>
      <c r="F1" s="78" t="s">
        <v>6</v>
      </c>
      <c r="G1" s="78" t="s">
        <v>9</v>
      </c>
      <c r="H1" s="79" t="s">
        <v>1</v>
      </c>
      <c r="I1" s="80" t="s">
        <v>7</v>
      </c>
      <c r="J1" s="81" t="s">
        <v>8</v>
      </c>
      <c r="K1" s="82" t="s">
        <v>10</v>
      </c>
      <c r="L1" s="78" t="s">
        <v>17</v>
      </c>
      <c r="M1" s="78" t="s">
        <v>11</v>
      </c>
      <c r="N1" s="83" t="s">
        <v>12</v>
      </c>
      <c r="O1" s="84" t="s">
        <v>13</v>
      </c>
      <c r="P1" s="85" t="s">
        <v>699</v>
      </c>
      <c r="Q1" s="86" t="s">
        <v>700</v>
      </c>
    </row>
    <row r="2" spans="1:17" x14ac:dyDescent="0.3">
      <c r="A2" s="73" t="s">
        <v>16</v>
      </c>
      <c r="B2" s="13" t="s">
        <v>180</v>
      </c>
      <c r="C2" s="13" t="s">
        <v>181</v>
      </c>
      <c r="D2" s="13" t="s">
        <v>21</v>
      </c>
      <c r="E2" s="13" t="s">
        <v>21</v>
      </c>
      <c r="F2" s="13" t="s">
        <v>140</v>
      </c>
      <c r="G2" s="13" t="s">
        <v>182</v>
      </c>
      <c r="H2" s="14">
        <v>180</v>
      </c>
      <c r="I2" s="15">
        <v>29</v>
      </c>
      <c r="J2" s="16">
        <f>H2*I2</f>
        <v>5220</v>
      </c>
      <c r="K2" s="17">
        <v>46041</v>
      </c>
      <c r="L2" s="10">
        <v>180</v>
      </c>
      <c r="M2" s="18">
        <f>H2</f>
        <v>180</v>
      </c>
      <c r="N2" s="19">
        <f>L2-M2</f>
        <v>0</v>
      </c>
      <c r="O2" s="10" t="str">
        <f t="shared" ref="O2:O10" si="0">IF(N2=0,"COMPLETE","INCOMPLETE")</f>
        <v>COMPLETE</v>
      </c>
      <c r="P2" s="10"/>
      <c r="Q2" s="10" t="str">
        <f>IF(M2=H2,"OK","X")</f>
        <v>OK</v>
      </c>
    </row>
    <row r="3" spans="1:17" x14ac:dyDescent="0.3">
      <c r="A3" s="73" t="s">
        <v>18</v>
      </c>
      <c r="B3" s="13" t="s">
        <v>326</v>
      </c>
      <c r="C3" s="13" t="s">
        <v>191</v>
      </c>
      <c r="D3" s="13" t="s">
        <v>39</v>
      </c>
      <c r="E3" s="13" t="s">
        <v>39</v>
      </c>
      <c r="F3" s="13" t="s">
        <v>140</v>
      </c>
      <c r="G3" s="13" t="s">
        <v>182</v>
      </c>
      <c r="H3" s="14">
        <v>100</v>
      </c>
      <c r="I3" s="15">
        <v>29</v>
      </c>
      <c r="J3" s="16">
        <f>H3*I3</f>
        <v>2900</v>
      </c>
      <c r="K3" s="17">
        <v>46044</v>
      </c>
      <c r="L3" s="10">
        <v>100</v>
      </c>
      <c r="M3" s="18">
        <f>H3</f>
        <v>100</v>
      </c>
      <c r="N3" s="19">
        <f t="shared" ref="N3:N9" si="1">L3-M3</f>
        <v>0</v>
      </c>
      <c r="O3" s="10" t="str">
        <f t="shared" si="0"/>
        <v>COMPLETE</v>
      </c>
      <c r="P3" s="10"/>
      <c r="Q3" s="10" t="str">
        <f t="shared" ref="Q3:Q10" si="2">IF(M3=H3,"OK","X")</f>
        <v>OK</v>
      </c>
    </row>
    <row r="4" spans="1:17" x14ac:dyDescent="0.3">
      <c r="A4" s="74" t="s">
        <v>38</v>
      </c>
      <c r="B4" s="13" t="s">
        <v>180</v>
      </c>
      <c r="C4" s="13" t="s">
        <v>401</v>
      </c>
      <c r="D4" s="13" t="s">
        <v>43</v>
      </c>
      <c r="E4" s="13" t="s">
        <v>43</v>
      </c>
      <c r="F4" s="13" t="s">
        <v>140</v>
      </c>
      <c r="G4" s="13" t="s">
        <v>182</v>
      </c>
      <c r="H4" s="14">
        <v>120</v>
      </c>
      <c r="I4" s="15">
        <v>29</v>
      </c>
      <c r="J4" s="16">
        <f t="shared" ref="J4:J10" si="3">H4*I4</f>
        <v>3480</v>
      </c>
      <c r="K4" s="17">
        <v>46090</v>
      </c>
      <c r="L4" s="10">
        <v>180</v>
      </c>
      <c r="M4" s="18">
        <f t="shared" ref="M4:M10" si="4">H4</f>
        <v>120</v>
      </c>
      <c r="N4" s="19">
        <f t="shared" si="1"/>
        <v>60</v>
      </c>
      <c r="O4" s="10" t="str">
        <f t="shared" si="0"/>
        <v>INCOMPLETE</v>
      </c>
      <c r="P4" s="10"/>
      <c r="Q4" s="10" t="str">
        <f t="shared" si="2"/>
        <v>OK</v>
      </c>
    </row>
    <row r="5" spans="1:17" x14ac:dyDescent="0.3">
      <c r="A5" s="74" t="s">
        <v>38</v>
      </c>
      <c r="B5" s="13" t="s">
        <v>180</v>
      </c>
      <c r="C5" s="13" t="s">
        <v>401</v>
      </c>
      <c r="D5" s="13" t="s">
        <v>47</v>
      </c>
      <c r="E5" s="13" t="s">
        <v>47</v>
      </c>
      <c r="F5" s="13" t="s">
        <v>140</v>
      </c>
      <c r="G5" s="13" t="s">
        <v>182</v>
      </c>
      <c r="H5" s="14">
        <v>60</v>
      </c>
      <c r="I5" s="15">
        <v>29</v>
      </c>
      <c r="J5" s="16">
        <f t="shared" si="3"/>
        <v>1740</v>
      </c>
      <c r="K5" s="17">
        <v>46097</v>
      </c>
      <c r="L5" s="10">
        <v>60</v>
      </c>
      <c r="M5" s="18">
        <f t="shared" si="4"/>
        <v>60</v>
      </c>
      <c r="N5" s="19">
        <f t="shared" si="1"/>
        <v>0</v>
      </c>
      <c r="O5" s="10" t="str">
        <f t="shared" si="0"/>
        <v>COMPLETE</v>
      </c>
      <c r="P5" s="10"/>
      <c r="Q5" s="10" t="str">
        <f t="shared" si="2"/>
        <v>OK</v>
      </c>
    </row>
    <row r="6" spans="1:17" x14ac:dyDescent="0.3">
      <c r="A6" s="75" t="s">
        <v>54</v>
      </c>
      <c r="B6" s="13" t="s">
        <v>180</v>
      </c>
      <c r="C6" s="13" t="s">
        <v>487</v>
      </c>
      <c r="D6" s="13" t="s">
        <v>94</v>
      </c>
      <c r="E6" s="13" t="s">
        <v>94</v>
      </c>
      <c r="F6" s="13" t="s">
        <v>140</v>
      </c>
      <c r="G6" s="13" t="s">
        <v>182</v>
      </c>
      <c r="H6" s="14">
        <v>33</v>
      </c>
      <c r="I6" s="15">
        <v>29</v>
      </c>
      <c r="J6" s="16">
        <f t="shared" si="3"/>
        <v>957</v>
      </c>
      <c r="K6" s="17">
        <v>46113</v>
      </c>
      <c r="L6" s="10">
        <v>360</v>
      </c>
      <c r="M6" s="18">
        <f t="shared" si="4"/>
        <v>33</v>
      </c>
      <c r="N6" s="19">
        <f t="shared" si="1"/>
        <v>327</v>
      </c>
      <c r="O6" s="10" t="str">
        <f t="shared" si="0"/>
        <v>INCOMPLETE</v>
      </c>
      <c r="P6" s="10"/>
      <c r="Q6" s="10" t="str">
        <f t="shared" si="2"/>
        <v>OK</v>
      </c>
    </row>
    <row r="7" spans="1:17" x14ac:dyDescent="0.3">
      <c r="A7" s="75" t="s">
        <v>54</v>
      </c>
      <c r="B7" s="13" t="s">
        <v>180</v>
      </c>
      <c r="C7" s="13" t="s">
        <v>487</v>
      </c>
      <c r="D7" s="13" t="s">
        <v>98</v>
      </c>
      <c r="E7" s="13" t="s">
        <v>98</v>
      </c>
      <c r="F7" s="13" t="s">
        <v>140</v>
      </c>
      <c r="G7" s="13" t="s">
        <v>182</v>
      </c>
      <c r="H7" s="14">
        <v>327</v>
      </c>
      <c r="I7" s="15">
        <v>29</v>
      </c>
      <c r="J7" s="16">
        <f t="shared" si="3"/>
        <v>9483</v>
      </c>
      <c r="K7" s="17">
        <v>46130</v>
      </c>
      <c r="L7" s="10">
        <v>327</v>
      </c>
      <c r="M7" s="18">
        <f t="shared" si="4"/>
        <v>327</v>
      </c>
      <c r="N7" s="19">
        <f t="shared" si="1"/>
        <v>0</v>
      </c>
      <c r="O7" s="10" t="str">
        <f t="shared" si="0"/>
        <v>COMPLETE</v>
      </c>
      <c r="P7" s="10"/>
      <c r="Q7" s="10" t="str">
        <f t="shared" si="2"/>
        <v>OK</v>
      </c>
    </row>
    <row r="8" spans="1:17" x14ac:dyDescent="0.3">
      <c r="A8" s="76" t="s">
        <v>69</v>
      </c>
      <c r="B8" s="13" t="s">
        <v>50</v>
      </c>
      <c r="C8" s="13" t="s">
        <v>490</v>
      </c>
      <c r="D8" s="13" t="s">
        <v>356</v>
      </c>
      <c r="E8" s="13" t="s">
        <v>356</v>
      </c>
      <c r="F8" s="13" t="s">
        <v>140</v>
      </c>
      <c r="G8" s="13" t="s">
        <v>182</v>
      </c>
      <c r="H8" s="14">
        <v>35</v>
      </c>
      <c r="I8" s="15">
        <v>30</v>
      </c>
      <c r="J8" s="16">
        <f t="shared" si="3"/>
        <v>1050</v>
      </c>
      <c r="K8" s="17">
        <v>46114</v>
      </c>
      <c r="L8" s="10">
        <v>100</v>
      </c>
      <c r="M8" s="18">
        <f t="shared" si="4"/>
        <v>35</v>
      </c>
      <c r="N8" s="19">
        <f t="shared" si="1"/>
        <v>65</v>
      </c>
      <c r="O8" s="10" t="str">
        <f t="shared" si="0"/>
        <v>INCOMPLETE</v>
      </c>
      <c r="P8" s="10"/>
      <c r="Q8" s="10" t="str">
        <f t="shared" si="2"/>
        <v>OK</v>
      </c>
    </row>
    <row r="9" spans="1:17" x14ac:dyDescent="0.3">
      <c r="A9" s="76" t="s">
        <v>69</v>
      </c>
      <c r="B9" s="13" t="s">
        <v>50</v>
      </c>
      <c r="C9" s="13" t="s">
        <v>490</v>
      </c>
      <c r="D9" s="13" t="s">
        <v>398</v>
      </c>
      <c r="E9" s="13" t="s">
        <v>398</v>
      </c>
      <c r="F9" s="13" t="s">
        <v>140</v>
      </c>
      <c r="G9" s="13" t="s">
        <v>182</v>
      </c>
      <c r="H9" s="14">
        <v>65</v>
      </c>
      <c r="I9" s="15">
        <v>30</v>
      </c>
      <c r="J9" s="16">
        <f t="shared" si="3"/>
        <v>1950</v>
      </c>
      <c r="K9" s="17">
        <v>46130</v>
      </c>
      <c r="L9" s="10">
        <v>65</v>
      </c>
      <c r="M9" s="18">
        <f t="shared" si="4"/>
        <v>65</v>
      </c>
      <c r="N9" s="19">
        <f t="shared" si="1"/>
        <v>0</v>
      </c>
      <c r="O9" s="10" t="str">
        <f t="shared" si="0"/>
        <v>COMPLETE</v>
      </c>
      <c r="P9" s="10"/>
      <c r="Q9" s="10" t="str">
        <f t="shared" si="2"/>
        <v>OK</v>
      </c>
    </row>
    <row r="10" spans="1:17" x14ac:dyDescent="0.3">
      <c r="A10" s="73" t="s">
        <v>72</v>
      </c>
      <c r="B10" s="13" t="s">
        <v>328</v>
      </c>
      <c r="C10" s="13" t="s">
        <v>648</v>
      </c>
      <c r="D10" s="13" t="s">
        <v>43</v>
      </c>
      <c r="E10" s="13" t="s">
        <v>43</v>
      </c>
      <c r="F10" s="13" t="s">
        <v>140</v>
      </c>
      <c r="G10" s="13" t="s">
        <v>182</v>
      </c>
      <c r="H10" s="14">
        <v>96</v>
      </c>
      <c r="I10" s="15">
        <v>20</v>
      </c>
      <c r="J10" s="16">
        <f t="shared" si="3"/>
        <v>1920</v>
      </c>
      <c r="K10" s="17">
        <v>46153</v>
      </c>
      <c r="L10" s="10">
        <v>96</v>
      </c>
      <c r="M10" s="18">
        <f t="shared" si="4"/>
        <v>96</v>
      </c>
      <c r="N10" s="18">
        <f>L10-M10</f>
        <v>0</v>
      </c>
      <c r="O10" s="10" t="str">
        <f t="shared" si="0"/>
        <v>COMPLETE</v>
      </c>
      <c r="P10" s="10"/>
      <c r="Q10" s="10" t="str">
        <f t="shared" si="2"/>
        <v>OK</v>
      </c>
    </row>
  </sheetData>
  <conditionalFormatting sqref="C1:C1048576">
    <cfRule type="duplicateValues" dxfId="63" priority="1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D28165-D6A8-454F-B8E6-D8D42DB660BA}">
          <x14:formula1>
            <xm:f>DDL!$D$2:$D$112</xm:f>
          </x14:formula1>
          <xm:sqref>B2:B10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CF640-3B7B-4C7B-9153-53EE6483A010}">
  <sheetPr codeName="Sheet11"/>
  <dimension ref="A1:Q92"/>
  <sheetViews>
    <sheetView workbookViewId="0">
      <pane ySplit="1" topLeftCell="A86" activePane="bottomLeft" state="frozen"/>
      <selection pane="bottomLeft" activeCell="E11" sqref="E11"/>
    </sheetView>
  </sheetViews>
  <sheetFormatPr defaultColWidth="9.109375" defaultRowHeight="13.8" x14ac:dyDescent="0.3"/>
  <cols>
    <col min="1" max="1" width="7.5546875" style="7" bestFit="1" customWidth="1"/>
    <col min="2" max="2" width="28.77734375" style="3" bestFit="1" customWidth="1"/>
    <col min="3" max="3" width="14.77734375" style="3" bestFit="1" customWidth="1"/>
    <col min="4" max="4" width="8.33203125" style="3" bestFit="1" customWidth="1"/>
    <col min="5" max="5" width="7.88671875" style="3" bestFit="1" customWidth="1"/>
    <col min="6" max="6" width="14.33203125" style="3" bestFit="1" customWidth="1"/>
    <col min="7" max="7" width="17.21875" style="3" bestFit="1" customWidth="1"/>
    <col min="8" max="8" width="9.109375" style="4" bestFit="1" customWidth="1"/>
    <col min="9" max="9" width="14.33203125" style="5" bestFit="1" customWidth="1"/>
    <col min="10" max="10" width="18.44140625" style="8" bestFit="1" customWidth="1"/>
    <col min="11" max="11" width="9.5546875" style="6" bestFit="1" customWidth="1"/>
    <col min="12" max="12" width="16.44140625" style="7" bestFit="1" customWidth="1"/>
    <col min="13" max="13" width="17.88671875" style="7" bestFit="1" customWidth="1"/>
    <col min="14" max="14" width="12.6640625" style="7" bestFit="1" customWidth="1"/>
    <col min="15" max="15" width="11.33203125" style="7" bestFit="1" customWidth="1"/>
    <col min="16" max="16" width="36.44140625" style="7" bestFit="1" customWidth="1"/>
    <col min="17" max="17" width="14.6640625" style="7" bestFit="1" customWidth="1"/>
    <col min="18" max="16384" width="9.109375" style="1"/>
  </cols>
  <sheetData>
    <row r="1" spans="1:17" s="86" customFormat="1" x14ac:dyDescent="0.3">
      <c r="A1" s="77" t="s">
        <v>0</v>
      </c>
      <c r="B1" s="78" t="s">
        <v>3</v>
      </c>
      <c r="C1" s="78" t="s">
        <v>2</v>
      </c>
      <c r="D1" s="78" t="s">
        <v>5</v>
      </c>
      <c r="E1" s="78" t="s">
        <v>4</v>
      </c>
      <c r="F1" s="78" t="s">
        <v>6</v>
      </c>
      <c r="G1" s="78" t="s">
        <v>9</v>
      </c>
      <c r="H1" s="79" t="s">
        <v>1</v>
      </c>
      <c r="I1" s="80" t="s">
        <v>7</v>
      </c>
      <c r="J1" s="81" t="s">
        <v>8</v>
      </c>
      <c r="K1" s="82" t="s">
        <v>10</v>
      </c>
      <c r="L1" s="78" t="s">
        <v>17</v>
      </c>
      <c r="M1" s="78" t="s">
        <v>11</v>
      </c>
      <c r="N1" s="83" t="s">
        <v>12</v>
      </c>
      <c r="O1" s="84" t="s">
        <v>13</v>
      </c>
      <c r="P1" s="85" t="s">
        <v>699</v>
      </c>
      <c r="Q1" s="86" t="s">
        <v>700</v>
      </c>
    </row>
    <row r="2" spans="1:17" x14ac:dyDescent="0.3">
      <c r="A2" s="10" t="s">
        <v>16</v>
      </c>
      <c r="B2" s="13" t="s">
        <v>19</v>
      </c>
      <c r="C2" s="13" t="s">
        <v>20</v>
      </c>
      <c r="D2" s="13" t="s">
        <v>21</v>
      </c>
      <c r="E2" s="13" t="s">
        <v>21</v>
      </c>
      <c r="F2" s="13" t="s">
        <v>22</v>
      </c>
      <c r="G2" s="13" t="s">
        <v>23</v>
      </c>
      <c r="H2" s="14">
        <v>50</v>
      </c>
      <c r="I2" s="15">
        <v>2.2000000000000002</v>
      </c>
      <c r="J2" s="16">
        <f>H2*I2</f>
        <v>110.00000000000001</v>
      </c>
      <c r="K2" s="17">
        <v>46024</v>
      </c>
      <c r="L2" s="10">
        <v>50</v>
      </c>
      <c r="M2" s="18">
        <f>H2</f>
        <v>50</v>
      </c>
      <c r="N2" s="19">
        <f>L2-M2</f>
        <v>0</v>
      </c>
      <c r="O2" s="10" t="str">
        <f>IF(N2=0,"COMPLETE","INCOMPLETE")</f>
        <v>COMPLETE</v>
      </c>
      <c r="P2" s="10"/>
      <c r="Q2" s="10" t="str">
        <f>IF(M2=H2,"OK","X")</f>
        <v>OK</v>
      </c>
    </row>
    <row r="3" spans="1:17" x14ac:dyDescent="0.3">
      <c r="A3" s="10" t="s">
        <v>18</v>
      </c>
      <c r="B3" s="13" t="s">
        <v>32</v>
      </c>
      <c r="C3" s="13" t="s">
        <v>33</v>
      </c>
      <c r="D3" s="13" t="s">
        <v>21</v>
      </c>
      <c r="E3" s="13" t="s">
        <v>21</v>
      </c>
      <c r="F3" s="13" t="s">
        <v>22</v>
      </c>
      <c r="G3" s="13" t="s">
        <v>23</v>
      </c>
      <c r="H3" s="14">
        <v>150</v>
      </c>
      <c r="I3" s="15">
        <v>2.7</v>
      </c>
      <c r="J3" s="16">
        <f>H3*I3</f>
        <v>405</v>
      </c>
      <c r="K3" s="17">
        <v>46024</v>
      </c>
      <c r="L3" s="10">
        <v>150</v>
      </c>
      <c r="M3" s="18">
        <f t="shared" ref="M3:M79" si="0">H3</f>
        <v>150</v>
      </c>
      <c r="N3" s="19">
        <f t="shared" ref="N3:N37" si="1">L3-M3</f>
        <v>0</v>
      </c>
      <c r="O3" s="10" t="str">
        <f t="shared" ref="O3:O37" si="2">IF(N3=0,"COMPLETE","INCOMPLETE")</f>
        <v>COMPLETE</v>
      </c>
      <c r="P3" s="10"/>
      <c r="Q3" s="10" t="str">
        <f t="shared" ref="Q3:Q79" si="3">IF(M3=H3,"OK","X")</f>
        <v>OK</v>
      </c>
    </row>
    <row r="4" spans="1:17" x14ac:dyDescent="0.3">
      <c r="A4" s="9" t="s">
        <v>38</v>
      </c>
      <c r="B4" s="13" t="s">
        <v>77</v>
      </c>
      <c r="C4" s="13" t="s">
        <v>78</v>
      </c>
      <c r="D4" s="13" t="s">
        <v>21</v>
      </c>
      <c r="E4" s="13" t="s">
        <v>21</v>
      </c>
      <c r="F4" s="13" t="s">
        <v>79</v>
      </c>
      <c r="G4" s="13" t="s">
        <v>80</v>
      </c>
      <c r="H4" s="14">
        <v>400</v>
      </c>
      <c r="I4" s="15">
        <v>2.5</v>
      </c>
      <c r="J4" s="16">
        <f t="shared" ref="J4:J37" si="4">H4*I4</f>
        <v>1000</v>
      </c>
      <c r="K4" s="17">
        <v>46028</v>
      </c>
      <c r="L4" s="10">
        <v>400</v>
      </c>
      <c r="M4" s="18">
        <f t="shared" si="0"/>
        <v>400</v>
      </c>
      <c r="N4" s="19">
        <f t="shared" si="1"/>
        <v>0</v>
      </c>
      <c r="O4" s="10" t="str">
        <f t="shared" si="2"/>
        <v>COMPLETE</v>
      </c>
      <c r="P4" s="10"/>
      <c r="Q4" s="10" t="str">
        <f t="shared" si="3"/>
        <v>OK</v>
      </c>
    </row>
    <row r="5" spans="1:17" x14ac:dyDescent="0.3">
      <c r="A5" s="9" t="s">
        <v>38</v>
      </c>
      <c r="B5" s="13" t="s">
        <v>77</v>
      </c>
      <c r="C5" s="13" t="s">
        <v>78</v>
      </c>
      <c r="D5" s="13" t="s">
        <v>21</v>
      </c>
      <c r="E5" s="13" t="s">
        <v>21</v>
      </c>
      <c r="F5" s="13" t="s">
        <v>22</v>
      </c>
      <c r="G5" s="13" t="s">
        <v>23</v>
      </c>
      <c r="H5" s="14">
        <v>200</v>
      </c>
      <c r="I5" s="15">
        <v>2.5</v>
      </c>
      <c r="J5" s="16">
        <f t="shared" si="4"/>
        <v>500</v>
      </c>
      <c r="K5" s="17">
        <v>46028</v>
      </c>
      <c r="L5" s="10">
        <v>200</v>
      </c>
      <c r="M5" s="18">
        <f t="shared" si="0"/>
        <v>200</v>
      </c>
      <c r="N5" s="19">
        <f t="shared" si="1"/>
        <v>0</v>
      </c>
      <c r="O5" s="10" t="str">
        <f t="shared" si="2"/>
        <v>COMPLETE</v>
      </c>
      <c r="P5" s="10"/>
      <c r="Q5" s="10" t="str">
        <f t="shared" si="3"/>
        <v>OK</v>
      </c>
    </row>
    <row r="6" spans="1:17" x14ac:dyDescent="0.3">
      <c r="A6" s="10" t="s">
        <v>54</v>
      </c>
      <c r="B6" s="13" t="s">
        <v>50</v>
      </c>
      <c r="C6" s="13" t="s">
        <v>93</v>
      </c>
      <c r="D6" s="13" t="s">
        <v>94</v>
      </c>
      <c r="E6" s="13" t="s">
        <v>94</v>
      </c>
      <c r="F6" s="13" t="s">
        <v>79</v>
      </c>
      <c r="G6" s="13" t="s">
        <v>80</v>
      </c>
      <c r="H6" s="14">
        <v>200</v>
      </c>
      <c r="I6" s="15">
        <v>2.7</v>
      </c>
      <c r="J6" s="16">
        <f t="shared" si="4"/>
        <v>540</v>
      </c>
      <c r="K6" s="17">
        <v>46028</v>
      </c>
      <c r="L6" s="10">
        <v>200</v>
      </c>
      <c r="M6" s="18">
        <f t="shared" si="0"/>
        <v>200</v>
      </c>
      <c r="N6" s="19">
        <f t="shared" si="1"/>
        <v>0</v>
      </c>
      <c r="O6" s="10" t="str">
        <f t="shared" si="2"/>
        <v>COMPLETE</v>
      </c>
      <c r="P6" s="10"/>
      <c r="Q6" s="10" t="str">
        <f t="shared" si="3"/>
        <v>OK</v>
      </c>
    </row>
    <row r="7" spans="1:17" x14ac:dyDescent="0.3">
      <c r="A7" s="10" t="s">
        <v>69</v>
      </c>
      <c r="B7" s="13" t="s">
        <v>91</v>
      </c>
      <c r="C7" s="13" t="s">
        <v>101</v>
      </c>
      <c r="D7" s="13" t="s">
        <v>39</v>
      </c>
      <c r="E7" s="13" t="s">
        <v>39</v>
      </c>
      <c r="F7" s="13" t="s">
        <v>22</v>
      </c>
      <c r="G7" s="13" t="s">
        <v>23</v>
      </c>
      <c r="H7" s="14">
        <v>400</v>
      </c>
      <c r="I7" s="15">
        <v>2.6</v>
      </c>
      <c r="J7" s="16">
        <f t="shared" si="4"/>
        <v>1040</v>
      </c>
      <c r="K7" s="17">
        <v>46030</v>
      </c>
      <c r="L7" s="10">
        <v>400</v>
      </c>
      <c r="M7" s="18">
        <f t="shared" si="0"/>
        <v>400</v>
      </c>
      <c r="N7" s="19">
        <f t="shared" si="1"/>
        <v>0</v>
      </c>
      <c r="O7" s="10" t="str">
        <f t="shared" si="2"/>
        <v>COMPLETE</v>
      </c>
      <c r="P7" s="10"/>
      <c r="Q7" s="10" t="str">
        <f t="shared" si="3"/>
        <v>OK</v>
      </c>
    </row>
    <row r="8" spans="1:17" x14ac:dyDescent="0.3">
      <c r="A8" s="40" t="s">
        <v>72</v>
      </c>
      <c r="B8" s="13" t="s">
        <v>113</v>
      </c>
      <c r="C8" s="13" t="s">
        <v>114</v>
      </c>
      <c r="D8" s="13" t="s">
        <v>94</v>
      </c>
      <c r="E8" s="13" t="s">
        <v>98</v>
      </c>
      <c r="F8" s="13" t="s">
        <v>22</v>
      </c>
      <c r="G8" s="13" t="s">
        <v>23</v>
      </c>
      <c r="H8" s="14">
        <v>500</v>
      </c>
      <c r="I8" s="15">
        <v>2.5</v>
      </c>
      <c r="J8" s="16">
        <f t="shared" si="4"/>
        <v>1250</v>
      </c>
      <c r="K8" s="17">
        <v>46030</v>
      </c>
      <c r="L8" s="10">
        <v>2000</v>
      </c>
      <c r="M8" s="18">
        <f t="shared" si="0"/>
        <v>500</v>
      </c>
      <c r="N8" s="19">
        <f t="shared" si="1"/>
        <v>1500</v>
      </c>
      <c r="O8" s="10" t="str">
        <f t="shared" si="2"/>
        <v>INCOMPLETE</v>
      </c>
      <c r="P8" s="10"/>
      <c r="Q8" s="10" t="str">
        <f t="shared" si="3"/>
        <v>OK</v>
      </c>
    </row>
    <row r="9" spans="1:17" x14ac:dyDescent="0.3">
      <c r="A9" s="40" t="s">
        <v>72</v>
      </c>
      <c r="B9" s="13" t="s">
        <v>113</v>
      </c>
      <c r="C9" s="13" t="s">
        <v>114</v>
      </c>
      <c r="D9" s="13" t="s">
        <v>222</v>
      </c>
      <c r="E9" s="13" t="s">
        <v>248</v>
      </c>
      <c r="F9" s="13" t="s">
        <v>22</v>
      </c>
      <c r="G9" s="13" t="s">
        <v>23</v>
      </c>
      <c r="H9" s="14">
        <v>1500</v>
      </c>
      <c r="I9" s="15">
        <v>2.5</v>
      </c>
      <c r="J9" s="16">
        <f t="shared" si="4"/>
        <v>3750</v>
      </c>
      <c r="K9" s="17">
        <v>46056</v>
      </c>
      <c r="L9" s="10">
        <v>1500</v>
      </c>
      <c r="M9" s="18">
        <f t="shared" si="0"/>
        <v>1500</v>
      </c>
      <c r="N9" s="19">
        <f t="shared" si="1"/>
        <v>0</v>
      </c>
      <c r="O9" s="10" t="str">
        <f t="shared" si="2"/>
        <v>COMPLETE</v>
      </c>
      <c r="P9" s="10"/>
      <c r="Q9" s="10" t="str">
        <f t="shared" si="3"/>
        <v>OK</v>
      </c>
    </row>
    <row r="10" spans="1:17" x14ac:dyDescent="0.3">
      <c r="A10" s="10" t="s">
        <v>85</v>
      </c>
      <c r="B10" s="13" t="s">
        <v>123</v>
      </c>
      <c r="C10" s="13" t="s">
        <v>122</v>
      </c>
      <c r="D10" s="13" t="s">
        <v>21</v>
      </c>
      <c r="E10" s="13" t="s">
        <v>21</v>
      </c>
      <c r="F10" s="13" t="s">
        <v>79</v>
      </c>
      <c r="G10" s="13" t="s">
        <v>80</v>
      </c>
      <c r="H10" s="14">
        <v>200</v>
      </c>
      <c r="I10" s="15">
        <v>2.6</v>
      </c>
      <c r="J10" s="16">
        <f t="shared" si="4"/>
        <v>520</v>
      </c>
      <c r="K10" s="17">
        <v>46030</v>
      </c>
      <c r="L10" s="10">
        <v>200</v>
      </c>
      <c r="M10" s="18">
        <f t="shared" si="0"/>
        <v>200</v>
      </c>
      <c r="N10" s="19">
        <f t="shared" si="1"/>
        <v>0</v>
      </c>
      <c r="O10" s="10" t="str">
        <f t="shared" si="2"/>
        <v>COMPLETE</v>
      </c>
      <c r="P10" s="10"/>
      <c r="Q10" s="10" t="str">
        <f t="shared" si="3"/>
        <v>OK</v>
      </c>
    </row>
    <row r="11" spans="1:17" x14ac:dyDescent="0.3">
      <c r="A11" s="10" t="s">
        <v>88</v>
      </c>
      <c r="B11" s="13" t="s">
        <v>132</v>
      </c>
      <c r="C11" s="13" t="s">
        <v>131</v>
      </c>
      <c r="D11" s="13" t="s">
        <v>21</v>
      </c>
      <c r="E11" s="13" t="s">
        <v>21</v>
      </c>
      <c r="F11" s="13" t="s">
        <v>79</v>
      </c>
      <c r="G11" s="13" t="s">
        <v>80</v>
      </c>
      <c r="H11" s="14">
        <v>100</v>
      </c>
      <c r="I11" s="15">
        <v>2.6</v>
      </c>
      <c r="J11" s="16">
        <f t="shared" si="4"/>
        <v>260</v>
      </c>
      <c r="K11" s="17">
        <v>46031</v>
      </c>
      <c r="L11" s="10">
        <v>100</v>
      </c>
      <c r="M11" s="18">
        <f t="shared" si="0"/>
        <v>100</v>
      </c>
      <c r="N11" s="19">
        <f t="shared" si="1"/>
        <v>0</v>
      </c>
      <c r="O11" s="10" t="str">
        <f t="shared" si="2"/>
        <v>COMPLETE</v>
      </c>
      <c r="P11" s="10"/>
      <c r="Q11" s="10" t="str">
        <f t="shared" si="3"/>
        <v>OK</v>
      </c>
    </row>
    <row r="12" spans="1:17" x14ac:dyDescent="0.3">
      <c r="A12" s="36" t="s">
        <v>90</v>
      </c>
      <c r="B12" s="13" t="s">
        <v>145</v>
      </c>
      <c r="C12" s="13" t="s">
        <v>146</v>
      </c>
      <c r="D12" s="13" t="s">
        <v>21</v>
      </c>
      <c r="E12" s="13" t="s">
        <v>21</v>
      </c>
      <c r="F12" s="13" t="s">
        <v>22</v>
      </c>
      <c r="G12" s="13" t="s">
        <v>23</v>
      </c>
      <c r="H12" s="14">
        <v>400</v>
      </c>
      <c r="I12" s="15">
        <v>2.2000000000000002</v>
      </c>
      <c r="J12" s="16">
        <f t="shared" si="4"/>
        <v>880.00000000000011</v>
      </c>
      <c r="K12" s="17">
        <v>46035</v>
      </c>
      <c r="L12" s="10">
        <v>1900</v>
      </c>
      <c r="M12" s="18">
        <f t="shared" si="0"/>
        <v>400</v>
      </c>
      <c r="N12" s="19">
        <f t="shared" si="1"/>
        <v>1500</v>
      </c>
      <c r="O12" s="10" t="str">
        <f t="shared" si="2"/>
        <v>INCOMPLETE</v>
      </c>
      <c r="P12" s="10"/>
      <c r="Q12" s="10" t="str">
        <f t="shared" si="3"/>
        <v>OK</v>
      </c>
    </row>
    <row r="13" spans="1:17" x14ac:dyDescent="0.3">
      <c r="A13" s="36" t="s">
        <v>90</v>
      </c>
      <c r="B13" s="13" t="s">
        <v>145</v>
      </c>
      <c r="C13" s="13" t="s">
        <v>146</v>
      </c>
      <c r="D13" s="13" t="s">
        <v>39</v>
      </c>
      <c r="E13" s="13" t="s">
        <v>39</v>
      </c>
      <c r="F13" s="13" t="s">
        <v>22</v>
      </c>
      <c r="G13" s="13" t="s">
        <v>23</v>
      </c>
      <c r="H13" s="14">
        <v>500</v>
      </c>
      <c r="I13" s="15">
        <v>2.2000000000000002</v>
      </c>
      <c r="J13" s="16">
        <f t="shared" si="4"/>
        <v>1100</v>
      </c>
      <c r="K13" s="17">
        <v>46072</v>
      </c>
      <c r="L13" s="10">
        <v>1500</v>
      </c>
      <c r="M13" s="18">
        <f t="shared" si="0"/>
        <v>500</v>
      </c>
      <c r="N13" s="19">
        <f t="shared" si="1"/>
        <v>1000</v>
      </c>
      <c r="O13" s="10" t="str">
        <f t="shared" si="2"/>
        <v>INCOMPLETE</v>
      </c>
      <c r="P13" s="10"/>
      <c r="Q13" s="10" t="str">
        <f t="shared" si="3"/>
        <v>OK</v>
      </c>
    </row>
    <row r="14" spans="1:17" x14ac:dyDescent="0.3">
      <c r="A14" s="36" t="s">
        <v>90</v>
      </c>
      <c r="B14" s="13" t="s">
        <v>145</v>
      </c>
      <c r="C14" s="13" t="s">
        <v>146</v>
      </c>
      <c r="D14" s="13" t="s">
        <v>43</v>
      </c>
      <c r="E14" s="13" t="s">
        <v>43</v>
      </c>
      <c r="F14" s="13" t="s">
        <v>22</v>
      </c>
      <c r="G14" s="13" t="s">
        <v>23</v>
      </c>
      <c r="H14" s="14">
        <v>300</v>
      </c>
      <c r="I14" s="15">
        <v>2.2000000000000002</v>
      </c>
      <c r="J14" s="16">
        <f t="shared" si="4"/>
        <v>660</v>
      </c>
      <c r="K14" s="17">
        <v>46097</v>
      </c>
      <c r="L14" s="10">
        <v>1000</v>
      </c>
      <c r="M14" s="18">
        <f t="shared" si="0"/>
        <v>300</v>
      </c>
      <c r="N14" s="19">
        <f t="shared" si="1"/>
        <v>700</v>
      </c>
      <c r="O14" s="10" t="str">
        <f t="shared" si="2"/>
        <v>INCOMPLETE</v>
      </c>
      <c r="P14" s="10"/>
      <c r="Q14" s="10" t="str">
        <f t="shared" si="3"/>
        <v>OK</v>
      </c>
    </row>
    <row r="15" spans="1:17" x14ac:dyDescent="0.3">
      <c r="A15" s="36" t="s">
        <v>90</v>
      </c>
      <c r="B15" s="13" t="s">
        <v>145</v>
      </c>
      <c r="C15" s="13" t="s">
        <v>146</v>
      </c>
      <c r="D15" s="13" t="s">
        <v>47</v>
      </c>
      <c r="E15" s="13" t="s">
        <v>47</v>
      </c>
      <c r="F15" s="13" t="s">
        <v>22</v>
      </c>
      <c r="G15" s="13" t="s">
        <v>23</v>
      </c>
      <c r="H15" s="14">
        <v>500</v>
      </c>
      <c r="I15" s="15">
        <v>2.2000000000000002</v>
      </c>
      <c r="J15" s="16">
        <f t="shared" si="4"/>
        <v>1100</v>
      </c>
      <c r="K15" s="17">
        <v>46128</v>
      </c>
      <c r="L15" s="10">
        <v>700</v>
      </c>
      <c r="M15" s="18">
        <f t="shared" si="0"/>
        <v>500</v>
      </c>
      <c r="N15" s="19">
        <f t="shared" si="1"/>
        <v>200</v>
      </c>
      <c r="O15" s="10" t="str">
        <f t="shared" si="2"/>
        <v>INCOMPLETE</v>
      </c>
      <c r="P15" s="10"/>
      <c r="Q15" s="10" t="str">
        <f t="shared" si="3"/>
        <v>OK</v>
      </c>
    </row>
    <row r="16" spans="1:17" x14ac:dyDescent="0.3">
      <c r="A16" s="10" t="s">
        <v>108</v>
      </c>
      <c r="B16" s="13" t="s">
        <v>73</v>
      </c>
      <c r="C16" s="13" t="s">
        <v>147</v>
      </c>
      <c r="D16" s="13" t="s">
        <v>47</v>
      </c>
      <c r="E16" s="13" t="s">
        <v>47</v>
      </c>
      <c r="F16" s="13" t="s">
        <v>22</v>
      </c>
      <c r="G16" s="13" t="s">
        <v>23</v>
      </c>
      <c r="H16" s="14">
        <v>250</v>
      </c>
      <c r="I16" s="15">
        <v>2.7</v>
      </c>
      <c r="J16" s="16">
        <f t="shared" si="4"/>
        <v>675</v>
      </c>
      <c r="K16" s="17">
        <v>46035</v>
      </c>
      <c r="L16" s="10">
        <v>250</v>
      </c>
      <c r="M16" s="18">
        <f t="shared" si="0"/>
        <v>250</v>
      </c>
      <c r="N16" s="19">
        <f t="shared" si="1"/>
        <v>0</v>
      </c>
      <c r="O16" s="10" t="str">
        <f t="shared" si="2"/>
        <v>COMPLETE</v>
      </c>
      <c r="P16" s="10"/>
      <c r="Q16" s="10" t="str">
        <f t="shared" si="3"/>
        <v>OK</v>
      </c>
    </row>
    <row r="17" spans="1:17" x14ac:dyDescent="0.3">
      <c r="A17" s="10" t="s">
        <v>115</v>
      </c>
      <c r="B17" s="13" t="s">
        <v>130</v>
      </c>
      <c r="C17" s="13" t="s">
        <v>162</v>
      </c>
      <c r="D17" s="13" t="s">
        <v>39</v>
      </c>
      <c r="E17" s="13" t="s">
        <v>39</v>
      </c>
      <c r="F17" s="13" t="s">
        <v>22</v>
      </c>
      <c r="G17" s="13" t="s">
        <v>23</v>
      </c>
      <c r="H17" s="14">
        <v>200</v>
      </c>
      <c r="I17" s="15">
        <v>2.6</v>
      </c>
      <c r="J17" s="16">
        <f t="shared" si="4"/>
        <v>520</v>
      </c>
      <c r="K17" s="17">
        <v>46038</v>
      </c>
      <c r="L17" s="10">
        <v>200</v>
      </c>
      <c r="M17" s="18">
        <f t="shared" si="0"/>
        <v>200</v>
      </c>
      <c r="N17" s="19">
        <f t="shared" si="1"/>
        <v>0</v>
      </c>
      <c r="O17" s="10" t="str">
        <f t="shared" si="2"/>
        <v>COMPLETE</v>
      </c>
      <c r="P17" s="10"/>
      <c r="Q17" s="10" t="str">
        <f t="shared" si="3"/>
        <v>OK</v>
      </c>
    </row>
    <row r="18" spans="1:17" x14ac:dyDescent="0.3">
      <c r="A18" s="10" t="s">
        <v>128</v>
      </c>
      <c r="B18" s="13" t="s">
        <v>327</v>
      </c>
      <c r="C18" s="13" t="s">
        <v>168</v>
      </c>
      <c r="D18" s="13" t="s">
        <v>21</v>
      </c>
      <c r="E18" s="13" t="s">
        <v>21</v>
      </c>
      <c r="F18" s="13" t="s">
        <v>22</v>
      </c>
      <c r="G18" s="13" t="s">
        <v>23</v>
      </c>
      <c r="H18" s="14">
        <v>50</v>
      </c>
      <c r="I18" s="15">
        <v>2.35</v>
      </c>
      <c r="J18" s="16">
        <f t="shared" si="4"/>
        <v>117.5</v>
      </c>
      <c r="K18" s="17">
        <v>46041</v>
      </c>
      <c r="L18" s="10">
        <v>50</v>
      </c>
      <c r="M18" s="18">
        <f t="shared" si="0"/>
        <v>50</v>
      </c>
      <c r="N18" s="19">
        <f t="shared" si="1"/>
        <v>0</v>
      </c>
      <c r="O18" s="10" t="str">
        <f t="shared" si="2"/>
        <v>COMPLETE</v>
      </c>
      <c r="P18" s="10"/>
      <c r="Q18" s="10" t="str">
        <f t="shared" si="3"/>
        <v>OK</v>
      </c>
    </row>
    <row r="19" spans="1:17" x14ac:dyDescent="0.3">
      <c r="A19" s="10" t="s">
        <v>142</v>
      </c>
      <c r="B19" s="13" t="s">
        <v>330</v>
      </c>
      <c r="C19" s="13" t="s">
        <v>169</v>
      </c>
      <c r="D19" s="13" t="s">
        <v>21</v>
      </c>
      <c r="E19" s="13" t="s">
        <v>21</v>
      </c>
      <c r="F19" s="13" t="s">
        <v>79</v>
      </c>
      <c r="G19" s="13" t="s">
        <v>80</v>
      </c>
      <c r="H19" s="14">
        <v>500</v>
      </c>
      <c r="I19" s="15">
        <v>2.8</v>
      </c>
      <c r="J19" s="16">
        <f t="shared" si="4"/>
        <v>1400</v>
      </c>
      <c r="K19" s="17">
        <v>46041</v>
      </c>
      <c r="L19" s="10">
        <v>500</v>
      </c>
      <c r="M19" s="18">
        <f t="shared" si="0"/>
        <v>500</v>
      </c>
      <c r="N19" s="19">
        <f t="shared" si="1"/>
        <v>0</v>
      </c>
      <c r="O19" s="10" t="str">
        <f t="shared" si="2"/>
        <v>COMPLETE</v>
      </c>
      <c r="P19" s="10"/>
      <c r="Q19" s="10" t="str">
        <f t="shared" si="3"/>
        <v>OK</v>
      </c>
    </row>
    <row r="20" spans="1:17" x14ac:dyDescent="0.3">
      <c r="A20" s="10" t="s">
        <v>148</v>
      </c>
      <c r="B20" s="13" t="s">
        <v>329</v>
      </c>
      <c r="C20" s="13" t="s">
        <v>175</v>
      </c>
      <c r="D20" s="13" t="s">
        <v>21</v>
      </c>
      <c r="E20" s="13" t="s">
        <v>21</v>
      </c>
      <c r="F20" s="13" t="s">
        <v>22</v>
      </c>
      <c r="G20" s="13" t="s">
        <v>23</v>
      </c>
      <c r="H20" s="14">
        <v>500</v>
      </c>
      <c r="I20" s="15">
        <v>2.2000000000000002</v>
      </c>
      <c r="J20" s="16">
        <f t="shared" si="4"/>
        <v>1100</v>
      </c>
      <c r="K20" s="17">
        <v>46041</v>
      </c>
      <c r="L20" s="10">
        <v>500</v>
      </c>
      <c r="M20" s="18">
        <f t="shared" si="0"/>
        <v>500</v>
      </c>
      <c r="N20" s="19">
        <f t="shared" si="1"/>
        <v>0</v>
      </c>
      <c r="O20" s="10" t="str">
        <f t="shared" si="2"/>
        <v>COMPLETE</v>
      </c>
      <c r="P20" s="10"/>
      <c r="Q20" s="10" t="str">
        <f t="shared" si="3"/>
        <v>OK</v>
      </c>
    </row>
    <row r="21" spans="1:17" x14ac:dyDescent="0.3">
      <c r="A21" s="10" t="s">
        <v>152</v>
      </c>
      <c r="B21" s="13" t="s">
        <v>19</v>
      </c>
      <c r="C21" s="13" t="s">
        <v>185</v>
      </c>
      <c r="D21" s="13" t="s">
        <v>39</v>
      </c>
      <c r="E21" s="13" t="s">
        <v>39</v>
      </c>
      <c r="F21" s="13" t="s">
        <v>22</v>
      </c>
      <c r="G21" s="13" t="s">
        <v>23</v>
      </c>
      <c r="H21" s="14">
        <v>100</v>
      </c>
      <c r="I21" s="15">
        <v>2.2000000000000002</v>
      </c>
      <c r="J21" s="16">
        <f t="shared" si="4"/>
        <v>220.00000000000003</v>
      </c>
      <c r="K21" s="17">
        <v>46042</v>
      </c>
      <c r="L21" s="10">
        <v>100</v>
      </c>
      <c r="M21" s="18">
        <f t="shared" si="0"/>
        <v>100</v>
      </c>
      <c r="N21" s="19">
        <f t="shared" si="1"/>
        <v>0</v>
      </c>
      <c r="O21" s="10" t="str">
        <f t="shared" si="2"/>
        <v>COMPLETE</v>
      </c>
      <c r="P21" s="10"/>
      <c r="Q21" s="10" t="str">
        <f t="shared" si="3"/>
        <v>OK</v>
      </c>
    </row>
    <row r="22" spans="1:17" x14ac:dyDescent="0.3">
      <c r="A22" s="10" t="s">
        <v>160</v>
      </c>
      <c r="B22" s="13" t="s">
        <v>132</v>
      </c>
      <c r="C22" s="13" t="s">
        <v>187</v>
      </c>
      <c r="D22" s="13" t="s">
        <v>39</v>
      </c>
      <c r="E22" s="13" t="s">
        <v>39</v>
      </c>
      <c r="F22" s="13" t="s">
        <v>79</v>
      </c>
      <c r="G22" s="13" t="s">
        <v>80</v>
      </c>
      <c r="H22" s="14">
        <v>100</v>
      </c>
      <c r="I22" s="15">
        <v>2.6</v>
      </c>
      <c r="J22" s="16">
        <f t="shared" si="4"/>
        <v>260</v>
      </c>
      <c r="K22" s="17">
        <v>46043</v>
      </c>
      <c r="L22" s="10">
        <v>100</v>
      </c>
      <c r="M22" s="18">
        <f t="shared" si="0"/>
        <v>100</v>
      </c>
      <c r="N22" s="19">
        <f t="shared" si="1"/>
        <v>0</v>
      </c>
      <c r="O22" s="10" t="str">
        <f t="shared" si="2"/>
        <v>COMPLETE</v>
      </c>
      <c r="P22" s="10"/>
      <c r="Q22" s="10" t="str">
        <f t="shared" si="3"/>
        <v>OK</v>
      </c>
    </row>
    <row r="23" spans="1:17" x14ac:dyDescent="0.3">
      <c r="A23" s="10" t="s">
        <v>163</v>
      </c>
      <c r="B23" s="13" t="s">
        <v>130</v>
      </c>
      <c r="C23" s="13" t="s">
        <v>192</v>
      </c>
      <c r="D23" s="13" t="s">
        <v>43</v>
      </c>
      <c r="E23" s="13" t="s">
        <v>43</v>
      </c>
      <c r="F23" s="13" t="s">
        <v>22</v>
      </c>
      <c r="G23" s="13" t="s">
        <v>23</v>
      </c>
      <c r="H23" s="14">
        <v>250</v>
      </c>
      <c r="I23" s="15">
        <v>2.6</v>
      </c>
      <c r="J23" s="16">
        <f t="shared" si="4"/>
        <v>650</v>
      </c>
      <c r="K23" s="17">
        <v>46044</v>
      </c>
      <c r="L23" s="10">
        <v>250</v>
      </c>
      <c r="M23" s="18">
        <f t="shared" si="0"/>
        <v>250</v>
      </c>
      <c r="N23" s="19">
        <f t="shared" si="1"/>
        <v>0</v>
      </c>
      <c r="O23" s="10" t="str">
        <f t="shared" si="2"/>
        <v>COMPLETE</v>
      </c>
      <c r="P23" s="10"/>
      <c r="Q23" s="10" t="str">
        <f t="shared" si="3"/>
        <v>OK</v>
      </c>
    </row>
    <row r="24" spans="1:17" x14ac:dyDescent="0.3">
      <c r="A24" s="10" t="s">
        <v>166</v>
      </c>
      <c r="B24" s="13" t="s">
        <v>329</v>
      </c>
      <c r="C24" s="13" t="s">
        <v>199</v>
      </c>
      <c r="D24" s="13" t="s">
        <v>39</v>
      </c>
      <c r="E24" s="13" t="s">
        <v>39</v>
      </c>
      <c r="F24" s="13" t="s">
        <v>22</v>
      </c>
      <c r="G24" s="13" t="s">
        <v>23</v>
      </c>
      <c r="H24" s="14">
        <v>200</v>
      </c>
      <c r="I24" s="15">
        <v>2.2000000000000002</v>
      </c>
      <c r="J24" s="16">
        <f t="shared" si="4"/>
        <v>440.00000000000006</v>
      </c>
      <c r="K24" s="17">
        <v>46048</v>
      </c>
      <c r="L24" s="10">
        <v>200</v>
      </c>
      <c r="M24" s="18">
        <f t="shared" si="0"/>
        <v>200</v>
      </c>
      <c r="N24" s="19">
        <f t="shared" si="1"/>
        <v>0</v>
      </c>
      <c r="O24" s="10" t="str">
        <f t="shared" si="2"/>
        <v>COMPLETE</v>
      </c>
      <c r="P24" s="10"/>
      <c r="Q24" s="10" t="str">
        <f t="shared" si="3"/>
        <v>OK</v>
      </c>
    </row>
    <row r="25" spans="1:17" x14ac:dyDescent="0.3">
      <c r="A25" s="10" t="s">
        <v>170</v>
      </c>
      <c r="B25" s="13" t="s">
        <v>236</v>
      </c>
      <c r="C25" s="13" t="s">
        <v>237</v>
      </c>
      <c r="D25" s="13" t="s">
        <v>21</v>
      </c>
      <c r="E25" s="13" t="s">
        <v>21</v>
      </c>
      <c r="F25" s="13" t="s">
        <v>22</v>
      </c>
      <c r="G25" s="13" t="s">
        <v>23</v>
      </c>
      <c r="H25" s="14">
        <v>100</v>
      </c>
      <c r="I25" s="15">
        <v>2.2999999999999998</v>
      </c>
      <c r="J25" s="16">
        <f t="shared" si="4"/>
        <v>229.99999999999997</v>
      </c>
      <c r="K25" s="17">
        <v>46051</v>
      </c>
      <c r="L25" s="10">
        <v>100</v>
      </c>
      <c r="M25" s="18">
        <f t="shared" si="0"/>
        <v>100</v>
      </c>
      <c r="N25" s="19">
        <f t="shared" si="1"/>
        <v>0</v>
      </c>
      <c r="O25" s="10" t="str">
        <f>IF(N25=0,"COMPLETE","INCOMPLETE")</f>
        <v>COMPLETE</v>
      </c>
      <c r="P25" s="10"/>
      <c r="Q25" s="10" t="str">
        <f t="shared" si="3"/>
        <v>OK</v>
      </c>
    </row>
    <row r="26" spans="1:17" x14ac:dyDescent="0.3">
      <c r="A26" s="10" t="s">
        <v>172</v>
      </c>
      <c r="B26" s="13" t="s">
        <v>102</v>
      </c>
      <c r="C26" s="13" t="s">
        <v>240</v>
      </c>
      <c r="D26" s="13" t="s">
        <v>43</v>
      </c>
      <c r="E26" s="13" t="s">
        <v>43</v>
      </c>
      <c r="F26" s="13" t="s">
        <v>22</v>
      </c>
      <c r="G26" s="13" t="s">
        <v>23</v>
      </c>
      <c r="H26" s="14">
        <v>200</v>
      </c>
      <c r="I26" s="15">
        <v>2.6</v>
      </c>
      <c r="J26" s="16">
        <f t="shared" si="4"/>
        <v>520</v>
      </c>
      <c r="K26" s="17">
        <v>46051</v>
      </c>
      <c r="L26" s="10">
        <v>200</v>
      </c>
      <c r="M26" s="18">
        <f t="shared" si="0"/>
        <v>200</v>
      </c>
      <c r="N26" s="19">
        <f t="shared" si="1"/>
        <v>0</v>
      </c>
      <c r="O26" s="10" t="str">
        <f t="shared" si="2"/>
        <v>COMPLETE</v>
      </c>
      <c r="P26" s="10"/>
      <c r="Q26" s="10" t="str">
        <f t="shared" si="3"/>
        <v>OK</v>
      </c>
    </row>
    <row r="27" spans="1:17" x14ac:dyDescent="0.3">
      <c r="A27" s="10" t="s">
        <v>177</v>
      </c>
      <c r="B27" s="13" t="s">
        <v>81</v>
      </c>
      <c r="C27" s="13" t="s">
        <v>82</v>
      </c>
      <c r="D27" s="13" t="s">
        <v>39</v>
      </c>
      <c r="E27" s="13" t="s">
        <v>39</v>
      </c>
      <c r="F27" s="13" t="s">
        <v>79</v>
      </c>
      <c r="G27" s="13" t="s">
        <v>80</v>
      </c>
      <c r="H27" s="14">
        <v>100</v>
      </c>
      <c r="I27" s="15">
        <v>2.2000000000000002</v>
      </c>
      <c r="J27" s="16">
        <f t="shared" si="4"/>
        <v>220.00000000000003</v>
      </c>
      <c r="K27" s="17">
        <v>46055</v>
      </c>
      <c r="L27" s="10">
        <v>100</v>
      </c>
      <c r="M27" s="18">
        <f t="shared" si="0"/>
        <v>100</v>
      </c>
      <c r="N27" s="19">
        <f t="shared" si="1"/>
        <v>0</v>
      </c>
      <c r="O27" s="10" t="str">
        <f t="shared" si="2"/>
        <v>COMPLETE</v>
      </c>
      <c r="P27" s="10"/>
      <c r="Q27" s="10" t="str">
        <f t="shared" si="3"/>
        <v>OK</v>
      </c>
    </row>
    <row r="28" spans="1:17" x14ac:dyDescent="0.3">
      <c r="A28" s="10" t="s">
        <v>183</v>
      </c>
      <c r="B28" s="13" t="s">
        <v>130</v>
      </c>
      <c r="C28" s="13" t="s">
        <v>246</v>
      </c>
      <c r="D28" s="13" t="s">
        <v>47</v>
      </c>
      <c r="E28" s="13" t="s">
        <v>47</v>
      </c>
      <c r="F28" s="13" t="s">
        <v>22</v>
      </c>
      <c r="G28" s="13" t="s">
        <v>23</v>
      </c>
      <c r="H28" s="14">
        <v>400</v>
      </c>
      <c r="I28" s="15">
        <v>2.6</v>
      </c>
      <c r="J28" s="16">
        <f t="shared" si="4"/>
        <v>1040</v>
      </c>
      <c r="K28" s="17">
        <v>46055</v>
      </c>
      <c r="L28" s="10">
        <v>400</v>
      </c>
      <c r="M28" s="18">
        <f t="shared" si="0"/>
        <v>400</v>
      </c>
      <c r="N28" s="19">
        <f t="shared" si="1"/>
        <v>0</v>
      </c>
      <c r="O28" s="10" t="str">
        <f t="shared" si="2"/>
        <v>COMPLETE</v>
      </c>
      <c r="P28" s="10"/>
      <c r="Q28" s="10" t="str">
        <f t="shared" si="3"/>
        <v>OK</v>
      </c>
    </row>
    <row r="29" spans="1:17" x14ac:dyDescent="0.3">
      <c r="A29" s="53" t="s">
        <v>194</v>
      </c>
      <c r="B29" s="13" t="s">
        <v>50</v>
      </c>
      <c r="C29" s="13" t="s">
        <v>251</v>
      </c>
      <c r="D29" s="13" t="s">
        <v>208</v>
      </c>
      <c r="E29" s="13" t="s">
        <v>208</v>
      </c>
      <c r="F29" s="13" t="s">
        <v>79</v>
      </c>
      <c r="G29" s="13" t="s">
        <v>80</v>
      </c>
      <c r="H29" s="14">
        <v>200</v>
      </c>
      <c r="I29" s="15">
        <v>2.7</v>
      </c>
      <c r="J29" s="16">
        <f t="shared" si="4"/>
        <v>540</v>
      </c>
      <c r="K29" s="17">
        <v>46056</v>
      </c>
      <c r="L29" s="10">
        <v>450</v>
      </c>
      <c r="M29" s="18">
        <f t="shared" si="0"/>
        <v>200</v>
      </c>
      <c r="N29" s="19">
        <f t="shared" si="1"/>
        <v>250</v>
      </c>
      <c r="O29" s="10" t="str">
        <f t="shared" si="2"/>
        <v>INCOMPLETE</v>
      </c>
      <c r="P29" s="10"/>
      <c r="Q29" s="10" t="str">
        <f t="shared" si="3"/>
        <v>OK</v>
      </c>
    </row>
    <row r="30" spans="1:17" x14ac:dyDescent="0.3">
      <c r="A30" s="53" t="s">
        <v>194</v>
      </c>
      <c r="B30" s="13" t="s">
        <v>50</v>
      </c>
      <c r="C30" s="13" t="s">
        <v>251</v>
      </c>
      <c r="D30" s="13" t="s">
        <v>275</v>
      </c>
      <c r="E30" s="13" t="s">
        <v>275</v>
      </c>
      <c r="F30" s="13" t="s">
        <v>79</v>
      </c>
      <c r="G30" s="13" t="s">
        <v>80</v>
      </c>
      <c r="H30" s="14">
        <v>50</v>
      </c>
      <c r="I30" s="15">
        <v>2.7</v>
      </c>
      <c r="J30" s="16">
        <f t="shared" si="4"/>
        <v>135</v>
      </c>
      <c r="K30" s="17">
        <v>46059</v>
      </c>
      <c r="L30" s="10">
        <v>250</v>
      </c>
      <c r="M30" s="18">
        <f t="shared" si="0"/>
        <v>50</v>
      </c>
      <c r="N30" s="19">
        <f t="shared" si="1"/>
        <v>200</v>
      </c>
      <c r="O30" s="10" t="str">
        <f t="shared" si="2"/>
        <v>INCOMPLETE</v>
      </c>
      <c r="P30" s="10"/>
      <c r="Q30" s="10" t="str">
        <f t="shared" si="3"/>
        <v>OK</v>
      </c>
    </row>
    <row r="31" spans="1:17" x14ac:dyDescent="0.3">
      <c r="A31" s="53" t="s">
        <v>194</v>
      </c>
      <c r="B31" s="13" t="s">
        <v>50</v>
      </c>
      <c r="C31" s="13" t="s">
        <v>251</v>
      </c>
      <c r="D31" s="13" t="s">
        <v>285</v>
      </c>
      <c r="E31" s="13" t="s">
        <v>285</v>
      </c>
      <c r="F31" s="13" t="s">
        <v>79</v>
      </c>
      <c r="G31" s="13" t="s">
        <v>80</v>
      </c>
      <c r="H31" s="14">
        <v>50</v>
      </c>
      <c r="I31" s="15">
        <v>2.7</v>
      </c>
      <c r="J31" s="16">
        <f t="shared" si="4"/>
        <v>135</v>
      </c>
      <c r="K31" s="17">
        <v>46062</v>
      </c>
      <c r="L31" s="10">
        <v>200</v>
      </c>
      <c r="M31" s="18">
        <f t="shared" si="0"/>
        <v>50</v>
      </c>
      <c r="N31" s="19">
        <f t="shared" si="1"/>
        <v>150</v>
      </c>
      <c r="O31" s="10" t="str">
        <f t="shared" si="2"/>
        <v>INCOMPLETE</v>
      </c>
      <c r="P31" s="10"/>
      <c r="Q31" s="10" t="str">
        <f t="shared" si="3"/>
        <v>OK</v>
      </c>
    </row>
    <row r="32" spans="1:17" x14ac:dyDescent="0.3">
      <c r="A32" s="53">
        <v>23</v>
      </c>
      <c r="B32" s="13" t="s">
        <v>50</v>
      </c>
      <c r="C32" s="13" t="s">
        <v>251</v>
      </c>
      <c r="D32" s="13" t="s">
        <v>412</v>
      </c>
      <c r="E32" s="13" t="s">
        <v>412</v>
      </c>
      <c r="F32" s="13" t="s">
        <v>79</v>
      </c>
      <c r="G32" s="13" t="s">
        <v>80</v>
      </c>
      <c r="H32" s="14">
        <v>150</v>
      </c>
      <c r="I32" s="15">
        <v>2.7</v>
      </c>
      <c r="J32" s="16">
        <f t="shared" si="4"/>
        <v>405</v>
      </c>
      <c r="K32" s="17">
        <v>46151</v>
      </c>
      <c r="L32" s="10">
        <v>150</v>
      </c>
      <c r="M32" s="18">
        <f t="shared" si="0"/>
        <v>150</v>
      </c>
      <c r="N32" s="19">
        <f t="shared" si="1"/>
        <v>0</v>
      </c>
      <c r="O32" s="10" t="str">
        <f t="shared" si="2"/>
        <v>COMPLETE</v>
      </c>
      <c r="P32" s="10"/>
      <c r="Q32" s="10" t="str">
        <f t="shared" si="3"/>
        <v>OK</v>
      </c>
    </row>
    <row r="33" spans="1:17" x14ac:dyDescent="0.3">
      <c r="A33" s="10" t="s">
        <v>201</v>
      </c>
      <c r="B33" s="13" t="s">
        <v>329</v>
      </c>
      <c r="C33" s="13" t="s">
        <v>252</v>
      </c>
      <c r="D33" s="13" t="s">
        <v>43</v>
      </c>
      <c r="E33" s="13" t="s">
        <v>43</v>
      </c>
      <c r="F33" s="13" t="s">
        <v>22</v>
      </c>
      <c r="G33" s="13" t="s">
        <v>23</v>
      </c>
      <c r="H33" s="14">
        <v>200</v>
      </c>
      <c r="I33" s="15">
        <v>2.2000000000000002</v>
      </c>
      <c r="J33" s="16">
        <f t="shared" si="4"/>
        <v>440.00000000000006</v>
      </c>
      <c r="K33" s="17">
        <v>46056</v>
      </c>
      <c r="L33" s="10">
        <v>200</v>
      </c>
      <c r="M33" s="18">
        <f t="shared" si="0"/>
        <v>200</v>
      </c>
      <c r="N33" s="19">
        <f t="shared" si="1"/>
        <v>0</v>
      </c>
      <c r="O33" s="10" t="str">
        <f t="shared" si="2"/>
        <v>COMPLETE</v>
      </c>
      <c r="P33" s="10"/>
      <c r="Q33" s="10" t="str">
        <f t="shared" si="3"/>
        <v>OK</v>
      </c>
    </row>
    <row r="34" spans="1:17" x14ac:dyDescent="0.3">
      <c r="A34" s="10" t="s">
        <v>203</v>
      </c>
      <c r="B34" s="13" t="s">
        <v>19</v>
      </c>
      <c r="C34" s="13" t="s">
        <v>262</v>
      </c>
      <c r="D34" s="13" t="s">
        <v>47</v>
      </c>
      <c r="E34" s="13" t="s">
        <v>47</v>
      </c>
      <c r="F34" s="13" t="s">
        <v>22</v>
      </c>
      <c r="G34" s="13" t="s">
        <v>23</v>
      </c>
      <c r="H34" s="14">
        <v>50</v>
      </c>
      <c r="I34" s="15">
        <v>2.2000000000000002</v>
      </c>
      <c r="J34" s="16">
        <f t="shared" si="4"/>
        <v>110.00000000000001</v>
      </c>
      <c r="K34" s="17">
        <v>46058</v>
      </c>
      <c r="L34" s="10">
        <v>50</v>
      </c>
      <c r="M34" s="18">
        <f t="shared" si="0"/>
        <v>50</v>
      </c>
      <c r="N34" s="19">
        <f t="shared" si="1"/>
        <v>0</v>
      </c>
      <c r="O34" s="10" t="str">
        <f t="shared" si="2"/>
        <v>COMPLETE</v>
      </c>
      <c r="P34" s="10"/>
      <c r="Q34" s="10" t="str">
        <f t="shared" si="3"/>
        <v>OK</v>
      </c>
    </row>
    <row r="35" spans="1:17" x14ac:dyDescent="0.3">
      <c r="A35" s="10" t="s">
        <v>205</v>
      </c>
      <c r="B35" s="13" t="s">
        <v>34</v>
      </c>
      <c r="C35" s="13" t="s">
        <v>202</v>
      </c>
      <c r="D35" s="13" t="s">
        <v>222</v>
      </c>
      <c r="E35" s="13" t="s">
        <v>222</v>
      </c>
      <c r="F35" s="13" t="s">
        <v>22</v>
      </c>
      <c r="G35" s="13" t="s">
        <v>23</v>
      </c>
      <c r="H35" s="14">
        <v>1000</v>
      </c>
      <c r="I35" s="15">
        <v>2</v>
      </c>
      <c r="J35" s="16">
        <f t="shared" si="4"/>
        <v>2000</v>
      </c>
      <c r="K35" s="17">
        <v>46062</v>
      </c>
      <c r="L35" s="10">
        <v>1000</v>
      </c>
      <c r="M35" s="18">
        <f t="shared" si="0"/>
        <v>1000</v>
      </c>
      <c r="N35" s="19">
        <f t="shared" si="1"/>
        <v>0</v>
      </c>
      <c r="O35" s="10" t="str">
        <f t="shared" si="2"/>
        <v>COMPLETE</v>
      </c>
      <c r="P35" s="10"/>
      <c r="Q35" s="10" t="str">
        <f t="shared" si="3"/>
        <v>OK</v>
      </c>
    </row>
    <row r="36" spans="1:17" x14ac:dyDescent="0.3">
      <c r="A36" s="10" t="s">
        <v>210</v>
      </c>
      <c r="B36" s="13" t="s">
        <v>158</v>
      </c>
      <c r="C36" s="13" t="s">
        <v>303</v>
      </c>
      <c r="D36" s="13" t="s">
        <v>43</v>
      </c>
      <c r="E36" s="13" t="s">
        <v>43</v>
      </c>
      <c r="F36" s="13" t="s">
        <v>79</v>
      </c>
      <c r="G36" s="13" t="s">
        <v>80</v>
      </c>
      <c r="H36" s="14">
        <v>200</v>
      </c>
      <c r="I36" s="15">
        <v>2.6</v>
      </c>
      <c r="J36" s="16">
        <f t="shared" si="4"/>
        <v>520</v>
      </c>
      <c r="K36" s="17">
        <v>46066</v>
      </c>
      <c r="L36" s="10">
        <v>200</v>
      </c>
      <c r="M36" s="18">
        <f t="shared" si="0"/>
        <v>200</v>
      </c>
      <c r="N36" s="19">
        <f t="shared" si="1"/>
        <v>0</v>
      </c>
      <c r="O36" s="10" t="str">
        <f t="shared" si="2"/>
        <v>COMPLETE</v>
      </c>
      <c r="P36" s="10"/>
      <c r="Q36" s="10" t="str">
        <f t="shared" si="3"/>
        <v>OK</v>
      </c>
    </row>
    <row r="37" spans="1:17" x14ac:dyDescent="0.3">
      <c r="A37" s="10" t="s">
        <v>212</v>
      </c>
      <c r="B37" s="13" t="s">
        <v>73</v>
      </c>
      <c r="C37" s="13" t="s">
        <v>322</v>
      </c>
      <c r="D37" s="13" t="s">
        <v>209</v>
      </c>
      <c r="E37" s="13" t="s">
        <v>207</v>
      </c>
      <c r="F37" s="13" t="s">
        <v>22</v>
      </c>
      <c r="G37" s="13" t="s">
        <v>23</v>
      </c>
      <c r="H37" s="14">
        <v>500</v>
      </c>
      <c r="I37" s="15">
        <v>2.7</v>
      </c>
      <c r="J37" s="16">
        <f t="shared" si="4"/>
        <v>1350</v>
      </c>
      <c r="K37" s="17">
        <v>46073</v>
      </c>
      <c r="L37" s="10">
        <v>500</v>
      </c>
      <c r="M37" s="18">
        <f t="shared" si="0"/>
        <v>500</v>
      </c>
      <c r="N37" s="19">
        <f t="shared" si="1"/>
        <v>0</v>
      </c>
      <c r="O37" s="10" t="str">
        <f t="shared" si="2"/>
        <v>COMPLETE</v>
      </c>
      <c r="P37" s="10"/>
      <c r="Q37" s="10" t="str">
        <f t="shared" si="3"/>
        <v>OK</v>
      </c>
    </row>
    <row r="38" spans="1:17" x14ac:dyDescent="0.3">
      <c r="A38" s="10" t="s">
        <v>214</v>
      </c>
      <c r="B38" s="13" t="s">
        <v>123</v>
      </c>
      <c r="C38" s="13" t="s">
        <v>344</v>
      </c>
      <c r="D38" s="13" t="s">
        <v>39</v>
      </c>
      <c r="E38" s="13" t="s">
        <v>39</v>
      </c>
      <c r="F38" s="13" t="s">
        <v>79</v>
      </c>
      <c r="G38" s="13" t="s">
        <v>80</v>
      </c>
      <c r="H38" s="14">
        <v>100</v>
      </c>
      <c r="I38" s="15">
        <v>2.6</v>
      </c>
      <c r="J38" s="16">
        <f t="shared" ref="J38:J92" si="5">H38*I38</f>
        <v>260</v>
      </c>
      <c r="K38" s="17">
        <v>46078</v>
      </c>
      <c r="L38" s="10">
        <v>100</v>
      </c>
      <c r="M38" s="18">
        <f t="shared" si="0"/>
        <v>100</v>
      </c>
      <c r="N38" s="19">
        <f t="shared" ref="N38:N92" si="6">L38-M38</f>
        <v>0</v>
      </c>
      <c r="O38" s="10" t="str">
        <f t="shared" ref="O38:O92" si="7">IF(N38=0,"COMPLETE","INCOMPLETE")</f>
        <v>COMPLETE</v>
      </c>
      <c r="P38" s="10"/>
      <c r="Q38" s="10" t="str">
        <f t="shared" si="3"/>
        <v>OK</v>
      </c>
    </row>
    <row r="39" spans="1:17" x14ac:dyDescent="0.3">
      <c r="A39" s="10" t="s">
        <v>215</v>
      </c>
      <c r="B39" s="13" t="s">
        <v>19</v>
      </c>
      <c r="C39" s="13" t="s">
        <v>347</v>
      </c>
      <c r="D39" s="13" t="s">
        <v>94</v>
      </c>
      <c r="E39" s="13" t="s">
        <v>94</v>
      </c>
      <c r="F39" s="13" t="s">
        <v>22</v>
      </c>
      <c r="G39" s="13" t="s">
        <v>23</v>
      </c>
      <c r="H39" s="14">
        <v>100</v>
      </c>
      <c r="I39" s="15">
        <v>2.2000000000000002</v>
      </c>
      <c r="J39" s="16">
        <f t="shared" si="5"/>
        <v>220.00000000000003</v>
      </c>
      <c r="K39" s="17">
        <v>46079</v>
      </c>
      <c r="L39" s="10">
        <v>100</v>
      </c>
      <c r="M39" s="18">
        <f t="shared" si="0"/>
        <v>100</v>
      </c>
      <c r="N39" s="19">
        <f t="shared" si="6"/>
        <v>0</v>
      </c>
      <c r="O39" s="10" t="str">
        <f t="shared" si="7"/>
        <v>COMPLETE</v>
      </c>
      <c r="P39" s="10"/>
      <c r="Q39" s="10" t="str">
        <f t="shared" si="3"/>
        <v>OK</v>
      </c>
    </row>
    <row r="40" spans="1:17" x14ac:dyDescent="0.3">
      <c r="A40" s="10" t="s">
        <v>220</v>
      </c>
      <c r="B40" s="13" t="s">
        <v>50</v>
      </c>
      <c r="C40" s="13" t="s">
        <v>349</v>
      </c>
      <c r="D40" s="13" t="s">
        <v>317</v>
      </c>
      <c r="E40" s="13" t="s">
        <v>317</v>
      </c>
      <c r="F40" s="13" t="s">
        <v>79</v>
      </c>
      <c r="G40" s="13" t="s">
        <v>80</v>
      </c>
      <c r="H40" s="14">
        <v>100</v>
      </c>
      <c r="I40" s="15">
        <v>2.7</v>
      </c>
      <c r="J40" s="16">
        <f t="shared" si="5"/>
        <v>270</v>
      </c>
      <c r="K40" s="17">
        <v>46079</v>
      </c>
      <c r="L40" s="10">
        <v>100</v>
      </c>
      <c r="M40" s="18">
        <f t="shared" si="0"/>
        <v>100</v>
      </c>
      <c r="N40" s="19">
        <f t="shared" si="6"/>
        <v>0</v>
      </c>
      <c r="O40" s="10" t="str">
        <f t="shared" si="7"/>
        <v>COMPLETE</v>
      </c>
      <c r="P40" s="10"/>
      <c r="Q40" s="10" t="str">
        <f t="shared" si="3"/>
        <v>OK</v>
      </c>
    </row>
    <row r="41" spans="1:17" x14ac:dyDescent="0.3">
      <c r="A41" s="10" t="s">
        <v>227</v>
      </c>
      <c r="B41" s="13" t="s">
        <v>102</v>
      </c>
      <c r="C41" s="13" t="s">
        <v>359</v>
      </c>
      <c r="D41" s="13" t="s">
        <v>98</v>
      </c>
      <c r="E41" s="13" t="s">
        <v>98</v>
      </c>
      <c r="F41" s="13" t="s">
        <v>22</v>
      </c>
      <c r="G41" s="13" t="s">
        <v>23</v>
      </c>
      <c r="H41" s="14">
        <v>100</v>
      </c>
      <c r="I41" s="15">
        <v>2.6</v>
      </c>
      <c r="J41" s="16">
        <f t="shared" si="5"/>
        <v>260</v>
      </c>
      <c r="K41" s="17">
        <v>46083</v>
      </c>
      <c r="L41" s="10">
        <v>100</v>
      </c>
      <c r="M41" s="18">
        <f t="shared" si="0"/>
        <v>100</v>
      </c>
      <c r="N41" s="19">
        <f t="shared" si="6"/>
        <v>0</v>
      </c>
      <c r="O41" s="10" t="str">
        <f t="shared" si="7"/>
        <v>COMPLETE</v>
      </c>
      <c r="P41" s="10"/>
      <c r="Q41" s="10" t="str">
        <f t="shared" si="3"/>
        <v>OK</v>
      </c>
    </row>
    <row r="42" spans="1:17" x14ac:dyDescent="0.3">
      <c r="A42" s="47" t="s">
        <v>230</v>
      </c>
      <c r="B42" s="13" t="s">
        <v>330</v>
      </c>
      <c r="C42" s="13" t="s">
        <v>361</v>
      </c>
      <c r="D42" s="13" t="s">
        <v>39</v>
      </c>
      <c r="E42" s="13" t="s">
        <v>39</v>
      </c>
      <c r="F42" s="13" t="s">
        <v>79</v>
      </c>
      <c r="G42" s="13" t="s">
        <v>80</v>
      </c>
      <c r="H42" s="14">
        <v>200</v>
      </c>
      <c r="I42" s="15">
        <v>2.8</v>
      </c>
      <c r="J42" s="16">
        <f t="shared" si="5"/>
        <v>560</v>
      </c>
      <c r="K42" s="17">
        <v>46083</v>
      </c>
      <c r="L42" s="10">
        <v>700</v>
      </c>
      <c r="M42" s="18">
        <f t="shared" si="0"/>
        <v>200</v>
      </c>
      <c r="N42" s="19">
        <f t="shared" si="6"/>
        <v>500</v>
      </c>
      <c r="O42" s="10" t="str">
        <f t="shared" si="7"/>
        <v>INCOMPLETE</v>
      </c>
      <c r="P42" s="10"/>
      <c r="Q42" s="10" t="str">
        <f t="shared" si="3"/>
        <v>OK</v>
      </c>
    </row>
    <row r="43" spans="1:17" x14ac:dyDescent="0.3">
      <c r="A43" s="47">
        <v>33</v>
      </c>
      <c r="B43" s="13" t="s">
        <v>330</v>
      </c>
      <c r="C43" s="13" t="s">
        <v>361</v>
      </c>
      <c r="D43" s="13" t="s">
        <v>43</v>
      </c>
      <c r="E43" s="13" t="s">
        <v>43</v>
      </c>
      <c r="F43" s="13" t="s">
        <v>79</v>
      </c>
      <c r="G43" s="13" t="s">
        <v>80</v>
      </c>
      <c r="H43" s="14">
        <v>500</v>
      </c>
      <c r="I43" s="15">
        <v>2.8</v>
      </c>
      <c r="J43" s="16">
        <f t="shared" si="5"/>
        <v>1400</v>
      </c>
      <c r="K43" s="17">
        <v>46151</v>
      </c>
      <c r="L43" s="10">
        <v>500</v>
      </c>
      <c r="M43" s="18">
        <f t="shared" si="0"/>
        <v>500</v>
      </c>
      <c r="N43" s="19">
        <f t="shared" si="6"/>
        <v>0</v>
      </c>
      <c r="O43" s="10" t="str">
        <f t="shared" si="7"/>
        <v>COMPLETE</v>
      </c>
      <c r="P43" s="10"/>
      <c r="Q43" s="10" t="str">
        <f t="shared" si="3"/>
        <v>OK</v>
      </c>
    </row>
    <row r="44" spans="1:17" x14ac:dyDescent="0.3">
      <c r="A44" s="10" t="s">
        <v>233</v>
      </c>
      <c r="B44" s="13" t="s">
        <v>19</v>
      </c>
      <c r="C44" s="13" t="s">
        <v>362</v>
      </c>
      <c r="D44" s="13" t="s">
        <v>98</v>
      </c>
      <c r="E44" s="13" t="s">
        <v>98</v>
      </c>
      <c r="F44" s="13" t="s">
        <v>22</v>
      </c>
      <c r="G44" s="13" t="s">
        <v>23</v>
      </c>
      <c r="H44" s="14">
        <v>50</v>
      </c>
      <c r="I44" s="15">
        <v>2.2000000000000002</v>
      </c>
      <c r="J44" s="16">
        <f t="shared" si="5"/>
        <v>110.00000000000001</v>
      </c>
      <c r="K44" s="17">
        <v>46084</v>
      </c>
      <c r="L44" s="10">
        <v>50</v>
      </c>
      <c r="M44" s="18">
        <f t="shared" si="0"/>
        <v>50</v>
      </c>
      <c r="N44" s="19">
        <f t="shared" si="6"/>
        <v>0</v>
      </c>
      <c r="O44" s="10" t="str">
        <f t="shared" si="7"/>
        <v>COMPLETE</v>
      </c>
      <c r="P44" s="10"/>
      <c r="Q44" s="10" t="str">
        <f t="shared" si="3"/>
        <v>OK</v>
      </c>
    </row>
    <row r="45" spans="1:17" x14ac:dyDescent="0.3">
      <c r="A45" s="10" t="s">
        <v>239</v>
      </c>
      <c r="B45" s="13" t="s">
        <v>329</v>
      </c>
      <c r="C45" s="13" t="s">
        <v>363</v>
      </c>
      <c r="D45" s="13" t="s">
        <v>47</v>
      </c>
      <c r="E45" s="13" t="s">
        <v>47</v>
      </c>
      <c r="F45" s="13" t="s">
        <v>22</v>
      </c>
      <c r="G45" s="13" t="s">
        <v>23</v>
      </c>
      <c r="H45" s="14">
        <v>400</v>
      </c>
      <c r="I45" s="15">
        <v>2.2000000000000002</v>
      </c>
      <c r="J45" s="16">
        <f t="shared" si="5"/>
        <v>880.00000000000011</v>
      </c>
      <c r="K45" s="17">
        <v>46084</v>
      </c>
      <c r="L45" s="10">
        <v>400</v>
      </c>
      <c r="M45" s="18">
        <f t="shared" si="0"/>
        <v>400</v>
      </c>
      <c r="N45" s="19">
        <f t="shared" si="6"/>
        <v>0</v>
      </c>
      <c r="O45" s="10" t="str">
        <f t="shared" si="7"/>
        <v>COMPLETE</v>
      </c>
      <c r="P45" s="10"/>
      <c r="Q45" s="10" t="str">
        <f t="shared" si="3"/>
        <v>OK</v>
      </c>
    </row>
    <row r="46" spans="1:17" x14ac:dyDescent="0.3">
      <c r="A46" s="10" t="s">
        <v>249</v>
      </c>
      <c r="B46" s="13" t="s">
        <v>77</v>
      </c>
      <c r="C46" s="13" t="s">
        <v>366</v>
      </c>
      <c r="D46" s="13" t="s">
        <v>133</v>
      </c>
      <c r="E46" s="13" t="s">
        <v>133</v>
      </c>
      <c r="F46" s="13" t="s">
        <v>22</v>
      </c>
      <c r="G46" s="13" t="s">
        <v>23</v>
      </c>
      <c r="H46" s="14">
        <v>200</v>
      </c>
      <c r="I46" s="15">
        <v>2.5</v>
      </c>
      <c r="J46" s="16">
        <f t="shared" si="5"/>
        <v>500</v>
      </c>
      <c r="K46" s="17">
        <v>46084</v>
      </c>
      <c r="L46" s="10">
        <v>200</v>
      </c>
      <c r="M46" s="18">
        <f t="shared" si="0"/>
        <v>200</v>
      </c>
      <c r="N46" s="19">
        <f t="shared" si="6"/>
        <v>0</v>
      </c>
      <c r="O46" s="10" t="str">
        <f t="shared" si="7"/>
        <v>COMPLETE</v>
      </c>
      <c r="P46" s="10"/>
      <c r="Q46" s="10" t="str">
        <f t="shared" si="3"/>
        <v>OK</v>
      </c>
    </row>
    <row r="47" spans="1:17" x14ac:dyDescent="0.3">
      <c r="A47" s="9" t="s">
        <v>253</v>
      </c>
      <c r="B47" s="13" t="s">
        <v>113</v>
      </c>
      <c r="C47" s="13" t="s">
        <v>376</v>
      </c>
      <c r="D47" s="13" t="s">
        <v>353</v>
      </c>
      <c r="E47" s="13" t="s">
        <v>377</v>
      </c>
      <c r="F47" s="13" t="s">
        <v>22</v>
      </c>
      <c r="G47" s="13" t="s">
        <v>23</v>
      </c>
      <c r="H47" s="14">
        <v>1500</v>
      </c>
      <c r="I47" s="15">
        <v>2.5</v>
      </c>
      <c r="J47" s="16">
        <f t="shared" si="5"/>
        <v>3750</v>
      </c>
      <c r="K47" s="17">
        <v>46085</v>
      </c>
      <c r="L47" s="10">
        <v>3500</v>
      </c>
      <c r="M47" s="18">
        <f t="shared" si="0"/>
        <v>1500</v>
      </c>
      <c r="N47" s="19">
        <f t="shared" si="6"/>
        <v>2000</v>
      </c>
      <c r="O47" s="10" t="str">
        <f t="shared" si="7"/>
        <v>INCOMPLETE</v>
      </c>
      <c r="P47" s="10"/>
      <c r="Q47" s="10" t="str">
        <f t="shared" si="3"/>
        <v>OK</v>
      </c>
    </row>
    <row r="48" spans="1:17" x14ac:dyDescent="0.3">
      <c r="A48" s="9" t="s">
        <v>253</v>
      </c>
      <c r="B48" s="13" t="s">
        <v>113</v>
      </c>
      <c r="C48" s="13" t="s">
        <v>376</v>
      </c>
      <c r="D48" s="13" t="s">
        <v>483</v>
      </c>
      <c r="E48" s="13" t="s">
        <v>488</v>
      </c>
      <c r="F48" s="13" t="s">
        <v>22</v>
      </c>
      <c r="G48" s="13" t="s">
        <v>23</v>
      </c>
      <c r="H48" s="14">
        <v>1000</v>
      </c>
      <c r="I48" s="15">
        <v>2.5</v>
      </c>
      <c r="J48" s="16">
        <f t="shared" si="5"/>
        <v>2500</v>
      </c>
      <c r="K48" s="17">
        <v>46115</v>
      </c>
      <c r="L48" s="10">
        <v>2000</v>
      </c>
      <c r="M48" s="18">
        <f t="shared" si="0"/>
        <v>1000</v>
      </c>
      <c r="N48" s="19">
        <f t="shared" si="6"/>
        <v>1000</v>
      </c>
      <c r="O48" s="10" t="str">
        <f t="shared" si="7"/>
        <v>INCOMPLETE</v>
      </c>
      <c r="P48" s="10"/>
      <c r="Q48" s="10" t="str">
        <f t="shared" si="3"/>
        <v>OK</v>
      </c>
    </row>
    <row r="49" spans="1:17" x14ac:dyDescent="0.3">
      <c r="A49" s="9" t="s">
        <v>253</v>
      </c>
      <c r="B49" s="13" t="s">
        <v>113</v>
      </c>
      <c r="C49" s="13" t="s">
        <v>376</v>
      </c>
      <c r="D49" s="13" t="s">
        <v>555</v>
      </c>
      <c r="E49" s="13" t="s">
        <v>564</v>
      </c>
      <c r="F49" s="13" t="s">
        <v>22</v>
      </c>
      <c r="G49" s="13" t="s">
        <v>23</v>
      </c>
      <c r="H49" s="14">
        <v>1000</v>
      </c>
      <c r="I49" s="15">
        <v>2.5</v>
      </c>
      <c r="J49" s="16">
        <f t="shared" si="5"/>
        <v>2500</v>
      </c>
      <c r="K49" s="17">
        <v>46134</v>
      </c>
      <c r="L49" s="10">
        <v>1000</v>
      </c>
      <c r="M49" s="18">
        <f t="shared" si="0"/>
        <v>1000</v>
      </c>
      <c r="N49" s="19">
        <f t="shared" si="6"/>
        <v>0</v>
      </c>
      <c r="O49" s="10" t="str">
        <f t="shared" si="7"/>
        <v>COMPLETE</v>
      </c>
      <c r="P49" s="10"/>
      <c r="Q49" s="10" t="str">
        <f t="shared" si="3"/>
        <v>OK</v>
      </c>
    </row>
    <row r="50" spans="1:17" x14ac:dyDescent="0.3">
      <c r="A50" s="10" t="s">
        <v>260</v>
      </c>
      <c r="B50" s="13" t="s">
        <v>73</v>
      </c>
      <c r="C50" s="13" t="s">
        <v>393</v>
      </c>
      <c r="D50" s="13" t="s">
        <v>248</v>
      </c>
      <c r="E50" s="13" t="s">
        <v>248</v>
      </c>
      <c r="F50" s="13" t="s">
        <v>22</v>
      </c>
      <c r="G50" s="13" t="s">
        <v>23</v>
      </c>
      <c r="H50" s="14">
        <v>500</v>
      </c>
      <c r="I50" s="15">
        <v>2.7</v>
      </c>
      <c r="J50" s="16">
        <f t="shared" si="5"/>
        <v>1350</v>
      </c>
      <c r="K50" s="17">
        <v>46088</v>
      </c>
      <c r="L50" s="10">
        <v>500</v>
      </c>
      <c r="M50" s="18">
        <f t="shared" si="0"/>
        <v>500</v>
      </c>
      <c r="N50" s="19">
        <f t="shared" si="6"/>
        <v>0</v>
      </c>
      <c r="O50" s="10" t="str">
        <f t="shared" si="7"/>
        <v>COMPLETE</v>
      </c>
      <c r="P50" s="10"/>
      <c r="Q50" s="10" t="str">
        <f t="shared" si="3"/>
        <v>OK</v>
      </c>
    </row>
    <row r="51" spans="1:17" x14ac:dyDescent="0.3">
      <c r="A51" s="10" t="s">
        <v>265</v>
      </c>
      <c r="B51" s="13" t="s">
        <v>130</v>
      </c>
      <c r="C51" s="13" t="s">
        <v>400</v>
      </c>
      <c r="D51" s="13" t="s">
        <v>134</v>
      </c>
      <c r="E51" s="13" t="s">
        <v>134</v>
      </c>
      <c r="F51" s="13" t="s">
        <v>22</v>
      </c>
      <c r="G51" s="13" t="s">
        <v>23</v>
      </c>
      <c r="H51" s="14">
        <v>200</v>
      </c>
      <c r="I51" s="15">
        <v>2.6</v>
      </c>
      <c r="J51" s="16">
        <f t="shared" si="5"/>
        <v>520</v>
      </c>
      <c r="K51" s="17">
        <v>46090</v>
      </c>
      <c r="L51" s="10">
        <v>200</v>
      </c>
      <c r="M51" s="18">
        <f t="shared" si="0"/>
        <v>200</v>
      </c>
      <c r="N51" s="19">
        <f t="shared" si="6"/>
        <v>0</v>
      </c>
      <c r="O51" s="10" t="str">
        <f t="shared" si="7"/>
        <v>COMPLETE</v>
      </c>
      <c r="P51" s="10"/>
      <c r="Q51" s="10" t="str">
        <f t="shared" si="3"/>
        <v>OK</v>
      </c>
    </row>
    <row r="52" spans="1:17" x14ac:dyDescent="0.3">
      <c r="A52" s="10" t="s">
        <v>267</v>
      </c>
      <c r="B52" s="13" t="s">
        <v>180</v>
      </c>
      <c r="C52" s="13" t="s">
        <v>401</v>
      </c>
      <c r="D52" s="13" t="s">
        <v>43</v>
      </c>
      <c r="E52" s="13" t="s">
        <v>43</v>
      </c>
      <c r="F52" s="13" t="s">
        <v>22</v>
      </c>
      <c r="G52" s="13" t="s">
        <v>23</v>
      </c>
      <c r="H52" s="14">
        <v>100</v>
      </c>
      <c r="I52" s="15">
        <v>2.35</v>
      </c>
      <c r="J52" s="16">
        <f t="shared" si="5"/>
        <v>235</v>
      </c>
      <c r="K52" s="17">
        <v>46090</v>
      </c>
      <c r="L52" s="10">
        <v>100</v>
      </c>
      <c r="M52" s="18">
        <f t="shared" si="0"/>
        <v>100</v>
      </c>
      <c r="N52" s="19">
        <f t="shared" si="6"/>
        <v>0</v>
      </c>
      <c r="O52" s="10" t="str">
        <f t="shared" si="7"/>
        <v>COMPLETE</v>
      </c>
      <c r="P52" s="10"/>
      <c r="Q52" s="10" t="str">
        <f t="shared" si="3"/>
        <v>OK</v>
      </c>
    </row>
    <row r="53" spans="1:17" x14ac:dyDescent="0.3">
      <c r="A53" s="44" t="s">
        <v>277</v>
      </c>
      <c r="B53" s="13" t="s">
        <v>50</v>
      </c>
      <c r="C53" s="13" t="s">
        <v>404</v>
      </c>
      <c r="D53" s="13" t="s">
        <v>325</v>
      </c>
      <c r="E53" s="13" t="s">
        <v>325</v>
      </c>
      <c r="F53" s="13" t="s">
        <v>79</v>
      </c>
      <c r="G53" s="13" t="s">
        <v>80</v>
      </c>
      <c r="H53" s="14">
        <v>100</v>
      </c>
      <c r="I53" s="15">
        <v>2.7</v>
      </c>
      <c r="J53" s="16">
        <f t="shared" si="5"/>
        <v>270</v>
      </c>
      <c r="K53" s="17">
        <v>46091</v>
      </c>
      <c r="L53" s="10">
        <v>300</v>
      </c>
      <c r="M53" s="18">
        <f t="shared" si="0"/>
        <v>100</v>
      </c>
      <c r="N53" s="19">
        <f t="shared" si="6"/>
        <v>200</v>
      </c>
      <c r="O53" s="10" t="str">
        <f t="shared" si="7"/>
        <v>INCOMPLETE</v>
      </c>
      <c r="P53" s="10"/>
      <c r="Q53" s="10" t="str">
        <f t="shared" si="3"/>
        <v>OK</v>
      </c>
    </row>
    <row r="54" spans="1:17" x14ac:dyDescent="0.3">
      <c r="A54" s="44" t="s">
        <v>277</v>
      </c>
      <c r="B54" s="13" t="s">
        <v>50</v>
      </c>
      <c r="C54" s="13" t="s">
        <v>404</v>
      </c>
      <c r="D54" s="13" t="s">
        <v>333</v>
      </c>
      <c r="E54" s="13" t="s">
        <v>333</v>
      </c>
      <c r="F54" s="13" t="s">
        <v>79</v>
      </c>
      <c r="G54" s="13" t="s">
        <v>80</v>
      </c>
      <c r="H54" s="14">
        <v>100</v>
      </c>
      <c r="I54" s="15">
        <v>2.7</v>
      </c>
      <c r="J54" s="16">
        <f t="shared" si="5"/>
        <v>270</v>
      </c>
      <c r="K54" s="17">
        <v>46106</v>
      </c>
      <c r="L54" s="10">
        <v>200</v>
      </c>
      <c r="M54" s="18">
        <f t="shared" si="0"/>
        <v>100</v>
      </c>
      <c r="N54" s="19">
        <f t="shared" si="6"/>
        <v>100</v>
      </c>
      <c r="O54" s="10" t="str">
        <f t="shared" si="7"/>
        <v>INCOMPLETE</v>
      </c>
      <c r="P54" s="10"/>
      <c r="Q54" s="10" t="str">
        <f t="shared" si="3"/>
        <v>OK</v>
      </c>
    </row>
    <row r="55" spans="1:17" x14ac:dyDescent="0.3">
      <c r="A55" s="44" t="s">
        <v>277</v>
      </c>
      <c r="B55" s="13" t="s">
        <v>50</v>
      </c>
      <c r="C55" s="13" t="s">
        <v>404</v>
      </c>
      <c r="D55" s="13" t="s">
        <v>353</v>
      </c>
      <c r="E55" s="13" t="s">
        <v>353</v>
      </c>
      <c r="F55" s="13" t="s">
        <v>79</v>
      </c>
      <c r="G55" s="13" t="s">
        <v>80</v>
      </c>
      <c r="H55" s="14">
        <v>50</v>
      </c>
      <c r="I55" s="15">
        <v>2.7</v>
      </c>
      <c r="J55" s="16">
        <f t="shared" si="5"/>
        <v>135</v>
      </c>
      <c r="K55" s="17">
        <v>46111</v>
      </c>
      <c r="L55" s="10">
        <v>100</v>
      </c>
      <c r="M55" s="18">
        <f t="shared" si="0"/>
        <v>50</v>
      </c>
      <c r="N55" s="19">
        <f t="shared" si="6"/>
        <v>50</v>
      </c>
      <c r="O55" s="10" t="str">
        <f t="shared" si="7"/>
        <v>INCOMPLETE</v>
      </c>
      <c r="P55" s="10"/>
      <c r="Q55" s="10" t="str">
        <f t="shared" si="3"/>
        <v>OK</v>
      </c>
    </row>
    <row r="56" spans="1:17" x14ac:dyDescent="0.3">
      <c r="A56" s="44">
        <v>41</v>
      </c>
      <c r="B56" s="13" t="s">
        <v>50</v>
      </c>
      <c r="C56" s="13" t="s">
        <v>404</v>
      </c>
      <c r="D56" s="13" t="s">
        <v>436</v>
      </c>
      <c r="E56" s="13" t="s">
        <v>436</v>
      </c>
      <c r="F56" s="13" t="s">
        <v>79</v>
      </c>
      <c r="G56" s="13" t="s">
        <v>80</v>
      </c>
      <c r="H56" s="14">
        <v>50</v>
      </c>
      <c r="I56" s="15">
        <v>2.7</v>
      </c>
      <c r="J56" s="16">
        <f t="shared" ref="J56" si="8">H56*I56</f>
        <v>135</v>
      </c>
      <c r="K56" s="17">
        <v>46156</v>
      </c>
      <c r="L56" s="10">
        <v>50</v>
      </c>
      <c r="M56" s="18">
        <f t="shared" si="0"/>
        <v>50</v>
      </c>
      <c r="N56" s="19">
        <f t="shared" si="6"/>
        <v>0</v>
      </c>
      <c r="O56" s="10" t="str">
        <f t="shared" si="7"/>
        <v>COMPLETE</v>
      </c>
      <c r="P56" s="10"/>
      <c r="Q56" s="10" t="str">
        <f t="shared" si="3"/>
        <v>OK</v>
      </c>
    </row>
    <row r="57" spans="1:17" x14ac:dyDescent="0.3">
      <c r="A57" s="31" t="s">
        <v>279</v>
      </c>
      <c r="B57" s="13" t="s">
        <v>113</v>
      </c>
      <c r="C57" s="13" t="s">
        <v>405</v>
      </c>
      <c r="D57" s="13" t="s">
        <v>398</v>
      </c>
      <c r="E57" s="13" t="s">
        <v>406</v>
      </c>
      <c r="F57" s="13" t="s">
        <v>22</v>
      </c>
      <c r="G57" s="13" t="s">
        <v>23</v>
      </c>
      <c r="H57" s="14">
        <v>800</v>
      </c>
      <c r="I57" s="15">
        <v>2.5</v>
      </c>
      <c r="J57" s="16">
        <f t="shared" si="5"/>
        <v>2000</v>
      </c>
      <c r="K57" s="17">
        <v>46092</v>
      </c>
      <c r="L57" s="10">
        <v>1547</v>
      </c>
      <c r="M57" s="18">
        <f t="shared" si="0"/>
        <v>800</v>
      </c>
      <c r="N57" s="19">
        <f t="shared" si="6"/>
        <v>747</v>
      </c>
      <c r="O57" s="10" t="str">
        <f t="shared" si="7"/>
        <v>INCOMPLETE</v>
      </c>
      <c r="P57" s="10"/>
      <c r="Q57" s="10" t="str">
        <f t="shared" si="3"/>
        <v>OK</v>
      </c>
    </row>
    <row r="58" spans="1:17" x14ac:dyDescent="0.3">
      <c r="A58" s="31" t="s">
        <v>279</v>
      </c>
      <c r="B58" s="13" t="s">
        <v>113</v>
      </c>
      <c r="C58" s="13" t="s">
        <v>405</v>
      </c>
      <c r="D58" s="13" t="s">
        <v>478</v>
      </c>
      <c r="E58" s="13" t="s">
        <v>483</v>
      </c>
      <c r="F58" s="13" t="s">
        <v>22</v>
      </c>
      <c r="G58" s="13" t="s">
        <v>23</v>
      </c>
      <c r="H58" s="14">
        <v>747</v>
      </c>
      <c r="I58" s="15">
        <v>2.5</v>
      </c>
      <c r="J58" s="16">
        <f t="shared" si="5"/>
        <v>1867.5</v>
      </c>
      <c r="K58" s="17">
        <v>46115</v>
      </c>
      <c r="L58" s="10">
        <v>747</v>
      </c>
      <c r="M58" s="18">
        <f t="shared" si="0"/>
        <v>747</v>
      </c>
      <c r="N58" s="19">
        <f t="shared" si="6"/>
        <v>0</v>
      </c>
      <c r="O58" s="10" t="str">
        <f t="shared" si="7"/>
        <v>COMPLETE</v>
      </c>
      <c r="P58" s="10"/>
      <c r="Q58" s="10" t="str">
        <f t="shared" si="3"/>
        <v>OK</v>
      </c>
    </row>
    <row r="59" spans="1:17" x14ac:dyDescent="0.3">
      <c r="A59" s="45" t="s">
        <v>287</v>
      </c>
      <c r="B59" s="13" t="s">
        <v>123</v>
      </c>
      <c r="C59" s="13" t="s">
        <v>424</v>
      </c>
      <c r="D59" s="13" t="s">
        <v>43</v>
      </c>
      <c r="E59" s="13" t="s">
        <v>43</v>
      </c>
      <c r="F59" s="13" t="s">
        <v>79</v>
      </c>
      <c r="G59" s="13" t="s">
        <v>80</v>
      </c>
      <c r="H59" s="14">
        <v>100</v>
      </c>
      <c r="I59" s="15">
        <v>2.6</v>
      </c>
      <c r="J59" s="16">
        <f t="shared" si="5"/>
        <v>260</v>
      </c>
      <c r="K59" s="17">
        <v>46094</v>
      </c>
      <c r="L59" s="10">
        <v>400</v>
      </c>
      <c r="M59" s="18">
        <f t="shared" si="0"/>
        <v>100</v>
      </c>
      <c r="N59" s="19">
        <f t="shared" si="6"/>
        <v>300</v>
      </c>
      <c r="O59" s="10" t="str">
        <f t="shared" si="7"/>
        <v>INCOMPLETE</v>
      </c>
      <c r="P59" s="10"/>
      <c r="Q59" s="10" t="str">
        <f t="shared" si="3"/>
        <v>OK</v>
      </c>
    </row>
    <row r="60" spans="1:17" x14ac:dyDescent="0.3">
      <c r="A60" s="45" t="s">
        <v>287</v>
      </c>
      <c r="B60" s="13" t="s">
        <v>123</v>
      </c>
      <c r="C60" s="13" t="s">
        <v>424</v>
      </c>
      <c r="D60" s="13" t="s">
        <v>47</v>
      </c>
      <c r="E60" s="13" t="s">
        <v>47</v>
      </c>
      <c r="F60" s="13" t="s">
        <v>22</v>
      </c>
      <c r="G60" s="13" t="s">
        <v>23</v>
      </c>
      <c r="H60" s="14">
        <v>300</v>
      </c>
      <c r="I60" s="15">
        <v>2.6</v>
      </c>
      <c r="J60" s="16">
        <f t="shared" si="5"/>
        <v>780</v>
      </c>
      <c r="K60" s="17">
        <v>46105</v>
      </c>
      <c r="L60" s="10">
        <v>300</v>
      </c>
      <c r="M60" s="18">
        <f t="shared" si="0"/>
        <v>300</v>
      </c>
      <c r="N60" s="19">
        <f t="shared" si="6"/>
        <v>0</v>
      </c>
      <c r="O60" s="10" t="str">
        <f t="shared" si="7"/>
        <v>COMPLETE</v>
      </c>
      <c r="P60" s="9" t="s">
        <v>464</v>
      </c>
      <c r="Q60" s="10" t="str">
        <f t="shared" si="3"/>
        <v>OK</v>
      </c>
    </row>
    <row r="61" spans="1:17" x14ac:dyDescent="0.3">
      <c r="A61" s="10" t="s">
        <v>289</v>
      </c>
      <c r="B61" s="13" t="s">
        <v>19</v>
      </c>
      <c r="C61" s="13" t="s">
        <v>439</v>
      </c>
      <c r="D61" s="13" t="s">
        <v>134</v>
      </c>
      <c r="E61" s="13" t="s">
        <v>134</v>
      </c>
      <c r="F61" s="13" t="s">
        <v>22</v>
      </c>
      <c r="G61" s="13" t="s">
        <v>23</v>
      </c>
      <c r="H61" s="14">
        <v>150</v>
      </c>
      <c r="I61" s="15">
        <v>2.2000000000000002</v>
      </c>
      <c r="J61" s="16">
        <f t="shared" si="5"/>
        <v>330</v>
      </c>
      <c r="K61" s="17">
        <v>46098</v>
      </c>
      <c r="L61" s="10">
        <v>150</v>
      </c>
      <c r="M61" s="18">
        <f t="shared" si="0"/>
        <v>150</v>
      </c>
      <c r="N61" s="19">
        <f t="shared" si="6"/>
        <v>0</v>
      </c>
      <c r="O61" s="10" t="str">
        <f t="shared" si="7"/>
        <v>COMPLETE</v>
      </c>
      <c r="P61" s="10"/>
      <c r="Q61" s="10" t="str">
        <f t="shared" si="3"/>
        <v>OK</v>
      </c>
    </row>
    <row r="62" spans="1:17" x14ac:dyDescent="0.3">
      <c r="A62" s="10" t="s">
        <v>294</v>
      </c>
      <c r="B62" s="13" t="s">
        <v>158</v>
      </c>
      <c r="C62" s="13" t="s">
        <v>440</v>
      </c>
      <c r="D62" s="13" t="s">
        <v>94</v>
      </c>
      <c r="E62" s="13" t="s">
        <v>94</v>
      </c>
      <c r="F62" s="13" t="s">
        <v>22</v>
      </c>
      <c r="G62" s="13" t="s">
        <v>23</v>
      </c>
      <c r="H62" s="14">
        <v>300</v>
      </c>
      <c r="I62" s="15">
        <v>2.6</v>
      </c>
      <c r="J62" s="16">
        <f t="shared" si="5"/>
        <v>780</v>
      </c>
      <c r="K62" s="17">
        <v>46098</v>
      </c>
      <c r="L62" s="10">
        <v>300</v>
      </c>
      <c r="M62" s="18">
        <f t="shared" si="0"/>
        <v>300</v>
      </c>
      <c r="N62" s="19">
        <f t="shared" si="6"/>
        <v>0</v>
      </c>
      <c r="O62" s="10" t="str">
        <f t="shared" si="7"/>
        <v>COMPLETE</v>
      </c>
      <c r="P62" s="9" t="s">
        <v>464</v>
      </c>
      <c r="Q62" s="10" t="str">
        <f t="shared" si="3"/>
        <v>OK</v>
      </c>
    </row>
    <row r="63" spans="1:17" x14ac:dyDescent="0.3">
      <c r="A63" s="10" t="s">
        <v>297</v>
      </c>
      <c r="B63" s="13" t="s">
        <v>130</v>
      </c>
      <c r="C63" s="13" t="s">
        <v>463</v>
      </c>
      <c r="D63" s="13" t="s">
        <v>165</v>
      </c>
      <c r="E63" s="13" t="s">
        <v>165</v>
      </c>
      <c r="F63" s="13" t="s">
        <v>22</v>
      </c>
      <c r="G63" s="13" t="s">
        <v>23</v>
      </c>
      <c r="H63" s="14">
        <v>600</v>
      </c>
      <c r="I63" s="15">
        <v>2.6</v>
      </c>
      <c r="J63" s="16">
        <f t="shared" si="5"/>
        <v>1560</v>
      </c>
      <c r="K63" s="17">
        <v>46105</v>
      </c>
      <c r="L63" s="10">
        <v>600</v>
      </c>
      <c r="M63" s="18">
        <f t="shared" si="0"/>
        <v>600</v>
      </c>
      <c r="N63" s="19">
        <f t="shared" si="6"/>
        <v>0</v>
      </c>
      <c r="O63" s="10" t="str">
        <f t="shared" si="7"/>
        <v>COMPLETE</v>
      </c>
      <c r="P63" s="10"/>
      <c r="Q63" s="10" t="str">
        <f t="shared" si="3"/>
        <v>OK</v>
      </c>
    </row>
    <row r="64" spans="1:17" x14ac:dyDescent="0.3">
      <c r="A64" s="10" t="s">
        <v>299</v>
      </c>
      <c r="B64" s="13" t="s">
        <v>225</v>
      </c>
      <c r="C64" s="13" t="s">
        <v>467</v>
      </c>
      <c r="D64" s="13" t="s">
        <v>47</v>
      </c>
      <c r="E64" s="13" t="s">
        <v>47</v>
      </c>
      <c r="F64" s="13" t="s">
        <v>22</v>
      </c>
      <c r="G64" s="13" t="s">
        <v>23</v>
      </c>
      <c r="H64" s="14">
        <v>500</v>
      </c>
      <c r="I64" s="15">
        <v>2.35</v>
      </c>
      <c r="J64" s="16">
        <f t="shared" si="5"/>
        <v>1175</v>
      </c>
      <c r="K64" s="17">
        <v>46107</v>
      </c>
      <c r="L64" s="10">
        <v>500</v>
      </c>
      <c r="M64" s="18">
        <f t="shared" si="0"/>
        <v>500</v>
      </c>
      <c r="N64" s="19">
        <f t="shared" si="6"/>
        <v>0</v>
      </c>
      <c r="O64" s="10" t="str">
        <f t="shared" si="7"/>
        <v>COMPLETE</v>
      </c>
      <c r="P64" s="9" t="s">
        <v>464</v>
      </c>
      <c r="Q64" s="10" t="str">
        <f t="shared" si="3"/>
        <v>OK</v>
      </c>
    </row>
    <row r="65" spans="1:17" x14ac:dyDescent="0.3">
      <c r="A65" s="10" t="s">
        <v>304</v>
      </c>
      <c r="B65" s="13" t="s">
        <v>130</v>
      </c>
      <c r="C65" s="13" t="s">
        <v>470</v>
      </c>
      <c r="D65" s="13" t="s">
        <v>189</v>
      </c>
      <c r="E65" s="13" t="s">
        <v>189</v>
      </c>
      <c r="F65" s="13" t="s">
        <v>22</v>
      </c>
      <c r="G65" s="13" t="s">
        <v>23</v>
      </c>
      <c r="H65" s="14">
        <v>200</v>
      </c>
      <c r="I65" s="15">
        <v>2.6</v>
      </c>
      <c r="J65" s="16">
        <f t="shared" si="5"/>
        <v>520</v>
      </c>
      <c r="K65" s="17">
        <v>46108</v>
      </c>
      <c r="L65" s="10">
        <v>200</v>
      </c>
      <c r="M65" s="18">
        <f t="shared" si="0"/>
        <v>200</v>
      </c>
      <c r="N65" s="19">
        <f t="shared" si="6"/>
        <v>0</v>
      </c>
      <c r="O65" s="10" t="str">
        <f t="shared" si="7"/>
        <v>COMPLETE</v>
      </c>
      <c r="P65" s="10"/>
      <c r="Q65" s="10" t="str">
        <f t="shared" si="3"/>
        <v>OK</v>
      </c>
    </row>
    <row r="66" spans="1:17" x14ac:dyDescent="0.3">
      <c r="A66" s="10" t="s">
        <v>307</v>
      </c>
      <c r="B66" s="13" t="s">
        <v>225</v>
      </c>
      <c r="C66" s="13" t="s">
        <v>475</v>
      </c>
      <c r="D66" s="13" t="s">
        <v>94</v>
      </c>
      <c r="E66" s="13" t="s">
        <v>94</v>
      </c>
      <c r="F66" s="13" t="s">
        <v>22</v>
      </c>
      <c r="G66" s="13" t="s">
        <v>23</v>
      </c>
      <c r="H66" s="14">
        <v>800</v>
      </c>
      <c r="I66" s="15">
        <v>2.35</v>
      </c>
      <c r="J66" s="16">
        <f t="shared" si="5"/>
        <v>1880</v>
      </c>
      <c r="K66" s="17">
        <v>46111</v>
      </c>
      <c r="L66" s="10">
        <v>800</v>
      </c>
      <c r="M66" s="18">
        <f t="shared" si="0"/>
        <v>800</v>
      </c>
      <c r="N66" s="19">
        <f t="shared" si="6"/>
        <v>0</v>
      </c>
      <c r="O66" s="10" t="str">
        <f t="shared" si="7"/>
        <v>COMPLETE</v>
      </c>
      <c r="P66" s="9" t="s">
        <v>464</v>
      </c>
      <c r="Q66" s="10" t="str">
        <f t="shared" si="3"/>
        <v>OK</v>
      </c>
    </row>
    <row r="67" spans="1:17" x14ac:dyDescent="0.3">
      <c r="A67" s="10" t="s">
        <v>311</v>
      </c>
      <c r="B67" s="13" t="s">
        <v>130</v>
      </c>
      <c r="C67" s="13" t="s">
        <v>479</v>
      </c>
      <c r="D67" s="13" t="s">
        <v>208</v>
      </c>
      <c r="E67" s="13" t="s">
        <v>208</v>
      </c>
      <c r="F67" s="13" t="s">
        <v>22</v>
      </c>
      <c r="G67" s="13" t="s">
        <v>23</v>
      </c>
      <c r="H67" s="14">
        <v>600</v>
      </c>
      <c r="I67" s="15">
        <v>2.6</v>
      </c>
      <c r="J67" s="16">
        <f t="shared" si="5"/>
        <v>1560</v>
      </c>
      <c r="K67" s="17">
        <v>46112</v>
      </c>
      <c r="L67" s="10">
        <v>600</v>
      </c>
      <c r="M67" s="18">
        <f t="shared" si="0"/>
        <v>600</v>
      </c>
      <c r="N67" s="19">
        <f t="shared" si="6"/>
        <v>0</v>
      </c>
      <c r="O67" s="10" t="str">
        <f t="shared" si="7"/>
        <v>COMPLETE</v>
      </c>
      <c r="P67" s="10"/>
      <c r="Q67" s="10" t="str">
        <f t="shared" si="3"/>
        <v>OK</v>
      </c>
    </row>
    <row r="68" spans="1:17" x14ac:dyDescent="0.3">
      <c r="A68" s="38" t="s">
        <v>313</v>
      </c>
      <c r="B68" s="13" t="s">
        <v>77</v>
      </c>
      <c r="C68" s="13" t="s">
        <v>486</v>
      </c>
      <c r="D68" s="13" t="s">
        <v>208</v>
      </c>
      <c r="E68" s="13" t="s">
        <v>208</v>
      </c>
      <c r="F68" s="13" t="s">
        <v>22</v>
      </c>
      <c r="G68" s="13" t="s">
        <v>23</v>
      </c>
      <c r="H68" s="14">
        <v>500</v>
      </c>
      <c r="I68" s="15">
        <v>2.5</v>
      </c>
      <c r="J68" s="16">
        <f t="shared" si="5"/>
        <v>1250</v>
      </c>
      <c r="K68" s="17">
        <v>46113</v>
      </c>
      <c r="L68" s="10">
        <v>500</v>
      </c>
      <c r="M68" s="18">
        <f t="shared" si="0"/>
        <v>500</v>
      </c>
      <c r="N68" s="19">
        <f t="shared" si="6"/>
        <v>0</v>
      </c>
      <c r="O68" s="10" t="str">
        <f t="shared" si="7"/>
        <v>COMPLETE</v>
      </c>
      <c r="P68" s="10"/>
      <c r="Q68" s="10" t="str">
        <f t="shared" si="3"/>
        <v>OK</v>
      </c>
    </row>
    <row r="69" spans="1:17" x14ac:dyDescent="0.3">
      <c r="A69" s="38">
        <v>51</v>
      </c>
      <c r="B69" s="13" t="s">
        <v>77</v>
      </c>
      <c r="C69" s="13" t="s">
        <v>486</v>
      </c>
      <c r="D69" s="13" t="s">
        <v>271</v>
      </c>
      <c r="E69" s="13" t="s">
        <v>271</v>
      </c>
      <c r="F69" s="13" t="s">
        <v>79</v>
      </c>
      <c r="G69" s="13" t="s">
        <v>80</v>
      </c>
      <c r="H69" s="14">
        <v>500</v>
      </c>
      <c r="I69" s="15">
        <v>2.5</v>
      </c>
      <c r="J69" s="16">
        <f t="shared" si="5"/>
        <v>1250</v>
      </c>
      <c r="K69" s="17">
        <v>46151</v>
      </c>
      <c r="L69" s="10">
        <v>500</v>
      </c>
      <c r="M69" s="18">
        <f t="shared" si="0"/>
        <v>500</v>
      </c>
      <c r="N69" s="19">
        <f t="shared" si="6"/>
        <v>0</v>
      </c>
      <c r="O69" s="10" t="str">
        <f t="shared" si="7"/>
        <v>COMPLETE</v>
      </c>
      <c r="P69" s="10"/>
      <c r="Q69" s="10" t="str">
        <f t="shared" si="3"/>
        <v>OK</v>
      </c>
    </row>
    <row r="70" spans="1:17" x14ac:dyDescent="0.3">
      <c r="A70" s="10" t="s">
        <v>315</v>
      </c>
      <c r="B70" s="13" t="s">
        <v>91</v>
      </c>
      <c r="C70" s="13" t="s">
        <v>491</v>
      </c>
      <c r="D70" s="13" t="s">
        <v>165</v>
      </c>
      <c r="E70" s="13" t="s">
        <v>165</v>
      </c>
      <c r="F70" s="13" t="s">
        <v>22</v>
      </c>
      <c r="G70" s="13" t="s">
        <v>23</v>
      </c>
      <c r="H70" s="14">
        <v>500</v>
      </c>
      <c r="I70" s="15">
        <v>2.6</v>
      </c>
      <c r="J70" s="16">
        <f t="shared" si="5"/>
        <v>1300</v>
      </c>
      <c r="K70" s="17">
        <v>46114</v>
      </c>
      <c r="L70" s="10">
        <v>500</v>
      </c>
      <c r="M70" s="18">
        <f t="shared" si="0"/>
        <v>500</v>
      </c>
      <c r="N70" s="19">
        <f t="shared" si="6"/>
        <v>0</v>
      </c>
      <c r="O70" s="10" t="str">
        <f t="shared" si="7"/>
        <v>COMPLETE</v>
      </c>
      <c r="P70" s="10"/>
      <c r="Q70" s="10" t="str">
        <f t="shared" si="3"/>
        <v>OK</v>
      </c>
    </row>
    <row r="71" spans="1:17" x14ac:dyDescent="0.3">
      <c r="A71" s="10" t="s">
        <v>323</v>
      </c>
      <c r="B71" s="13" t="s">
        <v>329</v>
      </c>
      <c r="C71" s="13" t="s">
        <v>502</v>
      </c>
      <c r="D71" s="13" t="s">
        <v>94</v>
      </c>
      <c r="E71" s="13" t="s">
        <v>94</v>
      </c>
      <c r="F71" s="13" t="s">
        <v>22</v>
      </c>
      <c r="G71" s="13" t="s">
        <v>23</v>
      </c>
      <c r="H71" s="14">
        <v>600</v>
      </c>
      <c r="I71" s="15">
        <v>2.2000000000000002</v>
      </c>
      <c r="J71" s="16">
        <f t="shared" si="5"/>
        <v>1320</v>
      </c>
      <c r="K71" s="17">
        <v>46118</v>
      </c>
      <c r="L71" s="10">
        <v>600</v>
      </c>
      <c r="M71" s="18">
        <f t="shared" si="0"/>
        <v>600</v>
      </c>
      <c r="N71" s="19">
        <f t="shared" si="6"/>
        <v>0</v>
      </c>
      <c r="O71" s="10" t="str">
        <f t="shared" si="7"/>
        <v>COMPLETE</v>
      </c>
      <c r="P71" s="10"/>
      <c r="Q71" s="10" t="str">
        <f t="shared" si="3"/>
        <v>OK</v>
      </c>
    </row>
    <row r="72" spans="1:17" x14ac:dyDescent="0.3">
      <c r="A72" s="36" t="s">
        <v>331</v>
      </c>
      <c r="B72" s="13" t="s">
        <v>218</v>
      </c>
      <c r="C72" s="13" t="s">
        <v>508</v>
      </c>
      <c r="D72" s="13" t="s">
        <v>47</v>
      </c>
      <c r="E72" s="13" t="s">
        <v>47</v>
      </c>
      <c r="F72" s="13" t="s">
        <v>22</v>
      </c>
      <c r="G72" s="13" t="s">
        <v>23</v>
      </c>
      <c r="H72" s="14">
        <v>500</v>
      </c>
      <c r="I72" s="15">
        <v>2.2000000000000002</v>
      </c>
      <c r="J72" s="16">
        <f t="shared" si="5"/>
        <v>1100</v>
      </c>
      <c r="K72" s="17">
        <v>46118</v>
      </c>
      <c r="L72" s="10">
        <v>2000</v>
      </c>
      <c r="M72" s="18">
        <f t="shared" si="0"/>
        <v>500</v>
      </c>
      <c r="N72" s="19">
        <f t="shared" si="6"/>
        <v>1500</v>
      </c>
      <c r="O72" s="10" t="str">
        <f t="shared" si="7"/>
        <v>INCOMPLETE</v>
      </c>
      <c r="P72" s="10"/>
      <c r="Q72" s="10" t="str">
        <f t="shared" si="3"/>
        <v>OK</v>
      </c>
    </row>
    <row r="73" spans="1:17" x14ac:dyDescent="0.3">
      <c r="A73" s="36" t="s">
        <v>331</v>
      </c>
      <c r="B73" s="13" t="s">
        <v>218</v>
      </c>
      <c r="C73" s="13" t="s">
        <v>508</v>
      </c>
      <c r="D73" s="13" t="s">
        <v>135</v>
      </c>
      <c r="E73" s="13" t="s">
        <v>135</v>
      </c>
      <c r="F73" s="13" t="s">
        <v>22</v>
      </c>
      <c r="G73" s="13" t="s">
        <v>23</v>
      </c>
      <c r="H73" s="14">
        <v>1500</v>
      </c>
      <c r="I73" s="15">
        <v>2.2000000000000002</v>
      </c>
      <c r="J73" s="16">
        <f t="shared" si="5"/>
        <v>3300.0000000000005</v>
      </c>
      <c r="K73" s="17">
        <v>46119</v>
      </c>
      <c r="L73" s="10">
        <v>1500</v>
      </c>
      <c r="M73" s="18">
        <f t="shared" si="0"/>
        <v>1500</v>
      </c>
      <c r="N73" s="19">
        <f t="shared" si="6"/>
        <v>0</v>
      </c>
      <c r="O73" s="10" t="str">
        <f t="shared" si="7"/>
        <v>COMPLETE</v>
      </c>
      <c r="P73" s="10"/>
      <c r="Q73" s="10" t="str">
        <f t="shared" si="3"/>
        <v>OK</v>
      </c>
    </row>
    <row r="74" spans="1:17" x14ac:dyDescent="0.3">
      <c r="A74" s="10" t="s">
        <v>340</v>
      </c>
      <c r="B74" s="13" t="s">
        <v>329</v>
      </c>
      <c r="C74" s="13" t="s">
        <v>524</v>
      </c>
      <c r="D74" s="13" t="s">
        <v>98</v>
      </c>
      <c r="E74" s="13" t="s">
        <v>98</v>
      </c>
      <c r="F74" s="13" t="s">
        <v>22</v>
      </c>
      <c r="G74" s="13" t="s">
        <v>23</v>
      </c>
      <c r="H74" s="14">
        <v>200</v>
      </c>
      <c r="I74" s="15">
        <v>2.2000000000000002</v>
      </c>
      <c r="J74" s="16">
        <f t="shared" si="5"/>
        <v>440.00000000000006</v>
      </c>
      <c r="K74" s="17">
        <v>46120</v>
      </c>
      <c r="L74" s="10">
        <v>200</v>
      </c>
      <c r="M74" s="18">
        <f t="shared" si="0"/>
        <v>200</v>
      </c>
      <c r="N74" s="19">
        <f t="shared" si="6"/>
        <v>0</v>
      </c>
      <c r="O74" s="10" t="str">
        <f t="shared" si="7"/>
        <v>COMPLETE</v>
      </c>
      <c r="P74" s="10"/>
      <c r="Q74" s="10" t="str">
        <f t="shared" si="3"/>
        <v>OK</v>
      </c>
    </row>
    <row r="75" spans="1:17" x14ac:dyDescent="0.3">
      <c r="A75" s="10" t="s">
        <v>345</v>
      </c>
      <c r="B75" s="13" t="s">
        <v>218</v>
      </c>
      <c r="C75" s="13" t="s">
        <v>527</v>
      </c>
      <c r="D75" s="13" t="s">
        <v>165</v>
      </c>
      <c r="E75" s="13" t="s">
        <v>165</v>
      </c>
      <c r="F75" s="13" t="s">
        <v>22</v>
      </c>
      <c r="G75" s="13" t="s">
        <v>23</v>
      </c>
      <c r="H75" s="14">
        <v>2000</v>
      </c>
      <c r="I75" s="15">
        <v>2.2000000000000002</v>
      </c>
      <c r="J75" s="16">
        <f t="shared" si="5"/>
        <v>4400</v>
      </c>
      <c r="K75" s="17">
        <v>46120</v>
      </c>
      <c r="L75" s="10">
        <v>2000</v>
      </c>
      <c r="M75" s="18">
        <f t="shared" si="0"/>
        <v>2000</v>
      </c>
      <c r="N75" s="19">
        <f t="shared" si="6"/>
        <v>0</v>
      </c>
      <c r="O75" s="10" t="str">
        <f t="shared" si="7"/>
        <v>COMPLETE</v>
      </c>
      <c r="P75" s="10"/>
      <c r="Q75" s="10" t="str">
        <f t="shared" si="3"/>
        <v>OK</v>
      </c>
    </row>
    <row r="76" spans="1:17" x14ac:dyDescent="0.3">
      <c r="A76" s="10" t="s">
        <v>348</v>
      </c>
      <c r="B76" s="13" t="s">
        <v>327</v>
      </c>
      <c r="C76" s="13" t="s">
        <v>550</v>
      </c>
      <c r="D76" s="13" t="s">
        <v>39</v>
      </c>
      <c r="E76" s="13" t="s">
        <v>39</v>
      </c>
      <c r="F76" s="13" t="s">
        <v>22</v>
      </c>
      <c r="G76" s="13" t="s">
        <v>23</v>
      </c>
      <c r="H76" s="14">
        <v>100</v>
      </c>
      <c r="I76" s="15">
        <v>2.35</v>
      </c>
      <c r="J76" s="16">
        <f t="shared" si="5"/>
        <v>235</v>
      </c>
      <c r="K76" s="17">
        <v>46122</v>
      </c>
      <c r="L76" s="10">
        <v>100</v>
      </c>
      <c r="M76" s="18">
        <f t="shared" si="0"/>
        <v>100</v>
      </c>
      <c r="N76" s="19">
        <f t="shared" si="6"/>
        <v>0</v>
      </c>
      <c r="O76" s="10" t="str">
        <f t="shared" si="7"/>
        <v>COMPLETE</v>
      </c>
      <c r="P76" s="10"/>
      <c r="Q76" s="10" t="str">
        <f t="shared" si="3"/>
        <v>OK</v>
      </c>
    </row>
    <row r="77" spans="1:17" x14ac:dyDescent="0.3">
      <c r="A77" s="10" t="s">
        <v>350</v>
      </c>
      <c r="B77" s="13" t="s">
        <v>113</v>
      </c>
      <c r="C77" s="13" t="s">
        <v>582</v>
      </c>
      <c r="D77" s="13" t="s">
        <v>562</v>
      </c>
      <c r="E77" s="13" t="s">
        <v>567</v>
      </c>
      <c r="F77" s="13" t="s">
        <v>22</v>
      </c>
      <c r="G77" s="13" t="s">
        <v>23</v>
      </c>
      <c r="H77" s="14">
        <v>3500</v>
      </c>
      <c r="I77" s="15">
        <v>2.5</v>
      </c>
      <c r="J77" s="16">
        <f t="shared" si="5"/>
        <v>8750</v>
      </c>
      <c r="K77" s="17">
        <v>46134</v>
      </c>
      <c r="L77" s="10">
        <v>6652</v>
      </c>
      <c r="M77" s="18">
        <f t="shared" si="0"/>
        <v>3500</v>
      </c>
      <c r="N77" s="19">
        <f t="shared" si="6"/>
        <v>3152</v>
      </c>
      <c r="O77" s="10" t="str">
        <f t="shared" si="7"/>
        <v>INCOMPLETE</v>
      </c>
      <c r="P77" s="10"/>
      <c r="Q77" s="10" t="str">
        <f t="shared" si="3"/>
        <v>OK</v>
      </c>
    </row>
    <row r="78" spans="1:17" x14ac:dyDescent="0.3">
      <c r="A78" s="10">
        <v>59</v>
      </c>
      <c r="B78" s="13" t="s">
        <v>50</v>
      </c>
      <c r="C78" s="13" t="s">
        <v>604</v>
      </c>
      <c r="D78" s="13" t="s">
        <v>406</v>
      </c>
      <c r="E78" s="13" t="s">
        <v>406</v>
      </c>
      <c r="F78" s="13" t="s">
        <v>22</v>
      </c>
      <c r="G78" s="13" t="s">
        <v>23</v>
      </c>
      <c r="H78" s="14">
        <v>300</v>
      </c>
      <c r="I78" s="15">
        <v>2.7</v>
      </c>
      <c r="J78" s="16">
        <f t="shared" si="5"/>
        <v>810</v>
      </c>
      <c r="K78" s="17">
        <v>46142</v>
      </c>
      <c r="L78" s="10">
        <v>300</v>
      </c>
      <c r="M78" s="18">
        <f t="shared" si="0"/>
        <v>300</v>
      </c>
      <c r="N78" s="19">
        <f t="shared" si="6"/>
        <v>0</v>
      </c>
      <c r="O78" s="10" t="str">
        <f t="shared" si="7"/>
        <v>COMPLETE</v>
      </c>
      <c r="P78" s="10"/>
      <c r="Q78" s="10" t="str">
        <f t="shared" si="3"/>
        <v>OK</v>
      </c>
    </row>
    <row r="79" spans="1:17" x14ac:dyDescent="0.3">
      <c r="A79" s="10">
        <v>60</v>
      </c>
      <c r="B79" s="13" t="s">
        <v>329</v>
      </c>
      <c r="C79" s="13" t="s">
        <v>618</v>
      </c>
      <c r="D79" s="13" t="s">
        <v>135</v>
      </c>
      <c r="E79" s="13" t="s">
        <v>135</v>
      </c>
      <c r="F79" s="13" t="s">
        <v>22</v>
      </c>
      <c r="G79" s="13" t="s">
        <v>23</v>
      </c>
      <c r="H79" s="14">
        <v>400</v>
      </c>
      <c r="I79" s="15">
        <v>2.2000000000000002</v>
      </c>
      <c r="J79" s="16">
        <f t="shared" si="5"/>
        <v>880.00000000000011</v>
      </c>
      <c r="K79" s="17">
        <v>46147</v>
      </c>
      <c r="L79" s="10">
        <v>400</v>
      </c>
      <c r="M79" s="18">
        <f t="shared" si="0"/>
        <v>400</v>
      </c>
      <c r="N79" s="19">
        <f t="shared" si="6"/>
        <v>0</v>
      </c>
      <c r="O79" s="10" t="str">
        <f t="shared" si="7"/>
        <v>COMPLETE</v>
      </c>
      <c r="P79" s="10"/>
      <c r="Q79" s="10" t="str">
        <f t="shared" si="3"/>
        <v>OK</v>
      </c>
    </row>
    <row r="80" spans="1:17" x14ac:dyDescent="0.3">
      <c r="A80" s="10">
        <v>61</v>
      </c>
      <c r="B80" s="13" t="s">
        <v>19</v>
      </c>
      <c r="C80" s="13" t="s">
        <v>621</v>
      </c>
      <c r="D80" s="13" t="s">
        <v>207</v>
      </c>
      <c r="E80" s="13" t="s">
        <v>207</v>
      </c>
      <c r="F80" s="13" t="s">
        <v>22</v>
      </c>
      <c r="G80" s="13" t="s">
        <v>23</v>
      </c>
      <c r="H80" s="14">
        <v>100</v>
      </c>
      <c r="I80" s="15">
        <v>2.2000000000000002</v>
      </c>
      <c r="J80" s="16">
        <f t="shared" si="5"/>
        <v>220.00000000000003</v>
      </c>
      <c r="K80" s="17">
        <v>46148</v>
      </c>
      <c r="L80" s="10">
        <v>100</v>
      </c>
      <c r="M80" s="18">
        <f t="shared" ref="M80:M92" si="9">H80</f>
        <v>100</v>
      </c>
      <c r="N80" s="19">
        <f t="shared" si="6"/>
        <v>0</v>
      </c>
      <c r="O80" s="10" t="str">
        <f t="shared" si="7"/>
        <v>COMPLETE</v>
      </c>
      <c r="P80" s="10"/>
      <c r="Q80" s="10" t="str">
        <f t="shared" ref="Q80:Q92" si="10">IF(M80=H80,"OK","X")</f>
        <v>OK</v>
      </c>
    </row>
    <row r="81" spans="1:17" x14ac:dyDescent="0.3">
      <c r="A81" s="10">
        <v>62</v>
      </c>
      <c r="B81" s="13" t="s">
        <v>102</v>
      </c>
      <c r="C81" s="13" t="s">
        <v>623</v>
      </c>
      <c r="D81" s="13" t="s">
        <v>134</v>
      </c>
      <c r="E81" s="13" t="s">
        <v>134</v>
      </c>
      <c r="F81" s="13" t="s">
        <v>22</v>
      </c>
      <c r="G81" s="13" t="s">
        <v>23</v>
      </c>
      <c r="H81" s="14">
        <v>100</v>
      </c>
      <c r="I81" s="15">
        <v>2.6</v>
      </c>
      <c r="J81" s="16">
        <f t="shared" si="5"/>
        <v>260</v>
      </c>
      <c r="K81" s="17">
        <v>46148</v>
      </c>
      <c r="L81" s="10">
        <v>100</v>
      </c>
      <c r="M81" s="18">
        <f t="shared" si="9"/>
        <v>100</v>
      </c>
      <c r="N81" s="19">
        <f t="shared" si="6"/>
        <v>0</v>
      </c>
      <c r="O81" s="10" t="str">
        <f t="shared" si="7"/>
        <v>COMPLETE</v>
      </c>
      <c r="P81" s="10"/>
      <c r="Q81" s="10" t="str">
        <f t="shared" si="10"/>
        <v>OK</v>
      </c>
    </row>
    <row r="82" spans="1:17" x14ac:dyDescent="0.3">
      <c r="A82" s="10">
        <v>63</v>
      </c>
      <c r="B82" s="13" t="s">
        <v>180</v>
      </c>
      <c r="C82" s="13" t="s">
        <v>630</v>
      </c>
      <c r="D82" s="13" t="s">
        <v>135</v>
      </c>
      <c r="E82" s="13" t="s">
        <v>135</v>
      </c>
      <c r="F82" s="13" t="s">
        <v>22</v>
      </c>
      <c r="G82" s="13" t="s">
        <v>23</v>
      </c>
      <c r="H82" s="14">
        <v>100</v>
      </c>
      <c r="I82" s="15">
        <v>2.35</v>
      </c>
      <c r="J82" s="16">
        <f t="shared" si="5"/>
        <v>235</v>
      </c>
      <c r="K82" s="17">
        <v>46149</v>
      </c>
      <c r="L82" s="10">
        <v>100</v>
      </c>
      <c r="M82" s="18">
        <f t="shared" si="9"/>
        <v>100</v>
      </c>
      <c r="N82" s="19">
        <f t="shared" si="6"/>
        <v>0</v>
      </c>
      <c r="O82" s="10" t="str">
        <f t="shared" si="7"/>
        <v>COMPLETE</v>
      </c>
      <c r="P82" s="10"/>
      <c r="Q82" s="10" t="str">
        <f t="shared" si="10"/>
        <v>OK</v>
      </c>
    </row>
    <row r="83" spans="1:17" x14ac:dyDescent="0.3">
      <c r="A83" s="10">
        <v>64</v>
      </c>
      <c r="B83" s="13" t="s">
        <v>77</v>
      </c>
      <c r="C83" s="13" t="s">
        <v>437</v>
      </c>
      <c r="D83" s="13" t="s">
        <v>272</v>
      </c>
      <c r="E83" s="13" t="s">
        <v>272</v>
      </c>
      <c r="F83" s="13" t="s">
        <v>79</v>
      </c>
      <c r="G83" s="13" t="s">
        <v>80</v>
      </c>
      <c r="H83" s="14">
        <v>500</v>
      </c>
      <c r="I83" s="15">
        <v>2.5</v>
      </c>
      <c r="J83" s="16">
        <f t="shared" si="5"/>
        <v>1250</v>
      </c>
      <c r="K83" s="17">
        <v>46151</v>
      </c>
      <c r="L83" s="10">
        <v>500</v>
      </c>
      <c r="M83" s="18">
        <f t="shared" si="9"/>
        <v>500</v>
      </c>
      <c r="N83" s="19">
        <f t="shared" si="6"/>
        <v>0</v>
      </c>
      <c r="O83" s="10" t="str">
        <f t="shared" si="7"/>
        <v>COMPLETE</v>
      </c>
      <c r="P83" s="10"/>
      <c r="Q83" s="10" t="str">
        <f t="shared" si="10"/>
        <v>OK</v>
      </c>
    </row>
    <row r="84" spans="1:17" x14ac:dyDescent="0.3">
      <c r="A84" s="9">
        <v>65</v>
      </c>
      <c r="B84" s="13" t="s">
        <v>50</v>
      </c>
      <c r="C84" s="13" t="s">
        <v>477</v>
      </c>
      <c r="D84" s="13" t="s">
        <v>427</v>
      </c>
      <c r="E84" s="13" t="s">
        <v>427</v>
      </c>
      <c r="F84" s="13" t="s">
        <v>79</v>
      </c>
      <c r="G84" s="13" t="s">
        <v>80</v>
      </c>
      <c r="H84" s="14">
        <v>500</v>
      </c>
      <c r="I84" s="15">
        <v>2.7</v>
      </c>
      <c r="J84" s="16">
        <f t="shared" si="5"/>
        <v>1350</v>
      </c>
      <c r="K84" s="17">
        <v>46151</v>
      </c>
      <c r="L84" s="10">
        <v>1000</v>
      </c>
      <c r="M84" s="18">
        <f t="shared" si="9"/>
        <v>500</v>
      </c>
      <c r="N84" s="19">
        <f t="shared" si="6"/>
        <v>500</v>
      </c>
      <c r="O84" s="10" t="str">
        <f t="shared" si="7"/>
        <v>INCOMPLETE</v>
      </c>
      <c r="P84" s="10"/>
      <c r="Q84" s="10" t="str">
        <f t="shared" si="10"/>
        <v>OK</v>
      </c>
    </row>
    <row r="85" spans="1:17" x14ac:dyDescent="0.3">
      <c r="A85" s="9">
        <v>65</v>
      </c>
      <c r="B85" s="13" t="s">
        <v>50</v>
      </c>
      <c r="C85" s="13" t="s">
        <v>477</v>
      </c>
      <c r="D85" s="13" t="s">
        <v>447</v>
      </c>
      <c r="E85" s="13" t="s">
        <v>447</v>
      </c>
      <c r="F85" s="13" t="s">
        <v>79</v>
      </c>
      <c r="G85" s="13" t="s">
        <v>80</v>
      </c>
      <c r="H85" s="14">
        <v>500</v>
      </c>
      <c r="I85" s="15">
        <v>2.7</v>
      </c>
      <c r="J85" s="16">
        <f t="shared" si="5"/>
        <v>1350</v>
      </c>
      <c r="K85" s="17">
        <v>46156</v>
      </c>
      <c r="L85" s="10">
        <v>500</v>
      </c>
      <c r="M85" s="18">
        <f t="shared" si="9"/>
        <v>500</v>
      </c>
      <c r="N85" s="19">
        <f t="shared" si="6"/>
        <v>0</v>
      </c>
      <c r="O85" s="10" t="str">
        <f t="shared" si="7"/>
        <v>COMPLETE</v>
      </c>
      <c r="P85" s="10"/>
      <c r="Q85" s="10" t="str">
        <f t="shared" si="10"/>
        <v>OK</v>
      </c>
    </row>
    <row r="86" spans="1:17" x14ac:dyDescent="0.3">
      <c r="A86" s="10">
        <v>66</v>
      </c>
      <c r="B86" s="13" t="s">
        <v>132</v>
      </c>
      <c r="C86" s="13" t="s">
        <v>641</v>
      </c>
      <c r="D86" s="13" t="s">
        <v>98</v>
      </c>
      <c r="E86" s="13" t="s">
        <v>98</v>
      </c>
      <c r="F86" s="13" t="s">
        <v>79</v>
      </c>
      <c r="G86" s="13" t="s">
        <v>80</v>
      </c>
      <c r="H86" s="14">
        <v>200</v>
      </c>
      <c r="I86" s="15">
        <v>2.6</v>
      </c>
      <c r="J86" s="16">
        <f t="shared" si="5"/>
        <v>520</v>
      </c>
      <c r="K86" s="17">
        <v>46151</v>
      </c>
      <c r="L86" s="10">
        <v>200</v>
      </c>
      <c r="M86" s="18">
        <f t="shared" si="9"/>
        <v>200</v>
      </c>
      <c r="N86" s="19">
        <f t="shared" si="6"/>
        <v>0</v>
      </c>
      <c r="O86" s="10" t="str">
        <f t="shared" si="7"/>
        <v>COMPLETE</v>
      </c>
      <c r="P86" s="10"/>
      <c r="Q86" s="10" t="str">
        <f t="shared" si="10"/>
        <v>OK</v>
      </c>
    </row>
    <row r="87" spans="1:17" x14ac:dyDescent="0.3">
      <c r="A87" s="10">
        <v>67</v>
      </c>
      <c r="B87" s="13" t="s">
        <v>34</v>
      </c>
      <c r="C87" s="13" t="s">
        <v>642</v>
      </c>
      <c r="D87" s="13" t="s">
        <v>643</v>
      </c>
      <c r="E87" s="13" t="s">
        <v>643</v>
      </c>
      <c r="F87" s="13" t="s">
        <v>22</v>
      </c>
      <c r="G87" s="13" t="s">
        <v>23</v>
      </c>
      <c r="H87" s="14">
        <v>2000</v>
      </c>
      <c r="I87" s="15">
        <v>2</v>
      </c>
      <c r="J87" s="16">
        <f t="shared" si="5"/>
        <v>4000</v>
      </c>
      <c r="K87" s="17">
        <v>46151</v>
      </c>
      <c r="L87" s="10">
        <v>15000</v>
      </c>
      <c r="M87" s="18">
        <f t="shared" si="9"/>
        <v>2000</v>
      </c>
      <c r="N87" s="19">
        <f t="shared" si="6"/>
        <v>13000</v>
      </c>
      <c r="O87" s="10" t="str">
        <f t="shared" si="7"/>
        <v>INCOMPLETE</v>
      </c>
      <c r="P87" s="10"/>
      <c r="Q87" s="10" t="str">
        <f t="shared" si="10"/>
        <v>OK</v>
      </c>
    </row>
    <row r="88" spans="1:17" x14ac:dyDescent="0.3">
      <c r="A88" s="10">
        <v>67</v>
      </c>
      <c r="B88" s="13" t="s">
        <v>34</v>
      </c>
      <c r="C88" s="13" t="s">
        <v>642</v>
      </c>
      <c r="D88" s="13" t="s">
        <v>656</v>
      </c>
      <c r="E88" s="13" t="s">
        <v>656</v>
      </c>
      <c r="F88" s="13" t="s">
        <v>22</v>
      </c>
      <c r="G88" s="13" t="s">
        <v>23</v>
      </c>
      <c r="H88" s="14">
        <v>1000</v>
      </c>
      <c r="I88" s="15">
        <v>2</v>
      </c>
      <c r="J88" s="16">
        <f t="shared" si="5"/>
        <v>2000</v>
      </c>
      <c r="K88" s="17">
        <v>46156</v>
      </c>
      <c r="L88" s="10">
        <v>13000</v>
      </c>
      <c r="M88" s="18">
        <f t="shared" si="9"/>
        <v>1000</v>
      </c>
      <c r="N88" s="19">
        <f t="shared" si="6"/>
        <v>12000</v>
      </c>
      <c r="O88" s="10" t="str">
        <f t="shared" si="7"/>
        <v>INCOMPLETE</v>
      </c>
      <c r="P88" s="10"/>
      <c r="Q88" s="10" t="str">
        <f t="shared" si="10"/>
        <v>OK</v>
      </c>
    </row>
    <row r="89" spans="1:17" x14ac:dyDescent="0.3">
      <c r="A89" s="10">
        <v>67</v>
      </c>
      <c r="B89" s="13" t="s">
        <v>34</v>
      </c>
      <c r="C89" s="13" t="s">
        <v>642</v>
      </c>
      <c r="D89" s="13" t="s">
        <v>655</v>
      </c>
      <c r="E89" s="13" t="s">
        <v>655</v>
      </c>
      <c r="F89" s="13" t="s">
        <v>22</v>
      </c>
      <c r="G89" s="13" t="s">
        <v>23</v>
      </c>
      <c r="H89" s="14">
        <v>5000</v>
      </c>
      <c r="I89" s="15">
        <v>2</v>
      </c>
      <c r="J89" s="16">
        <f t="shared" ref="J89" si="11">H89*I89</f>
        <v>10000</v>
      </c>
      <c r="K89" s="17">
        <v>46156</v>
      </c>
      <c r="L89" s="10">
        <v>12000</v>
      </c>
      <c r="M89" s="18">
        <f t="shared" si="9"/>
        <v>5000</v>
      </c>
      <c r="N89" s="19">
        <f t="shared" si="6"/>
        <v>7000</v>
      </c>
      <c r="O89" s="10" t="str">
        <f t="shared" si="7"/>
        <v>INCOMPLETE</v>
      </c>
      <c r="P89" s="10"/>
      <c r="Q89" s="10"/>
    </row>
    <row r="90" spans="1:17" x14ac:dyDescent="0.3">
      <c r="A90" s="10">
        <v>68</v>
      </c>
      <c r="B90" s="13" t="s">
        <v>73</v>
      </c>
      <c r="C90" s="13" t="s">
        <v>654</v>
      </c>
      <c r="D90" s="13" t="s">
        <v>353</v>
      </c>
      <c r="E90" s="13" t="s">
        <v>353</v>
      </c>
      <c r="F90" s="13" t="s">
        <v>22</v>
      </c>
      <c r="G90" s="13" t="s">
        <v>23</v>
      </c>
      <c r="H90" s="14">
        <v>500</v>
      </c>
      <c r="I90" s="15">
        <v>2.7</v>
      </c>
      <c r="J90" s="16">
        <f t="shared" si="5"/>
        <v>1350</v>
      </c>
      <c r="K90" s="17">
        <v>46156</v>
      </c>
      <c r="L90" s="10">
        <v>500</v>
      </c>
      <c r="M90" s="18">
        <f t="shared" si="9"/>
        <v>500</v>
      </c>
      <c r="N90" s="19">
        <f t="shared" si="6"/>
        <v>0</v>
      </c>
      <c r="O90" s="10" t="str">
        <f t="shared" si="7"/>
        <v>COMPLETE</v>
      </c>
      <c r="P90" s="10"/>
      <c r="Q90" s="10" t="str">
        <f t="shared" si="10"/>
        <v>OK</v>
      </c>
    </row>
    <row r="91" spans="1:17" x14ac:dyDescent="0.3">
      <c r="A91" s="10">
        <v>69</v>
      </c>
      <c r="B91" s="13" t="s">
        <v>132</v>
      </c>
      <c r="C91" s="13" t="s">
        <v>682</v>
      </c>
      <c r="D91" s="13" t="s">
        <v>135</v>
      </c>
      <c r="E91" s="13" t="s">
        <v>135</v>
      </c>
      <c r="F91" s="13" t="s">
        <v>79</v>
      </c>
      <c r="G91" s="13" t="s">
        <v>80</v>
      </c>
      <c r="H91" s="14">
        <v>100</v>
      </c>
      <c r="I91" s="15">
        <v>2.6</v>
      </c>
      <c r="J91" s="16">
        <f t="shared" si="5"/>
        <v>260</v>
      </c>
      <c r="K91" s="17">
        <v>46166</v>
      </c>
      <c r="L91" s="10">
        <v>100</v>
      </c>
      <c r="M91" s="18">
        <f t="shared" si="9"/>
        <v>100</v>
      </c>
      <c r="N91" s="19">
        <f t="shared" si="6"/>
        <v>0</v>
      </c>
      <c r="O91" s="10" t="str">
        <f t="shared" si="7"/>
        <v>COMPLETE</v>
      </c>
      <c r="P91" s="10"/>
      <c r="Q91" s="10" t="str">
        <f t="shared" si="10"/>
        <v>OK</v>
      </c>
    </row>
    <row r="92" spans="1:17" x14ac:dyDescent="0.3">
      <c r="A92" s="10">
        <v>70</v>
      </c>
      <c r="B92" s="13" t="s">
        <v>73</v>
      </c>
      <c r="C92" s="13" t="s">
        <v>696</v>
      </c>
      <c r="D92" s="13" t="s">
        <v>382</v>
      </c>
      <c r="E92" s="13" t="s">
        <v>382</v>
      </c>
      <c r="F92" s="13" t="s">
        <v>22</v>
      </c>
      <c r="G92" s="13" t="s">
        <v>23</v>
      </c>
      <c r="H92" s="14">
        <v>500</v>
      </c>
      <c r="I92" s="15">
        <v>2.7</v>
      </c>
      <c r="J92" s="16">
        <f t="shared" si="5"/>
        <v>1350</v>
      </c>
      <c r="K92" s="17">
        <v>46176</v>
      </c>
      <c r="L92" s="10">
        <v>500</v>
      </c>
      <c r="M92" s="18">
        <f t="shared" si="9"/>
        <v>500</v>
      </c>
      <c r="N92" s="19">
        <f t="shared" si="6"/>
        <v>0</v>
      </c>
      <c r="O92" s="10" t="str">
        <f t="shared" si="7"/>
        <v>COMPLETE</v>
      </c>
      <c r="P92" s="10"/>
      <c r="Q92" s="10" t="str">
        <f t="shared" si="10"/>
        <v>OK</v>
      </c>
    </row>
  </sheetData>
  <conditionalFormatting sqref="C1:C25 C27:C1048576">
    <cfRule type="duplicateValues" dxfId="62" priority="2"/>
  </conditionalFormatting>
  <conditionalFormatting sqref="C26">
    <cfRule type="duplicateValues" dxfId="61" priority="1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115D89B-CD3B-4D53-9E96-47E280235253}">
          <x14:formula1>
            <xm:f>DDL!$D$2:$D$112</xm:f>
          </x14:formula1>
          <xm:sqref>B2:B92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DBBA9-C146-4660-8673-CBD8EF97ECAF}">
  <sheetPr codeName="Sheet13"/>
  <dimension ref="A1:Q94"/>
  <sheetViews>
    <sheetView workbookViewId="0">
      <pane ySplit="1" topLeftCell="A38" activePane="bottomLeft" state="frozen"/>
      <selection pane="bottomLeft" activeCell="E49" sqref="E49"/>
    </sheetView>
  </sheetViews>
  <sheetFormatPr defaultColWidth="9.109375" defaultRowHeight="13.8" x14ac:dyDescent="0.3"/>
  <cols>
    <col min="1" max="1" width="7.5546875" style="7" bestFit="1" customWidth="1"/>
    <col min="2" max="2" width="20.21875" style="3" bestFit="1" customWidth="1"/>
    <col min="3" max="3" width="12.88671875" style="3" bestFit="1" customWidth="1"/>
    <col min="4" max="4" width="8.33203125" style="3" bestFit="1" customWidth="1"/>
    <col min="5" max="5" width="7.88671875" style="3" bestFit="1" customWidth="1"/>
    <col min="6" max="6" width="14.33203125" style="3" bestFit="1" customWidth="1"/>
    <col min="7" max="7" width="21.33203125" style="3" bestFit="1" customWidth="1"/>
    <col min="8" max="8" width="9.109375" style="4" bestFit="1" customWidth="1"/>
    <col min="9" max="9" width="14.33203125" style="5" bestFit="1" customWidth="1"/>
    <col min="10" max="10" width="18.44140625" style="8" bestFit="1" customWidth="1"/>
    <col min="11" max="11" width="9.5546875" style="6" bestFit="1" customWidth="1"/>
    <col min="12" max="12" width="16.44140625" style="7" bestFit="1" customWidth="1"/>
    <col min="13" max="13" width="17.88671875" style="7" bestFit="1" customWidth="1"/>
    <col min="14" max="14" width="12.6640625" style="7" bestFit="1" customWidth="1"/>
    <col min="15" max="15" width="11.33203125" style="7" bestFit="1" customWidth="1"/>
    <col min="16" max="17" width="14.6640625" style="7" bestFit="1" customWidth="1"/>
    <col min="18" max="16384" width="9.109375" style="1"/>
  </cols>
  <sheetData>
    <row r="1" spans="1:17" s="86" customFormat="1" x14ac:dyDescent="0.3">
      <c r="A1" s="77" t="s">
        <v>0</v>
      </c>
      <c r="B1" s="78" t="s">
        <v>3</v>
      </c>
      <c r="C1" s="78" t="s">
        <v>2</v>
      </c>
      <c r="D1" s="78" t="s">
        <v>5</v>
      </c>
      <c r="E1" s="78" t="s">
        <v>4</v>
      </c>
      <c r="F1" s="78" t="s">
        <v>6</v>
      </c>
      <c r="G1" s="78" t="s">
        <v>9</v>
      </c>
      <c r="H1" s="79" t="s">
        <v>1</v>
      </c>
      <c r="I1" s="80" t="s">
        <v>7</v>
      </c>
      <c r="J1" s="81" t="s">
        <v>8</v>
      </c>
      <c r="K1" s="82" t="s">
        <v>10</v>
      </c>
      <c r="L1" s="78" t="s">
        <v>17</v>
      </c>
      <c r="M1" s="78" t="s">
        <v>11</v>
      </c>
      <c r="N1" s="83" t="s">
        <v>12</v>
      </c>
      <c r="O1" s="84" t="s">
        <v>13</v>
      </c>
      <c r="P1" s="85" t="s">
        <v>699</v>
      </c>
      <c r="Q1" s="86" t="s">
        <v>700</v>
      </c>
    </row>
    <row r="2" spans="1:17" x14ac:dyDescent="0.3">
      <c r="A2" s="57" t="s">
        <v>16</v>
      </c>
      <c r="B2" s="13" t="s">
        <v>19</v>
      </c>
      <c r="C2" s="13" t="s">
        <v>20</v>
      </c>
      <c r="D2" s="13" t="s">
        <v>21</v>
      </c>
      <c r="E2" s="13" t="s">
        <v>21</v>
      </c>
      <c r="F2" s="13" t="s">
        <v>24</v>
      </c>
      <c r="G2" s="13" t="s">
        <v>26</v>
      </c>
      <c r="H2" s="14">
        <v>10</v>
      </c>
      <c r="I2" s="15">
        <v>6</v>
      </c>
      <c r="J2" s="16">
        <f>H2*I2</f>
        <v>60</v>
      </c>
      <c r="K2" s="17">
        <v>46024</v>
      </c>
      <c r="L2" s="10">
        <v>10</v>
      </c>
      <c r="M2" s="18">
        <f>H2</f>
        <v>10</v>
      </c>
      <c r="N2" s="19">
        <f>L2-M2</f>
        <v>0</v>
      </c>
      <c r="O2" s="10" t="str">
        <f>IF(N2=0,"COMPLETE","INCOMPLETE")</f>
        <v>COMPLETE</v>
      </c>
      <c r="P2" s="10"/>
      <c r="Q2" s="10" t="str">
        <f>IF(M2=H2,"OK","X")</f>
        <v>OK</v>
      </c>
    </row>
    <row r="3" spans="1:17" x14ac:dyDescent="0.3">
      <c r="A3" s="57" t="s">
        <v>16</v>
      </c>
      <c r="B3" s="13" t="s">
        <v>19</v>
      </c>
      <c r="C3" s="13" t="s">
        <v>20</v>
      </c>
      <c r="D3" s="13" t="s">
        <v>21</v>
      </c>
      <c r="E3" s="13" t="s">
        <v>21</v>
      </c>
      <c r="F3" s="13" t="s">
        <v>25</v>
      </c>
      <c r="G3" s="13" t="s">
        <v>27</v>
      </c>
      <c r="H3" s="14">
        <v>10</v>
      </c>
      <c r="I3" s="15">
        <v>12</v>
      </c>
      <c r="J3" s="16">
        <f>H3*I3</f>
        <v>120</v>
      </c>
      <c r="K3" s="17">
        <v>46024</v>
      </c>
      <c r="L3" s="10">
        <v>10</v>
      </c>
      <c r="M3" s="18">
        <f t="shared" ref="M3:M41" si="0">H3</f>
        <v>10</v>
      </c>
      <c r="N3" s="19">
        <f t="shared" ref="N3:N41" si="1">L3-M3</f>
        <v>0</v>
      </c>
      <c r="O3" s="10" t="str">
        <f t="shared" ref="O3:O41" si="2">IF(N3=0,"COMPLETE","INCOMPLETE")</f>
        <v>COMPLETE</v>
      </c>
      <c r="P3" s="10"/>
      <c r="Q3" s="10" t="str">
        <f t="shared" ref="Q3:Q41" si="3">IF(M3=H3,"OK","X")</f>
        <v>OK</v>
      </c>
    </row>
    <row r="4" spans="1:17" x14ac:dyDescent="0.3">
      <c r="A4" s="10" t="s">
        <v>18</v>
      </c>
      <c r="B4" s="13" t="s">
        <v>73</v>
      </c>
      <c r="C4" s="13" t="s">
        <v>74</v>
      </c>
      <c r="D4" s="13" t="s">
        <v>21</v>
      </c>
      <c r="E4" s="13" t="s">
        <v>21</v>
      </c>
      <c r="F4" s="13" t="s">
        <v>75</v>
      </c>
      <c r="G4" s="13" t="s">
        <v>76</v>
      </c>
      <c r="H4" s="14">
        <v>50</v>
      </c>
      <c r="I4" s="15">
        <v>16</v>
      </c>
      <c r="J4" s="16">
        <f t="shared" ref="J4:J41" si="4">H4*I4</f>
        <v>800</v>
      </c>
      <c r="K4" s="17">
        <v>46027</v>
      </c>
      <c r="L4" s="10">
        <v>50</v>
      </c>
      <c r="M4" s="18">
        <f t="shared" si="0"/>
        <v>50</v>
      </c>
      <c r="N4" s="19">
        <f t="shared" si="1"/>
        <v>0</v>
      </c>
      <c r="O4" s="10" t="str">
        <f t="shared" si="2"/>
        <v>COMPLETE</v>
      </c>
      <c r="P4" s="10"/>
      <c r="Q4" s="10" t="str">
        <f t="shared" si="3"/>
        <v>OK</v>
      </c>
    </row>
    <row r="5" spans="1:17" x14ac:dyDescent="0.3">
      <c r="A5" s="31" t="s">
        <v>38</v>
      </c>
      <c r="B5" s="13" t="s">
        <v>73</v>
      </c>
      <c r="C5" s="13" t="s">
        <v>147</v>
      </c>
      <c r="D5" s="13" t="s">
        <v>47</v>
      </c>
      <c r="E5" s="13" t="s">
        <v>47</v>
      </c>
      <c r="F5" s="13" t="s">
        <v>137</v>
      </c>
      <c r="G5" s="13" t="s">
        <v>139</v>
      </c>
      <c r="H5" s="14">
        <v>100</v>
      </c>
      <c r="I5" s="15">
        <v>3.75</v>
      </c>
      <c r="J5" s="16">
        <f t="shared" si="4"/>
        <v>375</v>
      </c>
      <c r="K5" s="17">
        <v>46035</v>
      </c>
      <c r="L5" s="14">
        <v>100</v>
      </c>
      <c r="M5" s="18">
        <f t="shared" si="0"/>
        <v>100</v>
      </c>
      <c r="N5" s="19">
        <f t="shared" si="1"/>
        <v>0</v>
      </c>
      <c r="O5" s="10" t="str">
        <f t="shared" si="2"/>
        <v>COMPLETE</v>
      </c>
      <c r="P5" s="10"/>
      <c r="Q5" s="10" t="str">
        <f t="shared" si="3"/>
        <v>OK</v>
      </c>
    </row>
    <row r="6" spans="1:17" x14ac:dyDescent="0.3">
      <c r="A6" s="31" t="s">
        <v>38</v>
      </c>
      <c r="B6" s="13" t="s">
        <v>73</v>
      </c>
      <c r="C6" s="13" t="s">
        <v>147</v>
      </c>
      <c r="D6" s="13" t="s">
        <v>47</v>
      </c>
      <c r="E6" s="13" t="s">
        <v>47</v>
      </c>
      <c r="F6" s="13" t="s">
        <v>25</v>
      </c>
      <c r="G6" s="13" t="s">
        <v>27</v>
      </c>
      <c r="H6" s="14">
        <v>100</v>
      </c>
      <c r="I6" s="15">
        <v>12</v>
      </c>
      <c r="J6" s="16">
        <f t="shared" si="4"/>
        <v>1200</v>
      </c>
      <c r="K6" s="17">
        <v>46035</v>
      </c>
      <c r="L6" s="14">
        <v>100</v>
      </c>
      <c r="M6" s="18">
        <f t="shared" si="0"/>
        <v>100</v>
      </c>
      <c r="N6" s="19">
        <f t="shared" si="1"/>
        <v>0</v>
      </c>
      <c r="O6" s="10" t="str">
        <f t="shared" si="2"/>
        <v>COMPLETE</v>
      </c>
      <c r="P6" s="10"/>
      <c r="Q6" s="10" t="str">
        <f t="shared" si="3"/>
        <v>OK</v>
      </c>
    </row>
    <row r="7" spans="1:17" x14ac:dyDescent="0.3">
      <c r="A7" s="31" t="s">
        <v>38</v>
      </c>
      <c r="B7" s="13" t="s">
        <v>73</v>
      </c>
      <c r="C7" s="13" t="s">
        <v>147</v>
      </c>
      <c r="D7" s="13" t="s">
        <v>47</v>
      </c>
      <c r="E7" s="13" t="s">
        <v>47</v>
      </c>
      <c r="F7" s="13" t="s">
        <v>75</v>
      </c>
      <c r="G7" s="13" t="s">
        <v>76</v>
      </c>
      <c r="H7" s="14">
        <v>50</v>
      </c>
      <c r="I7" s="15">
        <v>16</v>
      </c>
      <c r="J7" s="16">
        <f t="shared" si="4"/>
        <v>800</v>
      </c>
      <c r="K7" s="17">
        <v>46035</v>
      </c>
      <c r="L7" s="14">
        <v>50</v>
      </c>
      <c r="M7" s="18">
        <f t="shared" si="0"/>
        <v>50</v>
      </c>
      <c r="N7" s="19">
        <f t="shared" si="1"/>
        <v>0</v>
      </c>
      <c r="O7" s="10" t="str">
        <f t="shared" si="2"/>
        <v>COMPLETE</v>
      </c>
      <c r="P7" s="10"/>
      <c r="Q7" s="10" t="str">
        <f t="shared" si="3"/>
        <v>OK</v>
      </c>
    </row>
    <row r="8" spans="1:17" x14ac:dyDescent="0.3">
      <c r="A8" s="10" t="s">
        <v>54</v>
      </c>
      <c r="B8" s="13" t="s">
        <v>77</v>
      </c>
      <c r="C8" s="13" t="s">
        <v>179</v>
      </c>
      <c r="D8" s="13" t="s">
        <v>39</v>
      </c>
      <c r="E8" s="13" t="s">
        <v>39</v>
      </c>
      <c r="F8" s="13" t="s">
        <v>75</v>
      </c>
      <c r="G8" s="13" t="s">
        <v>76</v>
      </c>
      <c r="H8" s="14">
        <v>25</v>
      </c>
      <c r="I8" s="15">
        <v>13.5</v>
      </c>
      <c r="J8" s="16">
        <f t="shared" si="4"/>
        <v>337.5</v>
      </c>
      <c r="K8" s="17">
        <v>46041</v>
      </c>
      <c r="L8" s="10">
        <v>25</v>
      </c>
      <c r="M8" s="18">
        <f t="shared" si="0"/>
        <v>25</v>
      </c>
      <c r="N8" s="19">
        <f t="shared" si="1"/>
        <v>0</v>
      </c>
      <c r="O8" s="10" t="str">
        <f t="shared" si="2"/>
        <v>COMPLETE</v>
      </c>
      <c r="P8" s="10"/>
      <c r="Q8" s="10" t="str">
        <f t="shared" si="3"/>
        <v>OK</v>
      </c>
    </row>
    <row r="9" spans="1:17" x14ac:dyDescent="0.3">
      <c r="A9" s="10" t="s">
        <v>69</v>
      </c>
      <c r="B9" s="13" t="s">
        <v>19</v>
      </c>
      <c r="C9" s="13" t="s">
        <v>186</v>
      </c>
      <c r="D9" s="13" t="s">
        <v>39</v>
      </c>
      <c r="E9" s="13" t="s">
        <v>39</v>
      </c>
      <c r="F9" s="13" t="s">
        <v>24</v>
      </c>
      <c r="G9" s="13" t="s">
        <v>26</v>
      </c>
      <c r="H9" s="14">
        <v>12</v>
      </c>
      <c r="I9" s="15">
        <v>6</v>
      </c>
      <c r="J9" s="16">
        <f t="shared" si="4"/>
        <v>72</v>
      </c>
      <c r="K9" s="17">
        <v>46042</v>
      </c>
      <c r="L9" s="10">
        <v>12</v>
      </c>
      <c r="M9" s="18">
        <f t="shared" si="0"/>
        <v>12</v>
      </c>
      <c r="N9" s="19">
        <f t="shared" si="1"/>
        <v>0</v>
      </c>
      <c r="O9" s="10" t="str">
        <f t="shared" si="2"/>
        <v>COMPLETE</v>
      </c>
      <c r="P9" s="10"/>
      <c r="Q9" s="10" t="str">
        <f t="shared" si="3"/>
        <v>OK</v>
      </c>
    </row>
    <row r="10" spans="1:17" x14ac:dyDescent="0.3">
      <c r="A10" s="30" t="s">
        <v>72</v>
      </c>
      <c r="B10" s="13" t="s">
        <v>102</v>
      </c>
      <c r="C10" s="13" t="s">
        <v>200</v>
      </c>
      <c r="D10" s="13" t="s">
        <v>39</v>
      </c>
      <c r="E10" s="13" t="s">
        <v>39</v>
      </c>
      <c r="F10" s="13" t="s">
        <v>137</v>
      </c>
      <c r="G10" s="13" t="s">
        <v>139</v>
      </c>
      <c r="H10" s="14">
        <v>40</v>
      </c>
      <c r="I10" s="15">
        <v>3.25</v>
      </c>
      <c r="J10" s="16">
        <f t="shared" si="4"/>
        <v>130</v>
      </c>
      <c r="K10" s="17">
        <v>46048</v>
      </c>
      <c r="L10" s="14">
        <v>40</v>
      </c>
      <c r="M10" s="18">
        <f t="shared" si="0"/>
        <v>40</v>
      </c>
      <c r="N10" s="19">
        <f t="shared" si="1"/>
        <v>0</v>
      </c>
      <c r="O10" s="10" t="str">
        <f t="shared" si="2"/>
        <v>COMPLETE</v>
      </c>
      <c r="P10" s="10"/>
      <c r="Q10" s="10" t="str">
        <f t="shared" si="3"/>
        <v>OK</v>
      </c>
    </row>
    <row r="11" spans="1:17" x14ac:dyDescent="0.3">
      <c r="A11" s="30" t="s">
        <v>72</v>
      </c>
      <c r="B11" s="13" t="s">
        <v>102</v>
      </c>
      <c r="C11" s="13" t="s">
        <v>200</v>
      </c>
      <c r="D11" s="13" t="s">
        <v>39</v>
      </c>
      <c r="E11" s="13" t="s">
        <v>39</v>
      </c>
      <c r="F11" s="13" t="s">
        <v>136</v>
      </c>
      <c r="G11" s="13" t="s">
        <v>138</v>
      </c>
      <c r="H11" s="14">
        <v>40</v>
      </c>
      <c r="I11" s="15">
        <v>7.5</v>
      </c>
      <c r="J11" s="16">
        <f t="shared" si="4"/>
        <v>300</v>
      </c>
      <c r="K11" s="17">
        <v>46048</v>
      </c>
      <c r="L11" s="14">
        <v>40</v>
      </c>
      <c r="M11" s="18">
        <f t="shared" si="0"/>
        <v>40</v>
      </c>
      <c r="N11" s="19">
        <f t="shared" si="1"/>
        <v>0</v>
      </c>
      <c r="O11" s="10" t="str">
        <f t="shared" si="2"/>
        <v>COMPLETE</v>
      </c>
      <c r="P11" s="10"/>
      <c r="Q11" s="10" t="str">
        <f t="shared" si="3"/>
        <v>OK</v>
      </c>
    </row>
    <row r="12" spans="1:17" x14ac:dyDescent="0.3">
      <c r="A12" s="30" t="s">
        <v>72</v>
      </c>
      <c r="B12" s="13" t="s">
        <v>102</v>
      </c>
      <c r="C12" s="13" t="s">
        <v>200</v>
      </c>
      <c r="D12" s="13" t="s">
        <v>39</v>
      </c>
      <c r="E12" s="13" t="s">
        <v>39</v>
      </c>
      <c r="F12" s="13" t="s">
        <v>75</v>
      </c>
      <c r="G12" s="13" t="s">
        <v>76</v>
      </c>
      <c r="H12" s="14">
        <v>40</v>
      </c>
      <c r="I12" s="15">
        <v>14.5</v>
      </c>
      <c r="J12" s="16">
        <f t="shared" si="4"/>
        <v>580</v>
      </c>
      <c r="K12" s="17">
        <v>46048</v>
      </c>
      <c r="L12" s="14">
        <v>40</v>
      </c>
      <c r="M12" s="18">
        <f t="shared" si="0"/>
        <v>40</v>
      </c>
      <c r="N12" s="19">
        <f t="shared" si="1"/>
        <v>0</v>
      </c>
      <c r="O12" s="10" t="str">
        <f t="shared" si="2"/>
        <v>COMPLETE</v>
      </c>
      <c r="P12" s="10"/>
      <c r="Q12" s="10" t="str">
        <f t="shared" si="3"/>
        <v>OK</v>
      </c>
    </row>
    <row r="13" spans="1:17" x14ac:dyDescent="0.3">
      <c r="A13" s="10" t="s">
        <v>85</v>
      </c>
      <c r="B13" s="13" t="s">
        <v>19</v>
      </c>
      <c r="C13" s="13" t="s">
        <v>223</v>
      </c>
      <c r="D13" s="13" t="s">
        <v>43</v>
      </c>
      <c r="E13" s="13" t="s">
        <v>43</v>
      </c>
      <c r="F13" s="13" t="s">
        <v>75</v>
      </c>
      <c r="G13" s="13" t="s">
        <v>76</v>
      </c>
      <c r="H13" s="14">
        <v>48</v>
      </c>
      <c r="I13" s="15">
        <v>14</v>
      </c>
      <c r="J13" s="16">
        <f t="shared" si="4"/>
        <v>672</v>
      </c>
      <c r="K13" s="17">
        <v>46049</v>
      </c>
      <c r="L13" s="10">
        <v>48</v>
      </c>
      <c r="M13" s="18">
        <f t="shared" si="0"/>
        <v>48</v>
      </c>
      <c r="N13" s="19">
        <f t="shared" si="1"/>
        <v>0</v>
      </c>
      <c r="O13" s="10" t="str">
        <f t="shared" si="2"/>
        <v>COMPLETE</v>
      </c>
      <c r="P13" s="10"/>
      <c r="Q13" s="10" t="str">
        <f t="shared" si="3"/>
        <v>OK</v>
      </c>
    </row>
    <row r="14" spans="1:17" x14ac:dyDescent="0.3">
      <c r="A14" s="10" t="s">
        <v>88</v>
      </c>
      <c r="B14" s="13" t="s">
        <v>73</v>
      </c>
      <c r="C14" s="13" t="s">
        <v>229</v>
      </c>
      <c r="D14" s="13" t="s">
        <v>135</v>
      </c>
      <c r="E14" s="13" t="s">
        <v>135</v>
      </c>
      <c r="F14" s="13" t="s">
        <v>136</v>
      </c>
      <c r="G14" s="13" t="s">
        <v>138</v>
      </c>
      <c r="H14" s="14">
        <v>100</v>
      </c>
      <c r="I14" s="15">
        <v>7.5</v>
      </c>
      <c r="J14" s="16">
        <f t="shared" si="4"/>
        <v>750</v>
      </c>
      <c r="K14" s="17">
        <v>46050</v>
      </c>
      <c r="L14" s="10">
        <v>100</v>
      </c>
      <c r="M14" s="18">
        <f t="shared" si="0"/>
        <v>100</v>
      </c>
      <c r="N14" s="19">
        <f t="shared" si="1"/>
        <v>0</v>
      </c>
      <c r="O14" s="10" t="str">
        <f t="shared" si="2"/>
        <v>COMPLETE</v>
      </c>
      <c r="P14" s="10"/>
      <c r="Q14" s="10" t="str">
        <f t="shared" si="3"/>
        <v>OK</v>
      </c>
    </row>
    <row r="15" spans="1:17" x14ac:dyDescent="0.3">
      <c r="A15" s="146" t="s">
        <v>90</v>
      </c>
      <c r="B15" s="13" t="s">
        <v>73</v>
      </c>
      <c r="C15" s="13" t="s">
        <v>247</v>
      </c>
      <c r="D15" s="13" t="s">
        <v>134</v>
      </c>
      <c r="E15" s="13" t="s">
        <v>134</v>
      </c>
      <c r="F15" s="13" t="s">
        <v>136</v>
      </c>
      <c r="G15" s="13" t="s">
        <v>138</v>
      </c>
      <c r="H15" s="14">
        <v>100</v>
      </c>
      <c r="I15" s="15">
        <v>7.5</v>
      </c>
      <c r="J15" s="16">
        <f t="shared" si="4"/>
        <v>750</v>
      </c>
      <c r="K15" s="17">
        <v>46055</v>
      </c>
      <c r="L15" s="14">
        <v>100</v>
      </c>
      <c r="M15" s="18">
        <f t="shared" si="0"/>
        <v>100</v>
      </c>
      <c r="N15" s="19">
        <f t="shared" si="1"/>
        <v>0</v>
      </c>
      <c r="O15" s="10" t="str">
        <f t="shared" si="2"/>
        <v>COMPLETE</v>
      </c>
      <c r="P15" s="10"/>
      <c r="Q15" s="10" t="str">
        <f t="shared" si="3"/>
        <v>OK</v>
      </c>
    </row>
    <row r="16" spans="1:17" x14ac:dyDescent="0.3">
      <c r="A16" s="146" t="s">
        <v>90</v>
      </c>
      <c r="B16" s="13" t="s">
        <v>73</v>
      </c>
      <c r="C16" s="13" t="s">
        <v>247</v>
      </c>
      <c r="D16" s="13" t="s">
        <v>134</v>
      </c>
      <c r="E16" s="13" t="s">
        <v>134</v>
      </c>
      <c r="F16" s="13" t="s">
        <v>24</v>
      </c>
      <c r="G16" s="13" t="s">
        <v>26</v>
      </c>
      <c r="H16" s="14">
        <v>50</v>
      </c>
      <c r="I16" s="15">
        <v>7</v>
      </c>
      <c r="J16" s="16">
        <f t="shared" si="4"/>
        <v>350</v>
      </c>
      <c r="K16" s="17">
        <v>46055</v>
      </c>
      <c r="L16" s="14">
        <v>50</v>
      </c>
      <c r="M16" s="18">
        <f t="shared" si="0"/>
        <v>50</v>
      </c>
      <c r="N16" s="19">
        <f t="shared" si="1"/>
        <v>0</v>
      </c>
      <c r="O16" s="10" t="str">
        <f t="shared" si="2"/>
        <v>COMPLETE</v>
      </c>
      <c r="P16" s="10"/>
      <c r="Q16" s="10" t="str">
        <f t="shared" si="3"/>
        <v>OK</v>
      </c>
    </row>
    <row r="17" spans="1:17" x14ac:dyDescent="0.3">
      <c r="A17" s="71" t="s">
        <v>108</v>
      </c>
      <c r="B17" s="13" t="s">
        <v>19</v>
      </c>
      <c r="C17" s="13" t="s">
        <v>262</v>
      </c>
      <c r="D17" s="13" t="s">
        <v>47</v>
      </c>
      <c r="E17" s="13" t="s">
        <v>47</v>
      </c>
      <c r="F17" s="13" t="s">
        <v>24</v>
      </c>
      <c r="G17" s="13" t="s">
        <v>26</v>
      </c>
      <c r="H17" s="14">
        <v>12</v>
      </c>
      <c r="I17" s="15">
        <v>6</v>
      </c>
      <c r="J17" s="16">
        <f t="shared" si="4"/>
        <v>72</v>
      </c>
      <c r="K17" s="17">
        <v>46058</v>
      </c>
      <c r="L17" s="10">
        <v>12</v>
      </c>
      <c r="M17" s="18">
        <f t="shared" si="0"/>
        <v>12</v>
      </c>
      <c r="N17" s="19">
        <f t="shared" si="1"/>
        <v>0</v>
      </c>
      <c r="O17" s="10" t="str">
        <f t="shared" si="2"/>
        <v>COMPLETE</v>
      </c>
      <c r="P17" s="10"/>
      <c r="Q17" s="10" t="str">
        <f t="shared" si="3"/>
        <v>OK</v>
      </c>
    </row>
    <row r="18" spans="1:17" x14ac:dyDescent="0.3">
      <c r="A18" s="71" t="s">
        <v>108</v>
      </c>
      <c r="B18" s="13" t="s">
        <v>19</v>
      </c>
      <c r="C18" s="13" t="s">
        <v>262</v>
      </c>
      <c r="D18" s="13" t="s">
        <v>47</v>
      </c>
      <c r="E18" s="13" t="s">
        <v>47</v>
      </c>
      <c r="F18" s="13" t="s">
        <v>25</v>
      </c>
      <c r="G18" s="13" t="s">
        <v>27</v>
      </c>
      <c r="H18" s="14">
        <v>20</v>
      </c>
      <c r="I18" s="15">
        <v>12</v>
      </c>
      <c r="J18" s="16">
        <f t="shared" si="4"/>
        <v>240</v>
      </c>
      <c r="K18" s="17">
        <v>46058</v>
      </c>
      <c r="L18" s="10">
        <v>20</v>
      </c>
      <c r="M18" s="18">
        <f t="shared" si="0"/>
        <v>20</v>
      </c>
      <c r="N18" s="19">
        <f t="shared" si="1"/>
        <v>0</v>
      </c>
      <c r="O18" s="10" t="str">
        <f t="shared" si="2"/>
        <v>COMPLETE</v>
      </c>
      <c r="P18" s="10"/>
      <c r="Q18" s="10" t="str">
        <f t="shared" si="3"/>
        <v>OK</v>
      </c>
    </row>
    <row r="19" spans="1:17" x14ac:dyDescent="0.3">
      <c r="A19" s="50" t="s">
        <v>115</v>
      </c>
      <c r="B19" s="13" t="s">
        <v>34</v>
      </c>
      <c r="C19" s="13" t="s">
        <v>296</v>
      </c>
      <c r="D19" s="13" t="s">
        <v>259</v>
      </c>
      <c r="E19" s="13" t="s">
        <v>259</v>
      </c>
      <c r="F19" s="13" t="s">
        <v>75</v>
      </c>
      <c r="G19" s="13" t="s">
        <v>76</v>
      </c>
      <c r="H19" s="14">
        <v>48</v>
      </c>
      <c r="I19" s="15">
        <v>13.3</v>
      </c>
      <c r="J19" s="16">
        <f t="shared" si="4"/>
        <v>638.40000000000009</v>
      </c>
      <c r="K19" s="17">
        <v>46064</v>
      </c>
      <c r="L19" s="10">
        <v>1488</v>
      </c>
      <c r="M19" s="18">
        <f t="shared" si="0"/>
        <v>48</v>
      </c>
      <c r="N19" s="19">
        <f t="shared" si="1"/>
        <v>1440</v>
      </c>
      <c r="O19" s="10" t="str">
        <f t="shared" si="2"/>
        <v>INCOMPLETE</v>
      </c>
      <c r="P19" s="10"/>
      <c r="Q19" s="10" t="str">
        <f t="shared" si="3"/>
        <v>OK</v>
      </c>
    </row>
    <row r="20" spans="1:17" x14ac:dyDescent="0.3">
      <c r="A20" s="50" t="s">
        <v>115</v>
      </c>
      <c r="B20" s="13" t="s">
        <v>34</v>
      </c>
      <c r="C20" s="13" t="s">
        <v>296</v>
      </c>
      <c r="D20" s="13" t="s">
        <v>275</v>
      </c>
      <c r="E20" s="13" t="s">
        <v>275</v>
      </c>
      <c r="F20" s="13" t="s">
        <v>75</v>
      </c>
      <c r="G20" s="13" t="s">
        <v>76</v>
      </c>
      <c r="H20" s="14">
        <v>72</v>
      </c>
      <c r="I20" s="15">
        <v>13.3</v>
      </c>
      <c r="J20" s="16">
        <f t="shared" si="4"/>
        <v>957.6</v>
      </c>
      <c r="K20" s="17">
        <v>46071</v>
      </c>
      <c r="L20" s="10">
        <v>1440</v>
      </c>
      <c r="M20" s="18">
        <f t="shared" si="0"/>
        <v>72</v>
      </c>
      <c r="N20" s="19">
        <f t="shared" si="1"/>
        <v>1368</v>
      </c>
      <c r="O20" s="10" t="str">
        <f t="shared" si="2"/>
        <v>INCOMPLETE</v>
      </c>
      <c r="P20" s="10"/>
      <c r="Q20" s="10" t="str">
        <f t="shared" si="3"/>
        <v>OK</v>
      </c>
    </row>
    <row r="21" spans="1:17" x14ac:dyDescent="0.3">
      <c r="A21" s="50" t="s">
        <v>115</v>
      </c>
      <c r="B21" s="13" t="s">
        <v>34</v>
      </c>
      <c r="C21" s="13" t="s">
        <v>296</v>
      </c>
      <c r="D21" s="13" t="s">
        <v>325</v>
      </c>
      <c r="E21" s="13" t="s">
        <v>325</v>
      </c>
      <c r="F21" s="13" t="s">
        <v>24</v>
      </c>
      <c r="G21" s="13" t="s">
        <v>26</v>
      </c>
      <c r="H21" s="14">
        <v>1000</v>
      </c>
      <c r="I21" s="15">
        <v>5.0999999999999996</v>
      </c>
      <c r="J21" s="16">
        <f t="shared" si="4"/>
        <v>5100</v>
      </c>
      <c r="K21" s="17">
        <v>46085</v>
      </c>
      <c r="L21" s="10">
        <v>4850</v>
      </c>
      <c r="M21" s="18">
        <f t="shared" si="0"/>
        <v>1000</v>
      </c>
      <c r="N21" s="19">
        <f t="shared" si="1"/>
        <v>3850</v>
      </c>
      <c r="O21" s="10" t="str">
        <f t="shared" si="2"/>
        <v>INCOMPLETE</v>
      </c>
      <c r="P21" s="10"/>
      <c r="Q21" s="10" t="str">
        <f t="shared" si="3"/>
        <v>OK</v>
      </c>
    </row>
    <row r="22" spans="1:17" x14ac:dyDescent="0.3">
      <c r="A22" s="50" t="s">
        <v>115</v>
      </c>
      <c r="B22" s="13" t="s">
        <v>34</v>
      </c>
      <c r="C22" s="13" t="s">
        <v>296</v>
      </c>
      <c r="D22" s="13" t="s">
        <v>325</v>
      </c>
      <c r="E22" s="13" t="s">
        <v>325</v>
      </c>
      <c r="F22" s="13" t="s">
        <v>75</v>
      </c>
      <c r="G22" s="13" t="s">
        <v>76</v>
      </c>
      <c r="H22" s="14">
        <v>1368</v>
      </c>
      <c r="I22" s="15">
        <v>13.3</v>
      </c>
      <c r="J22" s="16">
        <f t="shared" si="4"/>
        <v>18194.400000000001</v>
      </c>
      <c r="K22" s="17">
        <v>46085</v>
      </c>
      <c r="L22" s="10">
        <v>1368</v>
      </c>
      <c r="M22" s="18">
        <f t="shared" si="0"/>
        <v>1368</v>
      </c>
      <c r="N22" s="19">
        <f t="shared" si="1"/>
        <v>0</v>
      </c>
      <c r="O22" s="10" t="str">
        <f t="shared" si="2"/>
        <v>COMPLETE</v>
      </c>
      <c r="P22" s="10"/>
      <c r="Q22" s="10" t="str">
        <f t="shared" si="3"/>
        <v>OK</v>
      </c>
    </row>
    <row r="23" spans="1:17" x14ac:dyDescent="0.3">
      <c r="A23" s="50" t="s">
        <v>115</v>
      </c>
      <c r="B23" s="13" t="s">
        <v>34</v>
      </c>
      <c r="C23" s="13" t="s">
        <v>296</v>
      </c>
      <c r="D23" s="13" t="s">
        <v>412</v>
      </c>
      <c r="E23" s="13" t="s">
        <v>412</v>
      </c>
      <c r="F23" s="13" t="s">
        <v>373</v>
      </c>
      <c r="G23" s="13" t="s">
        <v>374</v>
      </c>
      <c r="H23" s="14">
        <v>80</v>
      </c>
      <c r="I23" s="15">
        <v>7.5</v>
      </c>
      <c r="J23" s="16">
        <f t="shared" si="4"/>
        <v>600</v>
      </c>
      <c r="K23" s="17">
        <v>46094</v>
      </c>
      <c r="L23" s="10">
        <v>1890</v>
      </c>
      <c r="M23" s="18">
        <f t="shared" si="0"/>
        <v>80</v>
      </c>
      <c r="N23" s="19">
        <f t="shared" si="1"/>
        <v>1810</v>
      </c>
      <c r="O23" s="10" t="str">
        <f t="shared" si="2"/>
        <v>INCOMPLETE</v>
      </c>
      <c r="P23" s="10"/>
      <c r="Q23" s="10" t="str">
        <f t="shared" si="3"/>
        <v>OK</v>
      </c>
    </row>
    <row r="24" spans="1:17" x14ac:dyDescent="0.3">
      <c r="A24" s="50" t="s">
        <v>115</v>
      </c>
      <c r="B24" s="13" t="s">
        <v>34</v>
      </c>
      <c r="C24" s="13" t="s">
        <v>296</v>
      </c>
      <c r="D24" s="13" t="s">
        <v>412</v>
      </c>
      <c r="E24" s="13" t="s">
        <v>412</v>
      </c>
      <c r="F24" s="13" t="s">
        <v>25</v>
      </c>
      <c r="G24" s="13" t="s">
        <v>27</v>
      </c>
      <c r="H24" s="14">
        <v>96</v>
      </c>
      <c r="I24" s="15">
        <v>11.4</v>
      </c>
      <c r="J24" s="16">
        <f t="shared" si="4"/>
        <v>1094.4000000000001</v>
      </c>
      <c r="K24" s="17">
        <v>46094</v>
      </c>
      <c r="L24" s="10">
        <v>600</v>
      </c>
      <c r="M24" s="18">
        <f t="shared" si="0"/>
        <v>96</v>
      </c>
      <c r="N24" s="19">
        <f t="shared" si="1"/>
        <v>504</v>
      </c>
      <c r="O24" s="10" t="str">
        <f t="shared" si="2"/>
        <v>INCOMPLETE</v>
      </c>
      <c r="P24" s="10"/>
      <c r="Q24" s="10" t="str">
        <f t="shared" si="3"/>
        <v>OK</v>
      </c>
    </row>
    <row r="25" spans="1:17" x14ac:dyDescent="0.3">
      <c r="A25" s="50" t="s">
        <v>115</v>
      </c>
      <c r="B25" s="13" t="s">
        <v>34</v>
      </c>
      <c r="C25" s="13" t="s">
        <v>296</v>
      </c>
      <c r="D25" s="13" t="s">
        <v>436</v>
      </c>
      <c r="E25" s="13" t="s">
        <v>436</v>
      </c>
      <c r="F25" s="13" t="s">
        <v>24</v>
      </c>
      <c r="G25" s="13" t="s">
        <v>26</v>
      </c>
      <c r="H25" s="14">
        <v>100</v>
      </c>
      <c r="I25" s="15">
        <v>5.0999999999999996</v>
      </c>
      <c r="J25" s="16">
        <f t="shared" si="4"/>
        <v>509.99999999999994</v>
      </c>
      <c r="K25" s="17">
        <v>46104</v>
      </c>
      <c r="L25" s="10">
        <v>3850</v>
      </c>
      <c r="M25" s="18">
        <f t="shared" si="0"/>
        <v>100</v>
      </c>
      <c r="N25" s="19">
        <f t="shared" si="1"/>
        <v>3750</v>
      </c>
      <c r="O25" s="10" t="str">
        <f t="shared" si="2"/>
        <v>INCOMPLETE</v>
      </c>
      <c r="P25" s="10"/>
      <c r="Q25" s="10" t="str">
        <f t="shared" si="3"/>
        <v>OK</v>
      </c>
    </row>
    <row r="26" spans="1:17" x14ac:dyDescent="0.3">
      <c r="A26" s="50" t="s">
        <v>115</v>
      </c>
      <c r="B26" s="13" t="s">
        <v>34</v>
      </c>
      <c r="C26" s="13" t="s">
        <v>296</v>
      </c>
      <c r="D26" s="13" t="s">
        <v>436</v>
      </c>
      <c r="E26" s="13" t="s">
        <v>436</v>
      </c>
      <c r="F26" s="13" t="s">
        <v>373</v>
      </c>
      <c r="G26" s="13" t="s">
        <v>374</v>
      </c>
      <c r="H26" s="14">
        <v>89</v>
      </c>
      <c r="I26" s="15">
        <v>7.5</v>
      </c>
      <c r="J26" s="16">
        <f t="shared" si="4"/>
        <v>667.5</v>
      </c>
      <c r="K26" s="17">
        <v>46104</v>
      </c>
      <c r="L26" s="10">
        <v>1810</v>
      </c>
      <c r="M26" s="18">
        <f t="shared" si="0"/>
        <v>89</v>
      </c>
      <c r="N26" s="19">
        <f t="shared" si="1"/>
        <v>1721</v>
      </c>
      <c r="O26" s="10" t="str">
        <f t="shared" si="2"/>
        <v>INCOMPLETE</v>
      </c>
      <c r="P26" s="10"/>
      <c r="Q26" s="10" t="str">
        <f t="shared" si="3"/>
        <v>OK</v>
      </c>
    </row>
    <row r="27" spans="1:17" x14ac:dyDescent="0.3">
      <c r="A27" s="50" t="s">
        <v>115</v>
      </c>
      <c r="B27" s="13" t="s">
        <v>34</v>
      </c>
      <c r="C27" s="13" t="s">
        <v>296</v>
      </c>
      <c r="D27" s="13" t="s">
        <v>436</v>
      </c>
      <c r="E27" s="13" t="s">
        <v>436</v>
      </c>
      <c r="F27" s="13" t="s">
        <v>25</v>
      </c>
      <c r="G27" s="13" t="s">
        <v>27</v>
      </c>
      <c r="H27" s="14">
        <v>480</v>
      </c>
      <c r="I27" s="15">
        <v>11.4</v>
      </c>
      <c r="J27" s="16">
        <f t="shared" si="4"/>
        <v>5472</v>
      </c>
      <c r="K27" s="17">
        <v>46104</v>
      </c>
      <c r="L27" s="10">
        <v>504</v>
      </c>
      <c r="M27" s="18">
        <f t="shared" si="0"/>
        <v>480</v>
      </c>
      <c r="N27" s="19">
        <f t="shared" si="1"/>
        <v>24</v>
      </c>
      <c r="O27" s="10" t="str">
        <f t="shared" si="2"/>
        <v>INCOMPLETE</v>
      </c>
      <c r="P27" s="10"/>
      <c r="Q27" s="10" t="str">
        <f t="shared" si="3"/>
        <v>OK</v>
      </c>
    </row>
    <row r="28" spans="1:17" x14ac:dyDescent="0.3">
      <c r="A28" s="50" t="s">
        <v>115</v>
      </c>
      <c r="B28" s="13" t="s">
        <v>34</v>
      </c>
      <c r="C28" s="13" t="s">
        <v>296</v>
      </c>
      <c r="D28" s="13" t="s">
        <v>466</v>
      </c>
      <c r="E28" s="13" t="s">
        <v>466</v>
      </c>
      <c r="F28" s="13" t="s">
        <v>24</v>
      </c>
      <c r="G28" s="13" t="s">
        <v>26</v>
      </c>
      <c r="H28" s="14">
        <v>40</v>
      </c>
      <c r="I28" s="15">
        <v>5.0999999999999996</v>
      </c>
      <c r="J28" s="16">
        <f t="shared" si="4"/>
        <v>204</v>
      </c>
      <c r="K28" s="17">
        <v>46108</v>
      </c>
      <c r="L28" s="10">
        <v>3750</v>
      </c>
      <c r="M28" s="18">
        <f t="shared" si="0"/>
        <v>40</v>
      </c>
      <c r="N28" s="19">
        <f t="shared" si="1"/>
        <v>3710</v>
      </c>
      <c r="O28" s="10" t="str">
        <f t="shared" si="2"/>
        <v>INCOMPLETE</v>
      </c>
      <c r="P28" s="10"/>
      <c r="Q28" s="10" t="str">
        <f t="shared" si="3"/>
        <v>OK</v>
      </c>
    </row>
    <row r="29" spans="1:17" x14ac:dyDescent="0.3">
      <c r="A29" s="50" t="s">
        <v>115</v>
      </c>
      <c r="B29" s="13" t="s">
        <v>34</v>
      </c>
      <c r="C29" s="13" t="s">
        <v>296</v>
      </c>
      <c r="D29" s="13" t="s">
        <v>504</v>
      </c>
      <c r="E29" s="13" t="s">
        <v>504</v>
      </c>
      <c r="F29" s="13" t="s">
        <v>24</v>
      </c>
      <c r="G29" s="13" t="s">
        <v>26</v>
      </c>
      <c r="H29" s="14">
        <v>40</v>
      </c>
      <c r="I29" s="15">
        <v>5.0999999999999996</v>
      </c>
      <c r="J29" s="16">
        <f t="shared" si="4"/>
        <v>204</v>
      </c>
      <c r="K29" s="17">
        <v>46118</v>
      </c>
      <c r="L29" s="10">
        <v>3710</v>
      </c>
      <c r="M29" s="18">
        <f t="shared" si="0"/>
        <v>40</v>
      </c>
      <c r="N29" s="19">
        <f t="shared" si="1"/>
        <v>3670</v>
      </c>
      <c r="O29" s="10" t="str">
        <f t="shared" si="2"/>
        <v>INCOMPLETE</v>
      </c>
      <c r="P29" s="10"/>
      <c r="Q29" s="10" t="str">
        <f t="shared" si="3"/>
        <v>OK</v>
      </c>
    </row>
    <row r="30" spans="1:17" x14ac:dyDescent="0.3">
      <c r="A30" s="50" t="s">
        <v>115</v>
      </c>
      <c r="B30" s="13" t="s">
        <v>34</v>
      </c>
      <c r="C30" s="13" t="s">
        <v>296</v>
      </c>
      <c r="D30" s="13" t="s">
        <v>506</v>
      </c>
      <c r="E30" s="13" t="s">
        <v>506</v>
      </c>
      <c r="F30" s="13" t="s">
        <v>24</v>
      </c>
      <c r="G30" s="13" t="s">
        <v>26</v>
      </c>
      <c r="H30" s="14">
        <v>100</v>
      </c>
      <c r="I30" s="15">
        <v>5.0999999999999996</v>
      </c>
      <c r="J30" s="16">
        <f t="shared" si="4"/>
        <v>509.99999999999994</v>
      </c>
      <c r="K30" s="17">
        <v>46118</v>
      </c>
      <c r="L30" s="10">
        <v>3670</v>
      </c>
      <c r="M30" s="18">
        <f t="shared" si="0"/>
        <v>100</v>
      </c>
      <c r="N30" s="19">
        <f t="shared" si="1"/>
        <v>3570</v>
      </c>
      <c r="O30" s="10" t="str">
        <f t="shared" si="2"/>
        <v>INCOMPLETE</v>
      </c>
      <c r="P30" s="10"/>
      <c r="Q30" s="10" t="str">
        <f t="shared" si="3"/>
        <v>OK</v>
      </c>
    </row>
    <row r="31" spans="1:17" x14ac:dyDescent="0.3">
      <c r="A31" s="50" t="s">
        <v>115</v>
      </c>
      <c r="B31" s="13" t="s">
        <v>34</v>
      </c>
      <c r="C31" s="13" t="s">
        <v>296</v>
      </c>
      <c r="D31" s="13" t="s">
        <v>554</v>
      </c>
      <c r="E31" s="13" t="s">
        <v>554</v>
      </c>
      <c r="F31" s="13" t="s">
        <v>24</v>
      </c>
      <c r="G31" s="13" t="s">
        <v>26</v>
      </c>
      <c r="H31" s="14">
        <v>40</v>
      </c>
      <c r="I31" s="15">
        <v>5.0999999999999996</v>
      </c>
      <c r="J31" s="16">
        <f t="shared" si="4"/>
        <v>204</v>
      </c>
      <c r="K31" s="17">
        <v>46125</v>
      </c>
      <c r="L31" s="10">
        <v>3570</v>
      </c>
      <c r="M31" s="18">
        <f t="shared" si="0"/>
        <v>40</v>
      </c>
      <c r="N31" s="19">
        <f t="shared" si="1"/>
        <v>3530</v>
      </c>
      <c r="O31" s="10" t="str">
        <f t="shared" si="2"/>
        <v>INCOMPLETE</v>
      </c>
      <c r="P31" s="10"/>
      <c r="Q31" s="10" t="str">
        <f t="shared" si="3"/>
        <v>OK</v>
      </c>
    </row>
    <row r="32" spans="1:17" x14ac:dyDescent="0.3">
      <c r="A32" s="10" t="s">
        <v>128</v>
      </c>
      <c r="B32" s="13" t="s">
        <v>77</v>
      </c>
      <c r="C32" s="13" t="s">
        <v>312</v>
      </c>
      <c r="D32" s="13" t="s">
        <v>134</v>
      </c>
      <c r="E32" s="13" t="s">
        <v>134</v>
      </c>
      <c r="F32" s="13" t="s">
        <v>75</v>
      </c>
      <c r="G32" s="13" t="s">
        <v>76</v>
      </c>
      <c r="H32" s="14">
        <v>25</v>
      </c>
      <c r="I32" s="15">
        <v>13.5</v>
      </c>
      <c r="J32" s="16">
        <f t="shared" si="4"/>
        <v>337.5</v>
      </c>
      <c r="K32" s="17">
        <v>46068</v>
      </c>
      <c r="L32" s="10">
        <v>25</v>
      </c>
      <c r="M32" s="18">
        <f t="shared" si="0"/>
        <v>25</v>
      </c>
      <c r="N32" s="19">
        <f t="shared" si="1"/>
        <v>0</v>
      </c>
      <c r="O32" s="10" t="str">
        <f t="shared" si="2"/>
        <v>COMPLETE</v>
      </c>
      <c r="P32" s="10"/>
      <c r="Q32" s="10" t="str">
        <f t="shared" si="3"/>
        <v>OK</v>
      </c>
    </row>
    <row r="33" spans="1:17" x14ac:dyDescent="0.3">
      <c r="A33" s="10" t="s">
        <v>142</v>
      </c>
      <c r="B33" s="13" t="s">
        <v>19</v>
      </c>
      <c r="C33" s="13" t="s">
        <v>347</v>
      </c>
      <c r="D33" s="13" t="s">
        <v>94</v>
      </c>
      <c r="E33" s="13" t="s">
        <v>94</v>
      </c>
      <c r="F33" s="13" t="s">
        <v>25</v>
      </c>
      <c r="G33" s="13" t="s">
        <v>27</v>
      </c>
      <c r="H33" s="14">
        <v>12</v>
      </c>
      <c r="I33" s="15">
        <v>12</v>
      </c>
      <c r="J33" s="16">
        <f t="shared" si="4"/>
        <v>144</v>
      </c>
      <c r="K33" s="17">
        <v>46079</v>
      </c>
      <c r="L33" s="10">
        <v>12</v>
      </c>
      <c r="M33" s="18">
        <f t="shared" si="0"/>
        <v>12</v>
      </c>
      <c r="N33" s="19">
        <f t="shared" si="1"/>
        <v>0</v>
      </c>
      <c r="O33" s="10" t="str">
        <f t="shared" si="2"/>
        <v>COMPLETE</v>
      </c>
      <c r="P33" s="10"/>
      <c r="Q33" s="10" t="str">
        <f t="shared" si="3"/>
        <v>OK</v>
      </c>
    </row>
    <row r="34" spans="1:17" x14ac:dyDescent="0.3">
      <c r="A34" s="32" t="s">
        <v>148</v>
      </c>
      <c r="B34" s="13" t="s">
        <v>236</v>
      </c>
      <c r="C34" s="13" t="s">
        <v>358</v>
      </c>
      <c r="D34" s="13" t="s">
        <v>43</v>
      </c>
      <c r="E34" s="13" t="s">
        <v>43</v>
      </c>
      <c r="F34" s="13" t="s">
        <v>25</v>
      </c>
      <c r="G34" s="13" t="s">
        <v>27</v>
      </c>
      <c r="H34" s="14">
        <v>100</v>
      </c>
      <c r="I34" s="15">
        <v>13</v>
      </c>
      <c r="J34" s="16">
        <f t="shared" si="4"/>
        <v>1300</v>
      </c>
      <c r="K34" s="17">
        <v>46083</v>
      </c>
      <c r="L34" s="10">
        <v>100</v>
      </c>
      <c r="M34" s="18">
        <f t="shared" si="0"/>
        <v>100</v>
      </c>
      <c r="N34" s="19">
        <f t="shared" si="1"/>
        <v>0</v>
      </c>
      <c r="O34" s="10" t="str">
        <f t="shared" si="2"/>
        <v>COMPLETE</v>
      </c>
      <c r="P34" s="10"/>
      <c r="Q34" s="10" t="str">
        <f t="shared" si="3"/>
        <v>OK</v>
      </c>
    </row>
    <row r="35" spans="1:17" x14ac:dyDescent="0.3">
      <c r="A35" s="32" t="s">
        <v>148</v>
      </c>
      <c r="B35" s="13" t="s">
        <v>236</v>
      </c>
      <c r="C35" s="13" t="s">
        <v>358</v>
      </c>
      <c r="D35" s="13" t="s">
        <v>43</v>
      </c>
      <c r="E35" s="13" t="s">
        <v>43</v>
      </c>
      <c r="F35" s="13" t="s">
        <v>75</v>
      </c>
      <c r="G35" s="13" t="s">
        <v>76</v>
      </c>
      <c r="H35" s="14">
        <v>50</v>
      </c>
      <c r="I35" s="15">
        <v>14</v>
      </c>
      <c r="J35" s="16">
        <f t="shared" si="4"/>
        <v>700</v>
      </c>
      <c r="K35" s="17">
        <v>46083</v>
      </c>
      <c r="L35" s="10">
        <v>50</v>
      </c>
      <c r="M35" s="18">
        <f t="shared" si="0"/>
        <v>50</v>
      </c>
      <c r="N35" s="19">
        <f t="shared" si="1"/>
        <v>0</v>
      </c>
      <c r="O35" s="10" t="str">
        <f t="shared" si="2"/>
        <v>COMPLETE</v>
      </c>
      <c r="P35" s="10"/>
      <c r="Q35" s="10" t="str">
        <f t="shared" si="3"/>
        <v>OK</v>
      </c>
    </row>
    <row r="36" spans="1:17" x14ac:dyDescent="0.3">
      <c r="A36" s="55" t="s">
        <v>152</v>
      </c>
      <c r="B36" s="13" t="s">
        <v>19</v>
      </c>
      <c r="C36" s="13" t="s">
        <v>362</v>
      </c>
      <c r="D36" s="13" t="s">
        <v>98</v>
      </c>
      <c r="E36" s="13" t="s">
        <v>98</v>
      </c>
      <c r="F36" s="13" t="s">
        <v>24</v>
      </c>
      <c r="G36" s="13" t="s">
        <v>26</v>
      </c>
      <c r="H36" s="14">
        <v>12</v>
      </c>
      <c r="I36" s="15">
        <v>6</v>
      </c>
      <c r="J36" s="16">
        <f t="shared" si="4"/>
        <v>72</v>
      </c>
      <c r="K36" s="17">
        <v>46084</v>
      </c>
      <c r="L36" s="10">
        <v>12</v>
      </c>
      <c r="M36" s="18">
        <f t="shared" si="0"/>
        <v>12</v>
      </c>
      <c r="N36" s="19">
        <f t="shared" si="1"/>
        <v>0</v>
      </c>
      <c r="O36" s="10" t="str">
        <f t="shared" si="2"/>
        <v>COMPLETE</v>
      </c>
      <c r="P36" s="10"/>
      <c r="Q36" s="10" t="str">
        <f t="shared" si="3"/>
        <v>OK</v>
      </c>
    </row>
    <row r="37" spans="1:17" x14ac:dyDescent="0.3">
      <c r="A37" s="55" t="s">
        <v>152</v>
      </c>
      <c r="B37" s="13" t="s">
        <v>19</v>
      </c>
      <c r="C37" s="13" t="s">
        <v>362</v>
      </c>
      <c r="D37" s="13" t="s">
        <v>98</v>
      </c>
      <c r="E37" s="13" t="s">
        <v>98</v>
      </c>
      <c r="F37" s="13" t="s">
        <v>25</v>
      </c>
      <c r="G37" s="13" t="s">
        <v>27</v>
      </c>
      <c r="H37" s="14">
        <v>12</v>
      </c>
      <c r="I37" s="15">
        <v>12</v>
      </c>
      <c r="J37" s="16">
        <f t="shared" si="4"/>
        <v>144</v>
      </c>
      <c r="K37" s="17">
        <v>46084</v>
      </c>
      <c r="L37" s="10">
        <v>12</v>
      </c>
      <c r="M37" s="18">
        <f t="shared" si="0"/>
        <v>12</v>
      </c>
      <c r="N37" s="19">
        <f t="shared" si="1"/>
        <v>0</v>
      </c>
      <c r="O37" s="10" t="str">
        <f t="shared" si="2"/>
        <v>COMPLETE</v>
      </c>
      <c r="P37" s="10"/>
      <c r="Q37" s="10" t="str">
        <f t="shared" si="3"/>
        <v>OK</v>
      </c>
    </row>
    <row r="38" spans="1:17" x14ac:dyDescent="0.3">
      <c r="A38" s="10" t="s">
        <v>160</v>
      </c>
      <c r="B38" s="13" t="s">
        <v>19</v>
      </c>
      <c r="C38" s="13" t="s">
        <v>371</v>
      </c>
      <c r="D38" s="13" t="s">
        <v>135</v>
      </c>
      <c r="E38" s="13" t="s">
        <v>135</v>
      </c>
      <c r="F38" s="13" t="s">
        <v>75</v>
      </c>
      <c r="G38" s="13" t="s">
        <v>76</v>
      </c>
      <c r="H38" s="14">
        <v>48</v>
      </c>
      <c r="I38" s="15">
        <v>14</v>
      </c>
      <c r="J38" s="16">
        <f t="shared" si="4"/>
        <v>672</v>
      </c>
      <c r="K38" s="17">
        <v>46085</v>
      </c>
      <c r="L38" s="10">
        <v>48</v>
      </c>
      <c r="M38" s="18">
        <f t="shared" si="0"/>
        <v>48</v>
      </c>
      <c r="N38" s="19">
        <f t="shared" si="1"/>
        <v>0</v>
      </c>
      <c r="O38" s="10" t="str">
        <f t="shared" si="2"/>
        <v>COMPLETE</v>
      </c>
      <c r="P38" s="10"/>
      <c r="Q38" s="10" t="str">
        <f t="shared" si="3"/>
        <v>OK</v>
      </c>
    </row>
    <row r="39" spans="1:17" x14ac:dyDescent="0.3">
      <c r="A39" s="36" t="s">
        <v>163</v>
      </c>
      <c r="B39" s="13" t="s">
        <v>34</v>
      </c>
      <c r="C39" s="13" t="s">
        <v>42</v>
      </c>
      <c r="D39" s="13" t="s">
        <v>306</v>
      </c>
      <c r="E39" s="13" t="s">
        <v>306</v>
      </c>
      <c r="F39" s="13" t="s">
        <v>25</v>
      </c>
      <c r="G39" s="13" t="s">
        <v>27</v>
      </c>
      <c r="H39" s="14">
        <v>1560</v>
      </c>
      <c r="I39" s="15">
        <v>11.4</v>
      </c>
      <c r="J39" s="16">
        <f t="shared" si="4"/>
        <v>17784</v>
      </c>
      <c r="K39" s="17">
        <v>46085</v>
      </c>
      <c r="L39" s="10">
        <v>3000</v>
      </c>
      <c r="M39" s="18">
        <f t="shared" si="0"/>
        <v>1560</v>
      </c>
      <c r="N39" s="19">
        <f t="shared" si="1"/>
        <v>1440</v>
      </c>
      <c r="O39" s="10" t="str">
        <f t="shared" si="2"/>
        <v>INCOMPLETE</v>
      </c>
      <c r="P39" s="10"/>
      <c r="Q39" s="10" t="str">
        <f t="shared" si="3"/>
        <v>OK</v>
      </c>
    </row>
    <row r="40" spans="1:17" x14ac:dyDescent="0.3">
      <c r="A40" s="36" t="s">
        <v>163</v>
      </c>
      <c r="B40" s="13" t="s">
        <v>34</v>
      </c>
      <c r="C40" s="13" t="s">
        <v>42</v>
      </c>
      <c r="D40" s="13" t="s">
        <v>483</v>
      </c>
      <c r="E40" s="13" t="s">
        <v>483</v>
      </c>
      <c r="F40" s="13" t="s">
        <v>25</v>
      </c>
      <c r="G40" s="13" t="s">
        <v>27</v>
      </c>
      <c r="H40" s="14">
        <v>72</v>
      </c>
      <c r="I40" s="15">
        <v>11.4</v>
      </c>
      <c r="J40" s="16">
        <f t="shared" si="4"/>
        <v>820.80000000000007</v>
      </c>
      <c r="K40" s="17">
        <v>46113</v>
      </c>
      <c r="L40" s="10">
        <v>1440</v>
      </c>
      <c r="M40" s="18">
        <f t="shared" si="0"/>
        <v>72</v>
      </c>
      <c r="N40" s="19">
        <f t="shared" si="1"/>
        <v>1368</v>
      </c>
      <c r="O40" s="10" t="str">
        <f t="shared" si="2"/>
        <v>INCOMPLETE</v>
      </c>
      <c r="P40" s="10"/>
      <c r="Q40" s="10" t="str">
        <f t="shared" si="3"/>
        <v>OK</v>
      </c>
    </row>
    <row r="41" spans="1:17" x14ac:dyDescent="0.3">
      <c r="A41" s="10" t="s">
        <v>166</v>
      </c>
      <c r="B41" s="13" t="s">
        <v>34</v>
      </c>
      <c r="C41" s="13" t="s">
        <v>372</v>
      </c>
      <c r="D41" s="13" t="s">
        <v>317</v>
      </c>
      <c r="E41" s="13" t="s">
        <v>317</v>
      </c>
      <c r="F41" s="13" t="s">
        <v>373</v>
      </c>
      <c r="G41" s="13" t="s">
        <v>374</v>
      </c>
      <c r="H41" s="14">
        <v>1000</v>
      </c>
      <c r="I41" s="15">
        <v>7.5</v>
      </c>
      <c r="J41" s="16">
        <f t="shared" si="4"/>
        <v>7500</v>
      </c>
      <c r="K41" s="17">
        <v>46085</v>
      </c>
      <c r="L41" s="10">
        <v>2500</v>
      </c>
      <c r="M41" s="18">
        <f t="shared" si="0"/>
        <v>1000</v>
      </c>
      <c r="N41" s="19">
        <f t="shared" si="1"/>
        <v>1500</v>
      </c>
      <c r="O41" s="10" t="str">
        <f t="shared" si="2"/>
        <v>INCOMPLETE</v>
      </c>
      <c r="P41" s="10"/>
      <c r="Q41" s="10" t="str">
        <f t="shared" si="3"/>
        <v>OK</v>
      </c>
    </row>
    <row r="42" spans="1:17" x14ac:dyDescent="0.3">
      <c r="A42" s="40" t="s">
        <v>172</v>
      </c>
      <c r="B42" s="13" t="s">
        <v>34</v>
      </c>
      <c r="C42" s="13" t="s">
        <v>375</v>
      </c>
      <c r="D42" s="13" t="s">
        <v>333</v>
      </c>
      <c r="E42" s="13" t="s">
        <v>333</v>
      </c>
      <c r="F42" s="13" t="s">
        <v>75</v>
      </c>
      <c r="G42" s="13" t="s">
        <v>76</v>
      </c>
      <c r="H42" s="14">
        <v>72</v>
      </c>
      <c r="I42" s="15">
        <v>13.3</v>
      </c>
      <c r="J42" s="16">
        <f t="shared" ref="J42:J70" si="5">H42*I42</f>
        <v>957.6</v>
      </c>
      <c r="K42" s="17">
        <v>46085</v>
      </c>
      <c r="L42" s="10">
        <v>812</v>
      </c>
      <c r="M42" s="18">
        <f t="shared" ref="M42:M70" si="6">H42</f>
        <v>72</v>
      </c>
      <c r="N42" s="19">
        <f t="shared" ref="N42:N70" si="7">L42-M42</f>
        <v>740</v>
      </c>
      <c r="O42" s="10" t="str">
        <f t="shared" ref="O42:O70" si="8">IF(N42=0,"COMPLETE","INCOMPLETE")</f>
        <v>INCOMPLETE</v>
      </c>
      <c r="P42" s="10"/>
      <c r="Q42" s="10" t="str">
        <f t="shared" ref="Q42:Q70" si="9">IF(M42=H42,"OK","X")</f>
        <v>OK</v>
      </c>
    </row>
    <row r="43" spans="1:17" x14ac:dyDescent="0.3">
      <c r="A43" s="40" t="s">
        <v>172</v>
      </c>
      <c r="B43" s="13" t="s">
        <v>34</v>
      </c>
      <c r="C43" s="13" t="s">
        <v>375</v>
      </c>
      <c r="D43" s="13" t="s">
        <v>435</v>
      </c>
      <c r="E43" s="13" t="s">
        <v>435</v>
      </c>
      <c r="F43" s="13" t="s">
        <v>75</v>
      </c>
      <c r="G43" s="13" t="s">
        <v>76</v>
      </c>
      <c r="H43" s="14">
        <v>480</v>
      </c>
      <c r="I43" s="15">
        <v>13.3</v>
      </c>
      <c r="J43" s="16">
        <f t="shared" si="5"/>
        <v>6384</v>
      </c>
      <c r="K43" s="17">
        <v>46104</v>
      </c>
      <c r="L43" s="10">
        <v>740</v>
      </c>
      <c r="M43" s="18">
        <f t="shared" si="6"/>
        <v>480</v>
      </c>
      <c r="N43" s="19">
        <f t="shared" si="7"/>
        <v>260</v>
      </c>
      <c r="O43" s="10" t="str">
        <f t="shared" si="8"/>
        <v>INCOMPLETE</v>
      </c>
      <c r="P43" s="10"/>
      <c r="Q43" s="10" t="str">
        <f t="shared" si="9"/>
        <v>OK</v>
      </c>
    </row>
    <row r="44" spans="1:17" x14ac:dyDescent="0.3">
      <c r="A44" s="40" t="s">
        <v>172</v>
      </c>
      <c r="B44" s="13" t="s">
        <v>34</v>
      </c>
      <c r="C44" s="13" t="s">
        <v>375</v>
      </c>
      <c r="D44" s="13" t="s">
        <v>450</v>
      </c>
      <c r="E44" s="13" t="s">
        <v>450</v>
      </c>
      <c r="F44" s="13" t="s">
        <v>25</v>
      </c>
      <c r="G44" s="13" t="s">
        <v>27</v>
      </c>
      <c r="H44" s="14">
        <v>96</v>
      </c>
      <c r="I44" s="15">
        <v>11.4</v>
      </c>
      <c r="J44" s="16">
        <f t="shared" si="5"/>
        <v>1094.4000000000001</v>
      </c>
      <c r="K44" s="17">
        <v>46108</v>
      </c>
      <c r="L44" s="10">
        <v>370</v>
      </c>
      <c r="M44" s="18">
        <f t="shared" si="6"/>
        <v>96</v>
      </c>
      <c r="N44" s="19">
        <f t="shared" si="7"/>
        <v>274</v>
      </c>
      <c r="O44" s="10" t="str">
        <f t="shared" si="8"/>
        <v>INCOMPLETE</v>
      </c>
      <c r="P44" s="10"/>
      <c r="Q44" s="10" t="str">
        <f t="shared" si="9"/>
        <v>OK</v>
      </c>
    </row>
    <row r="45" spans="1:17" x14ac:dyDescent="0.3">
      <c r="A45" s="40" t="s">
        <v>172</v>
      </c>
      <c r="B45" s="13" t="s">
        <v>34</v>
      </c>
      <c r="C45" s="13" t="s">
        <v>375</v>
      </c>
      <c r="D45" s="13" t="s">
        <v>450</v>
      </c>
      <c r="E45" s="13" t="s">
        <v>450</v>
      </c>
      <c r="F45" s="13" t="s">
        <v>75</v>
      </c>
      <c r="G45" s="13" t="s">
        <v>76</v>
      </c>
      <c r="H45" s="14">
        <v>72</v>
      </c>
      <c r="I45" s="15">
        <v>13.3</v>
      </c>
      <c r="J45" s="16">
        <f t="shared" si="5"/>
        <v>957.6</v>
      </c>
      <c r="K45" s="17">
        <v>46108</v>
      </c>
      <c r="L45" s="10">
        <v>260</v>
      </c>
      <c r="M45" s="18">
        <f t="shared" si="6"/>
        <v>72</v>
      </c>
      <c r="N45" s="19">
        <f t="shared" si="7"/>
        <v>188</v>
      </c>
      <c r="O45" s="10" t="str">
        <f t="shared" si="8"/>
        <v>INCOMPLETE</v>
      </c>
      <c r="P45" s="10"/>
      <c r="Q45" s="10" t="str">
        <f t="shared" si="9"/>
        <v>OK</v>
      </c>
    </row>
    <row r="46" spans="1:17" x14ac:dyDescent="0.3">
      <c r="A46" s="40" t="s">
        <v>172</v>
      </c>
      <c r="B46" s="13" t="s">
        <v>34</v>
      </c>
      <c r="C46" s="13" t="s">
        <v>375</v>
      </c>
      <c r="D46" s="13" t="s">
        <v>469</v>
      </c>
      <c r="E46" s="13" t="s">
        <v>469</v>
      </c>
      <c r="F46" s="13" t="s">
        <v>25</v>
      </c>
      <c r="G46" s="13" t="s">
        <v>27</v>
      </c>
      <c r="H46" s="14">
        <v>48</v>
      </c>
      <c r="I46" s="15">
        <v>11.4</v>
      </c>
      <c r="J46" s="16">
        <f t="shared" si="5"/>
        <v>547.20000000000005</v>
      </c>
      <c r="K46" s="17">
        <v>46111</v>
      </c>
      <c r="L46" s="10">
        <v>274</v>
      </c>
      <c r="M46" s="18">
        <f t="shared" si="6"/>
        <v>48</v>
      </c>
      <c r="N46" s="19">
        <f t="shared" si="7"/>
        <v>226</v>
      </c>
      <c r="O46" s="10" t="str">
        <f t="shared" si="8"/>
        <v>INCOMPLETE</v>
      </c>
      <c r="P46" s="10"/>
      <c r="Q46" s="10" t="str">
        <f t="shared" si="9"/>
        <v>OK</v>
      </c>
    </row>
    <row r="47" spans="1:17" x14ac:dyDescent="0.3">
      <c r="A47" s="40" t="s">
        <v>172</v>
      </c>
      <c r="B47" s="13" t="s">
        <v>34</v>
      </c>
      <c r="C47" s="13" t="s">
        <v>375</v>
      </c>
      <c r="D47" s="13" t="s">
        <v>478</v>
      </c>
      <c r="E47" s="13" t="s">
        <v>478</v>
      </c>
      <c r="F47" s="13" t="s">
        <v>75</v>
      </c>
      <c r="G47" s="13" t="s">
        <v>76</v>
      </c>
      <c r="H47" s="14">
        <v>72</v>
      </c>
      <c r="I47" s="15">
        <v>13.3</v>
      </c>
      <c r="J47" s="16">
        <f t="shared" si="5"/>
        <v>957.6</v>
      </c>
      <c r="K47" s="17">
        <v>46111</v>
      </c>
      <c r="L47" s="10">
        <v>188</v>
      </c>
      <c r="M47" s="18">
        <f t="shared" si="6"/>
        <v>72</v>
      </c>
      <c r="N47" s="19">
        <f t="shared" si="7"/>
        <v>116</v>
      </c>
      <c r="O47" s="10" t="str">
        <f t="shared" si="8"/>
        <v>INCOMPLETE</v>
      </c>
      <c r="P47" s="10"/>
      <c r="Q47" s="10" t="str">
        <f t="shared" si="9"/>
        <v>OK</v>
      </c>
    </row>
    <row r="48" spans="1:17" x14ac:dyDescent="0.3">
      <c r="A48" s="9" t="s">
        <v>177</v>
      </c>
      <c r="B48" s="13" t="s">
        <v>73</v>
      </c>
      <c r="C48" s="13" t="s">
        <v>393</v>
      </c>
      <c r="D48" s="13" t="s">
        <v>248</v>
      </c>
      <c r="E48" s="13" t="s">
        <v>248</v>
      </c>
      <c r="F48" s="13" t="s">
        <v>25</v>
      </c>
      <c r="G48" s="13" t="s">
        <v>27</v>
      </c>
      <c r="H48" s="14">
        <v>100</v>
      </c>
      <c r="I48" s="15">
        <v>12</v>
      </c>
      <c r="J48" s="16">
        <f t="shared" si="5"/>
        <v>1200</v>
      </c>
      <c r="K48" s="17">
        <v>46088</v>
      </c>
      <c r="L48" s="10">
        <v>100</v>
      </c>
      <c r="M48" s="18">
        <f t="shared" si="6"/>
        <v>100</v>
      </c>
      <c r="N48" s="19">
        <f t="shared" si="7"/>
        <v>0</v>
      </c>
      <c r="O48" s="10" t="str">
        <f t="shared" si="8"/>
        <v>COMPLETE</v>
      </c>
      <c r="P48" s="10"/>
      <c r="Q48" s="10" t="str">
        <f t="shared" si="9"/>
        <v>OK</v>
      </c>
    </row>
    <row r="49" spans="1:17" x14ac:dyDescent="0.3">
      <c r="A49" s="9" t="s">
        <v>177</v>
      </c>
      <c r="B49" s="13" t="s">
        <v>73</v>
      </c>
      <c r="C49" s="13" t="s">
        <v>393</v>
      </c>
      <c r="D49" s="13" t="s">
        <v>248</v>
      </c>
      <c r="E49" s="13" t="s">
        <v>248</v>
      </c>
      <c r="F49" s="13" t="s">
        <v>24</v>
      </c>
      <c r="G49" s="13" t="s">
        <v>26</v>
      </c>
      <c r="H49" s="14">
        <v>50</v>
      </c>
      <c r="I49" s="15">
        <v>7</v>
      </c>
      <c r="J49" s="16">
        <f t="shared" si="5"/>
        <v>350</v>
      </c>
      <c r="K49" s="17">
        <v>46088</v>
      </c>
      <c r="L49" s="10">
        <v>50</v>
      </c>
      <c r="M49" s="18">
        <f t="shared" si="6"/>
        <v>50</v>
      </c>
      <c r="N49" s="19">
        <f t="shared" si="7"/>
        <v>0</v>
      </c>
      <c r="O49" s="10" t="str">
        <f t="shared" si="8"/>
        <v>COMPLETE</v>
      </c>
      <c r="P49" s="10"/>
      <c r="Q49" s="10" t="str">
        <f t="shared" si="9"/>
        <v>OK</v>
      </c>
    </row>
    <row r="50" spans="1:17" x14ac:dyDescent="0.3">
      <c r="A50" s="10" t="s">
        <v>183</v>
      </c>
      <c r="B50" s="13" t="s">
        <v>77</v>
      </c>
      <c r="C50" s="13" t="s">
        <v>437</v>
      </c>
      <c r="D50" s="13" t="s">
        <v>189</v>
      </c>
      <c r="E50" s="13" t="s">
        <v>189</v>
      </c>
      <c r="F50" s="13" t="s">
        <v>75</v>
      </c>
      <c r="G50" s="13" t="s">
        <v>76</v>
      </c>
      <c r="H50" s="14">
        <v>25</v>
      </c>
      <c r="I50" s="15">
        <v>13.5</v>
      </c>
      <c r="J50" s="16">
        <f>H50*I50</f>
        <v>337.5</v>
      </c>
      <c r="K50" s="17">
        <v>46098</v>
      </c>
      <c r="L50" s="10">
        <v>25</v>
      </c>
      <c r="M50" s="18">
        <f t="shared" si="6"/>
        <v>25</v>
      </c>
      <c r="N50" s="19">
        <f t="shared" si="7"/>
        <v>0</v>
      </c>
      <c r="O50" s="10" t="str">
        <f t="shared" si="8"/>
        <v>COMPLETE</v>
      </c>
      <c r="P50" s="10"/>
      <c r="Q50" s="10" t="str">
        <f t="shared" si="9"/>
        <v>OK</v>
      </c>
    </row>
    <row r="51" spans="1:17" x14ac:dyDescent="0.3">
      <c r="A51" s="47" t="s">
        <v>194</v>
      </c>
      <c r="B51" s="13" t="s">
        <v>81</v>
      </c>
      <c r="C51" s="13" t="s">
        <v>480</v>
      </c>
      <c r="D51" s="13" t="s">
        <v>43</v>
      </c>
      <c r="E51" s="13" t="s">
        <v>43</v>
      </c>
      <c r="F51" s="13" t="s">
        <v>25</v>
      </c>
      <c r="G51" s="13" t="s">
        <v>27</v>
      </c>
      <c r="H51" s="14">
        <v>30</v>
      </c>
      <c r="I51" s="15">
        <v>12.702299999999999</v>
      </c>
      <c r="J51" s="16">
        <f t="shared" si="5"/>
        <v>381.06899999999996</v>
      </c>
      <c r="K51" s="17">
        <v>46112</v>
      </c>
      <c r="L51" s="10">
        <v>30</v>
      </c>
      <c r="M51" s="18">
        <f t="shared" si="6"/>
        <v>30</v>
      </c>
      <c r="N51" s="19">
        <f t="shared" si="7"/>
        <v>0</v>
      </c>
      <c r="O51" s="10" t="str">
        <f t="shared" si="8"/>
        <v>COMPLETE</v>
      </c>
      <c r="P51" s="10"/>
      <c r="Q51" s="10" t="str">
        <f t="shared" si="9"/>
        <v>OK</v>
      </c>
    </row>
    <row r="52" spans="1:17" x14ac:dyDescent="0.3">
      <c r="A52" s="47" t="s">
        <v>194</v>
      </c>
      <c r="B52" s="13" t="s">
        <v>81</v>
      </c>
      <c r="C52" s="13" t="s">
        <v>480</v>
      </c>
      <c r="D52" s="13" t="s">
        <v>43</v>
      </c>
      <c r="E52" s="13" t="s">
        <v>43</v>
      </c>
      <c r="F52" s="13" t="s">
        <v>75</v>
      </c>
      <c r="G52" s="13" t="s">
        <v>76</v>
      </c>
      <c r="H52" s="14">
        <v>30</v>
      </c>
      <c r="I52" s="15">
        <v>13.592599999999999</v>
      </c>
      <c r="J52" s="16">
        <f t="shared" si="5"/>
        <v>407.77799999999996</v>
      </c>
      <c r="K52" s="17">
        <v>46112</v>
      </c>
      <c r="L52" s="10">
        <v>30</v>
      </c>
      <c r="M52" s="18">
        <f t="shared" si="6"/>
        <v>30</v>
      </c>
      <c r="N52" s="19">
        <f t="shared" si="7"/>
        <v>0</v>
      </c>
      <c r="O52" s="10" t="str">
        <f t="shared" si="8"/>
        <v>COMPLETE</v>
      </c>
      <c r="P52" s="10"/>
      <c r="Q52" s="10" t="str">
        <f t="shared" si="9"/>
        <v>OK</v>
      </c>
    </row>
    <row r="53" spans="1:17" x14ac:dyDescent="0.3">
      <c r="A53" s="10" t="s">
        <v>201</v>
      </c>
      <c r="B53" s="13" t="s">
        <v>77</v>
      </c>
      <c r="C53" s="13" t="s">
        <v>486</v>
      </c>
      <c r="D53" s="13" t="s">
        <v>208</v>
      </c>
      <c r="E53" s="13" t="s">
        <v>208</v>
      </c>
      <c r="F53" s="13" t="s">
        <v>75</v>
      </c>
      <c r="G53" s="13" t="s">
        <v>76</v>
      </c>
      <c r="H53" s="14">
        <v>50</v>
      </c>
      <c r="I53" s="15">
        <v>13.5</v>
      </c>
      <c r="J53" s="16">
        <f t="shared" si="5"/>
        <v>675</v>
      </c>
      <c r="K53" s="17">
        <v>46113</v>
      </c>
      <c r="L53" s="10">
        <v>50</v>
      </c>
      <c r="M53" s="18">
        <f t="shared" si="6"/>
        <v>50</v>
      </c>
      <c r="N53" s="19">
        <f t="shared" si="7"/>
        <v>0</v>
      </c>
      <c r="O53" s="10" t="str">
        <f t="shared" si="8"/>
        <v>COMPLETE</v>
      </c>
      <c r="P53" s="10"/>
      <c r="Q53" s="10" t="str">
        <f t="shared" si="9"/>
        <v>OK</v>
      </c>
    </row>
    <row r="54" spans="1:17" x14ac:dyDescent="0.3">
      <c r="A54" s="41" t="s">
        <v>203</v>
      </c>
      <c r="B54" s="13" t="s">
        <v>236</v>
      </c>
      <c r="C54" s="13" t="s">
        <v>492</v>
      </c>
      <c r="D54" s="13" t="s">
        <v>94</v>
      </c>
      <c r="E54" s="13" t="s">
        <v>94</v>
      </c>
      <c r="F54" s="13" t="s">
        <v>25</v>
      </c>
      <c r="G54" s="13" t="s">
        <v>27</v>
      </c>
      <c r="H54" s="14">
        <v>50</v>
      </c>
      <c r="I54" s="15">
        <v>13</v>
      </c>
      <c r="J54" s="16">
        <f t="shared" si="5"/>
        <v>650</v>
      </c>
      <c r="K54" s="17">
        <v>46114</v>
      </c>
      <c r="L54" s="10">
        <v>100</v>
      </c>
      <c r="M54" s="18">
        <f t="shared" si="6"/>
        <v>50</v>
      </c>
      <c r="N54" s="19">
        <f t="shared" si="7"/>
        <v>50</v>
      </c>
      <c r="O54" s="10" t="str">
        <f t="shared" si="8"/>
        <v>INCOMPLETE</v>
      </c>
      <c r="P54" s="10"/>
      <c r="Q54" s="10" t="str">
        <f t="shared" si="9"/>
        <v>OK</v>
      </c>
    </row>
    <row r="55" spans="1:17" x14ac:dyDescent="0.3">
      <c r="A55" s="41">
        <v>25</v>
      </c>
      <c r="B55" s="13" t="s">
        <v>236</v>
      </c>
      <c r="C55" s="13" t="s">
        <v>492</v>
      </c>
      <c r="D55" s="13" t="s">
        <v>98</v>
      </c>
      <c r="E55" s="13" t="s">
        <v>98</v>
      </c>
      <c r="F55" s="13" t="s">
        <v>25</v>
      </c>
      <c r="G55" s="13" t="s">
        <v>27</v>
      </c>
      <c r="H55" s="14">
        <v>50</v>
      </c>
      <c r="I55" s="15">
        <v>13</v>
      </c>
      <c r="J55" s="16">
        <f t="shared" si="5"/>
        <v>650</v>
      </c>
      <c r="K55" s="17">
        <v>46148</v>
      </c>
      <c r="L55" s="10">
        <v>50</v>
      </c>
      <c r="M55" s="18">
        <f t="shared" si="6"/>
        <v>50</v>
      </c>
      <c r="N55" s="19">
        <f t="shared" si="7"/>
        <v>0</v>
      </c>
      <c r="O55" s="10" t="str">
        <f t="shared" si="8"/>
        <v>COMPLETE</v>
      </c>
      <c r="P55" s="10"/>
      <c r="Q55" s="10" t="str">
        <f t="shared" si="9"/>
        <v>OK</v>
      </c>
    </row>
    <row r="56" spans="1:17" x14ac:dyDescent="0.3">
      <c r="A56" s="45" t="s">
        <v>205</v>
      </c>
      <c r="B56" s="13" t="s">
        <v>19</v>
      </c>
      <c r="C56" s="13" t="s">
        <v>495</v>
      </c>
      <c r="D56" s="13" t="s">
        <v>165</v>
      </c>
      <c r="E56" s="13" t="s">
        <v>165</v>
      </c>
      <c r="F56" s="13" t="s">
        <v>24</v>
      </c>
      <c r="G56" s="13" t="s">
        <v>26</v>
      </c>
      <c r="H56" s="14">
        <v>12</v>
      </c>
      <c r="I56" s="15">
        <v>6</v>
      </c>
      <c r="J56" s="16">
        <f t="shared" si="5"/>
        <v>72</v>
      </c>
      <c r="K56" s="17">
        <v>46114</v>
      </c>
      <c r="L56" s="14">
        <v>12</v>
      </c>
      <c r="M56" s="18">
        <f t="shared" si="6"/>
        <v>12</v>
      </c>
      <c r="N56" s="19">
        <f t="shared" si="7"/>
        <v>0</v>
      </c>
      <c r="O56" s="10" t="str">
        <f t="shared" si="8"/>
        <v>COMPLETE</v>
      </c>
      <c r="P56" s="10"/>
      <c r="Q56" s="10" t="str">
        <f t="shared" si="9"/>
        <v>OK</v>
      </c>
    </row>
    <row r="57" spans="1:17" x14ac:dyDescent="0.3">
      <c r="A57" s="45" t="s">
        <v>205</v>
      </c>
      <c r="B57" s="13" t="s">
        <v>19</v>
      </c>
      <c r="C57" s="13" t="s">
        <v>495</v>
      </c>
      <c r="D57" s="13" t="s">
        <v>165</v>
      </c>
      <c r="E57" s="13" t="s">
        <v>165</v>
      </c>
      <c r="F57" s="13" t="s">
        <v>25</v>
      </c>
      <c r="G57" s="13" t="s">
        <v>27</v>
      </c>
      <c r="H57" s="14">
        <v>24</v>
      </c>
      <c r="I57" s="15">
        <v>12</v>
      </c>
      <c r="J57" s="16">
        <f t="shared" si="5"/>
        <v>288</v>
      </c>
      <c r="K57" s="17">
        <v>46114</v>
      </c>
      <c r="L57" s="14">
        <v>24</v>
      </c>
      <c r="M57" s="18">
        <f t="shared" si="6"/>
        <v>24</v>
      </c>
      <c r="N57" s="19">
        <f t="shared" si="7"/>
        <v>0</v>
      </c>
      <c r="O57" s="10" t="str">
        <f t="shared" si="8"/>
        <v>COMPLETE</v>
      </c>
      <c r="P57" s="10"/>
      <c r="Q57" s="10" t="str">
        <f t="shared" si="9"/>
        <v>OK</v>
      </c>
    </row>
    <row r="58" spans="1:17" x14ac:dyDescent="0.3">
      <c r="A58" s="45" t="s">
        <v>205</v>
      </c>
      <c r="B58" s="13" t="s">
        <v>19</v>
      </c>
      <c r="C58" s="13" t="s">
        <v>495</v>
      </c>
      <c r="D58" s="13" t="s">
        <v>165</v>
      </c>
      <c r="E58" s="13" t="s">
        <v>165</v>
      </c>
      <c r="F58" s="13" t="s">
        <v>75</v>
      </c>
      <c r="G58" s="13" t="s">
        <v>76</v>
      </c>
      <c r="H58" s="14">
        <v>48</v>
      </c>
      <c r="I58" s="15">
        <v>14</v>
      </c>
      <c r="J58" s="16">
        <f t="shared" si="5"/>
        <v>672</v>
      </c>
      <c r="K58" s="17">
        <v>46114</v>
      </c>
      <c r="L58" s="14">
        <v>48</v>
      </c>
      <c r="M58" s="18">
        <f t="shared" si="6"/>
        <v>48</v>
      </c>
      <c r="N58" s="19">
        <f t="shared" si="7"/>
        <v>0</v>
      </c>
      <c r="O58" s="10" t="str">
        <f t="shared" si="8"/>
        <v>COMPLETE</v>
      </c>
      <c r="P58" s="10"/>
      <c r="Q58" s="10" t="str">
        <f t="shared" si="9"/>
        <v>OK</v>
      </c>
    </row>
    <row r="59" spans="1:17" x14ac:dyDescent="0.3">
      <c r="A59" s="38" t="s">
        <v>210</v>
      </c>
      <c r="B59" s="13" t="s">
        <v>73</v>
      </c>
      <c r="C59" s="13" t="s">
        <v>501</v>
      </c>
      <c r="D59" s="13" t="s">
        <v>275</v>
      </c>
      <c r="E59" s="13" t="s">
        <v>275</v>
      </c>
      <c r="F59" s="13" t="s">
        <v>137</v>
      </c>
      <c r="G59" s="13" t="s">
        <v>139</v>
      </c>
      <c r="H59" s="14">
        <v>100</v>
      </c>
      <c r="I59" s="15">
        <v>3.75</v>
      </c>
      <c r="J59" s="16">
        <f t="shared" si="5"/>
        <v>375</v>
      </c>
      <c r="K59" s="17">
        <v>46118</v>
      </c>
      <c r="L59" s="10">
        <v>100</v>
      </c>
      <c r="M59" s="18">
        <f t="shared" si="6"/>
        <v>100</v>
      </c>
      <c r="N59" s="19">
        <f t="shared" si="7"/>
        <v>0</v>
      </c>
      <c r="O59" s="10" t="str">
        <f t="shared" si="8"/>
        <v>COMPLETE</v>
      </c>
      <c r="P59" s="10"/>
      <c r="Q59" s="10" t="str">
        <f t="shared" si="9"/>
        <v>OK</v>
      </c>
    </row>
    <row r="60" spans="1:17" x14ac:dyDescent="0.3">
      <c r="A60" s="38" t="s">
        <v>210</v>
      </c>
      <c r="B60" s="13" t="s">
        <v>73</v>
      </c>
      <c r="C60" s="13" t="s">
        <v>501</v>
      </c>
      <c r="D60" s="13" t="s">
        <v>275</v>
      </c>
      <c r="E60" s="13" t="s">
        <v>275</v>
      </c>
      <c r="F60" s="13" t="s">
        <v>136</v>
      </c>
      <c r="G60" s="13" t="s">
        <v>138</v>
      </c>
      <c r="H60" s="14">
        <v>150</v>
      </c>
      <c r="I60" s="15">
        <v>7.5</v>
      </c>
      <c r="J60" s="16">
        <f t="shared" si="5"/>
        <v>1125</v>
      </c>
      <c r="K60" s="17">
        <v>46118</v>
      </c>
      <c r="L60" s="10">
        <v>150</v>
      </c>
      <c r="M60" s="18">
        <f t="shared" si="6"/>
        <v>150</v>
      </c>
      <c r="N60" s="19">
        <f t="shared" si="7"/>
        <v>0</v>
      </c>
      <c r="O60" s="10" t="str">
        <f t="shared" si="8"/>
        <v>COMPLETE</v>
      </c>
      <c r="P60" s="10"/>
      <c r="Q60" s="10" t="str">
        <f t="shared" si="9"/>
        <v>OK</v>
      </c>
    </row>
    <row r="61" spans="1:17" x14ac:dyDescent="0.3">
      <c r="A61" s="37" t="s">
        <v>212</v>
      </c>
      <c r="B61" s="13" t="s">
        <v>34</v>
      </c>
      <c r="C61" s="13" t="s">
        <v>503</v>
      </c>
      <c r="D61" s="13" t="s">
        <v>498</v>
      </c>
      <c r="E61" s="13" t="s">
        <v>498</v>
      </c>
      <c r="F61" s="13" t="s">
        <v>25</v>
      </c>
      <c r="G61" s="13" t="s">
        <v>27</v>
      </c>
      <c r="H61" s="14">
        <v>48</v>
      </c>
      <c r="I61" s="15">
        <v>11.4</v>
      </c>
      <c r="J61" s="16">
        <f t="shared" si="5"/>
        <v>547.20000000000005</v>
      </c>
      <c r="K61" s="17">
        <v>46118</v>
      </c>
      <c r="L61" s="10">
        <v>169</v>
      </c>
      <c r="M61" s="18">
        <f t="shared" si="6"/>
        <v>48</v>
      </c>
      <c r="N61" s="19">
        <f t="shared" si="7"/>
        <v>121</v>
      </c>
      <c r="O61" s="10" t="str">
        <f t="shared" si="8"/>
        <v>INCOMPLETE</v>
      </c>
      <c r="P61" s="10"/>
      <c r="Q61" s="10" t="str">
        <f t="shared" si="9"/>
        <v>OK</v>
      </c>
    </row>
    <row r="62" spans="1:17" x14ac:dyDescent="0.3">
      <c r="A62" s="37" t="s">
        <v>212</v>
      </c>
      <c r="B62" s="13" t="s">
        <v>34</v>
      </c>
      <c r="C62" s="13" t="s">
        <v>503</v>
      </c>
      <c r="D62" s="13" t="s">
        <v>498</v>
      </c>
      <c r="E62" s="13" t="s">
        <v>498</v>
      </c>
      <c r="F62" s="13" t="s">
        <v>75</v>
      </c>
      <c r="G62" s="13" t="s">
        <v>76</v>
      </c>
      <c r="H62" s="14">
        <v>24</v>
      </c>
      <c r="I62" s="15">
        <v>13.3</v>
      </c>
      <c r="J62" s="16">
        <f t="shared" si="5"/>
        <v>319.20000000000005</v>
      </c>
      <c r="K62" s="17">
        <v>46118</v>
      </c>
      <c r="L62" s="10">
        <v>4500</v>
      </c>
      <c r="M62" s="18">
        <f t="shared" si="6"/>
        <v>24</v>
      </c>
      <c r="N62" s="19">
        <f t="shared" si="7"/>
        <v>4476</v>
      </c>
      <c r="O62" s="10" t="str">
        <f t="shared" si="8"/>
        <v>INCOMPLETE</v>
      </c>
      <c r="P62" s="10"/>
      <c r="Q62" s="10" t="str">
        <f t="shared" si="9"/>
        <v>OK</v>
      </c>
    </row>
    <row r="63" spans="1:17" x14ac:dyDescent="0.3">
      <c r="A63" s="37" t="s">
        <v>212</v>
      </c>
      <c r="B63" s="13" t="s">
        <v>34</v>
      </c>
      <c r="C63" s="13" t="s">
        <v>503</v>
      </c>
      <c r="D63" s="13" t="s">
        <v>505</v>
      </c>
      <c r="E63" s="13" t="s">
        <v>505</v>
      </c>
      <c r="F63" s="13" t="s">
        <v>25</v>
      </c>
      <c r="G63" s="13" t="s">
        <v>27</v>
      </c>
      <c r="H63" s="14">
        <v>120</v>
      </c>
      <c r="I63" s="15">
        <v>11.4</v>
      </c>
      <c r="J63" s="16">
        <f t="shared" si="5"/>
        <v>1368</v>
      </c>
      <c r="K63" s="17">
        <v>46118</v>
      </c>
      <c r="L63" s="10">
        <v>121</v>
      </c>
      <c r="M63" s="18">
        <f t="shared" si="6"/>
        <v>120</v>
      </c>
      <c r="N63" s="19">
        <f t="shared" si="7"/>
        <v>1</v>
      </c>
      <c r="O63" s="10" t="str">
        <f t="shared" si="8"/>
        <v>INCOMPLETE</v>
      </c>
      <c r="P63" s="10"/>
      <c r="Q63" s="10" t="str">
        <f t="shared" si="9"/>
        <v>OK</v>
      </c>
    </row>
    <row r="64" spans="1:17" x14ac:dyDescent="0.3">
      <c r="A64" s="37" t="s">
        <v>212</v>
      </c>
      <c r="B64" s="13" t="s">
        <v>34</v>
      </c>
      <c r="C64" s="13" t="s">
        <v>503</v>
      </c>
      <c r="D64" s="13" t="s">
        <v>505</v>
      </c>
      <c r="E64" s="13" t="s">
        <v>505</v>
      </c>
      <c r="F64" s="13" t="s">
        <v>75</v>
      </c>
      <c r="G64" s="13" t="s">
        <v>76</v>
      </c>
      <c r="H64" s="14">
        <v>1200</v>
      </c>
      <c r="I64" s="15">
        <v>13.3</v>
      </c>
      <c r="J64" s="16">
        <f t="shared" si="5"/>
        <v>15960</v>
      </c>
      <c r="K64" s="17">
        <v>46118</v>
      </c>
      <c r="L64" s="10">
        <v>4476</v>
      </c>
      <c r="M64" s="18">
        <f t="shared" si="6"/>
        <v>1200</v>
      </c>
      <c r="N64" s="19">
        <f t="shared" si="7"/>
        <v>3276</v>
      </c>
      <c r="O64" s="10" t="str">
        <f t="shared" si="8"/>
        <v>INCOMPLETE</v>
      </c>
      <c r="P64" s="10"/>
      <c r="Q64" s="10" t="str">
        <f t="shared" si="9"/>
        <v>OK</v>
      </c>
    </row>
    <row r="65" spans="1:17" x14ac:dyDescent="0.3">
      <c r="A65" s="37" t="s">
        <v>212</v>
      </c>
      <c r="B65" s="13" t="s">
        <v>34</v>
      </c>
      <c r="C65" s="13" t="s">
        <v>503</v>
      </c>
      <c r="D65" s="13" t="s">
        <v>548</v>
      </c>
      <c r="E65" s="13" t="s">
        <v>548</v>
      </c>
      <c r="F65" s="13" t="s">
        <v>75</v>
      </c>
      <c r="G65" s="13" t="s">
        <v>76</v>
      </c>
      <c r="H65" s="14">
        <v>200</v>
      </c>
      <c r="I65" s="15">
        <v>13.3</v>
      </c>
      <c r="J65" s="16">
        <f t="shared" si="5"/>
        <v>2660</v>
      </c>
      <c r="K65" s="17">
        <v>46122</v>
      </c>
      <c r="L65" s="10">
        <v>3276</v>
      </c>
      <c r="M65" s="18">
        <f t="shared" si="6"/>
        <v>200</v>
      </c>
      <c r="N65" s="19">
        <f t="shared" si="7"/>
        <v>3076</v>
      </c>
      <c r="O65" s="10" t="str">
        <f t="shared" si="8"/>
        <v>INCOMPLETE</v>
      </c>
      <c r="P65" s="10"/>
      <c r="Q65" s="10" t="str">
        <f t="shared" si="9"/>
        <v>OK</v>
      </c>
    </row>
    <row r="66" spans="1:17" x14ac:dyDescent="0.3">
      <c r="A66" s="37" t="s">
        <v>212</v>
      </c>
      <c r="B66" s="13" t="s">
        <v>34</v>
      </c>
      <c r="C66" s="13" t="s">
        <v>503</v>
      </c>
      <c r="D66" s="13" t="s">
        <v>553</v>
      </c>
      <c r="E66" s="13" t="s">
        <v>553</v>
      </c>
      <c r="F66" s="13" t="s">
        <v>75</v>
      </c>
      <c r="G66" s="13" t="s">
        <v>76</v>
      </c>
      <c r="H66" s="14">
        <v>96</v>
      </c>
      <c r="I66" s="15">
        <v>13.3</v>
      </c>
      <c r="J66" s="16">
        <f t="shared" si="5"/>
        <v>1276.8000000000002</v>
      </c>
      <c r="K66" s="17">
        <v>46125</v>
      </c>
      <c r="L66" s="10">
        <v>3076</v>
      </c>
      <c r="M66" s="18">
        <f t="shared" si="6"/>
        <v>96</v>
      </c>
      <c r="N66" s="19">
        <f t="shared" si="7"/>
        <v>2980</v>
      </c>
      <c r="O66" s="10" t="str">
        <f t="shared" si="8"/>
        <v>INCOMPLETE</v>
      </c>
      <c r="P66" s="10"/>
      <c r="Q66" s="10" t="str">
        <f t="shared" si="9"/>
        <v>OK</v>
      </c>
    </row>
    <row r="67" spans="1:17" x14ac:dyDescent="0.3">
      <c r="A67" s="37" t="s">
        <v>212</v>
      </c>
      <c r="B67" s="13" t="s">
        <v>34</v>
      </c>
      <c r="C67" s="13" t="s">
        <v>503</v>
      </c>
      <c r="D67" s="13" t="s">
        <v>577</v>
      </c>
      <c r="E67" s="13" t="s">
        <v>577</v>
      </c>
      <c r="F67" s="13" t="s">
        <v>75</v>
      </c>
      <c r="G67" s="13" t="s">
        <v>76</v>
      </c>
      <c r="H67" s="14">
        <v>72</v>
      </c>
      <c r="I67" s="15">
        <v>13.3</v>
      </c>
      <c r="J67" s="16">
        <f t="shared" si="5"/>
        <v>957.6</v>
      </c>
      <c r="K67" s="17">
        <v>46132</v>
      </c>
      <c r="L67" s="10">
        <v>2980</v>
      </c>
      <c r="M67" s="18">
        <f t="shared" si="6"/>
        <v>72</v>
      </c>
      <c r="N67" s="19">
        <f t="shared" si="7"/>
        <v>2908</v>
      </c>
      <c r="O67" s="10" t="str">
        <f t="shared" si="8"/>
        <v>INCOMPLETE</v>
      </c>
      <c r="P67" s="10"/>
      <c r="Q67" s="10" t="str">
        <f t="shared" si="9"/>
        <v>OK</v>
      </c>
    </row>
    <row r="68" spans="1:17" x14ac:dyDescent="0.3">
      <c r="A68" s="37" t="s">
        <v>212</v>
      </c>
      <c r="B68" s="13" t="s">
        <v>34</v>
      </c>
      <c r="C68" s="13" t="s">
        <v>503</v>
      </c>
      <c r="D68" s="13" t="s">
        <v>584</v>
      </c>
      <c r="E68" s="13" t="s">
        <v>584</v>
      </c>
      <c r="F68" s="13" t="s">
        <v>75</v>
      </c>
      <c r="G68" s="13" t="s">
        <v>76</v>
      </c>
      <c r="H68" s="14">
        <v>720</v>
      </c>
      <c r="I68" s="15">
        <v>13.3</v>
      </c>
      <c r="J68" s="16">
        <f t="shared" si="5"/>
        <v>9576</v>
      </c>
      <c r="K68" s="17">
        <v>46134</v>
      </c>
      <c r="L68" s="10">
        <v>2908</v>
      </c>
      <c r="M68" s="18">
        <f t="shared" si="6"/>
        <v>720</v>
      </c>
      <c r="N68" s="19">
        <f t="shared" si="7"/>
        <v>2188</v>
      </c>
      <c r="O68" s="10" t="str">
        <f t="shared" si="8"/>
        <v>INCOMPLETE</v>
      </c>
      <c r="P68" s="10"/>
      <c r="Q68" s="10" t="str">
        <f t="shared" si="9"/>
        <v>OK</v>
      </c>
    </row>
    <row r="69" spans="1:17" x14ac:dyDescent="0.3">
      <c r="A69" s="36" t="s">
        <v>214</v>
      </c>
      <c r="B69" s="13" t="s">
        <v>132</v>
      </c>
      <c r="C69" s="13" t="s">
        <v>507</v>
      </c>
      <c r="D69" s="13" t="s">
        <v>43</v>
      </c>
      <c r="E69" s="13" t="s">
        <v>43</v>
      </c>
      <c r="F69" s="13" t="s">
        <v>25</v>
      </c>
      <c r="G69" s="13" t="s">
        <v>27</v>
      </c>
      <c r="H69" s="14">
        <v>24</v>
      </c>
      <c r="I69" s="15">
        <v>12.4</v>
      </c>
      <c r="J69" s="16">
        <f t="shared" si="5"/>
        <v>297.60000000000002</v>
      </c>
      <c r="K69" s="17">
        <v>46118</v>
      </c>
      <c r="L69" s="10">
        <v>360</v>
      </c>
      <c r="M69" s="18">
        <f t="shared" si="6"/>
        <v>24</v>
      </c>
      <c r="N69" s="19">
        <f t="shared" si="7"/>
        <v>336</v>
      </c>
      <c r="O69" s="10" t="str">
        <f t="shared" si="8"/>
        <v>INCOMPLETE</v>
      </c>
      <c r="P69" s="10"/>
      <c r="Q69" s="10" t="str">
        <f t="shared" si="9"/>
        <v>OK</v>
      </c>
    </row>
    <row r="70" spans="1:17" x14ac:dyDescent="0.3">
      <c r="A70" s="36" t="s">
        <v>214</v>
      </c>
      <c r="B70" s="13" t="s">
        <v>132</v>
      </c>
      <c r="C70" s="13" t="s">
        <v>507</v>
      </c>
      <c r="D70" s="13" t="s">
        <v>47</v>
      </c>
      <c r="E70" s="13" t="s">
        <v>47</v>
      </c>
      <c r="F70" s="13" t="s">
        <v>24</v>
      </c>
      <c r="G70" s="13" t="s">
        <v>26</v>
      </c>
      <c r="H70" s="14">
        <v>100</v>
      </c>
      <c r="I70" s="15">
        <v>5.6</v>
      </c>
      <c r="J70" s="16">
        <f t="shared" si="5"/>
        <v>560</v>
      </c>
      <c r="K70" s="17">
        <v>46118</v>
      </c>
      <c r="L70" s="10">
        <v>360</v>
      </c>
      <c r="M70" s="18">
        <f t="shared" si="6"/>
        <v>100</v>
      </c>
      <c r="N70" s="19">
        <f t="shared" si="7"/>
        <v>260</v>
      </c>
      <c r="O70" s="10" t="str">
        <f t="shared" si="8"/>
        <v>INCOMPLETE</v>
      </c>
      <c r="P70" s="10"/>
      <c r="Q70" s="10" t="str">
        <f t="shared" si="9"/>
        <v>OK</v>
      </c>
    </row>
    <row r="71" spans="1:17" x14ac:dyDescent="0.3">
      <c r="A71" s="36" t="s">
        <v>214</v>
      </c>
      <c r="B71" s="13" t="s">
        <v>132</v>
      </c>
      <c r="C71" s="13" t="s">
        <v>507</v>
      </c>
      <c r="D71" s="13" t="s">
        <v>47</v>
      </c>
      <c r="E71" s="13" t="s">
        <v>47</v>
      </c>
      <c r="F71" s="13" t="s">
        <v>25</v>
      </c>
      <c r="G71" s="13" t="s">
        <v>27</v>
      </c>
      <c r="H71" s="14">
        <v>120</v>
      </c>
      <c r="I71" s="15">
        <v>12.4</v>
      </c>
      <c r="J71" s="16">
        <f t="shared" ref="J71:J77" si="10">H71*I71</f>
        <v>1488</v>
      </c>
      <c r="K71" s="17">
        <v>46118</v>
      </c>
      <c r="L71" s="10">
        <v>336</v>
      </c>
      <c r="M71" s="18">
        <f t="shared" ref="M71:M77" si="11">H71</f>
        <v>120</v>
      </c>
      <c r="N71" s="19">
        <f t="shared" ref="N71:N77" si="12">L71-M71</f>
        <v>216</v>
      </c>
      <c r="O71" s="10" t="str">
        <f t="shared" ref="O71:O77" si="13">IF(N71=0,"COMPLETE","INCOMPLETE")</f>
        <v>INCOMPLETE</v>
      </c>
      <c r="P71" s="10"/>
      <c r="Q71" s="10" t="str">
        <f t="shared" ref="Q71:Q77" si="14">IF(M71=H71,"OK","X")</f>
        <v>OK</v>
      </c>
    </row>
    <row r="72" spans="1:17" x14ac:dyDescent="0.3">
      <c r="A72" s="36" t="s">
        <v>214</v>
      </c>
      <c r="B72" s="13" t="s">
        <v>132</v>
      </c>
      <c r="C72" s="13" t="s">
        <v>507</v>
      </c>
      <c r="D72" s="13" t="s">
        <v>47</v>
      </c>
      <c r="E72" s="13" t="s">
        <v>47</v>
      </c>
      <c r="F72" s="13" t="s">
        <v>75</v>
      </c>
      <c r="G72" s="13" t="s">
        <v>76</v>
      </c>
      <c r="H72" s="14">
        <v>60</v>
      </c>
      <c r="I72" s="15">
        <v>13.9</v>
      </c>
      <c r="J72" s="16">
        <f t="shared" si="10"/>
        <v>834</v>
      </c>
      <c r="K72" s="17">
        <v>46118</v>
      </c>
      <c r="L72" s="10">
        <v>60</v>
      </c>
      <c r="M72" s="18">
        <f t="shared" si="11"/>
        <v>60</v>
      </c>
      <c r="N72" s="19">
        <f t="shared" si="12"/>
        <v>0</v>
      </c>
      <c r="O72" s="10" t="str">
        <f t="shared" si="13"/>
        <v>COMPLETE</v>
      </c>
      <c r="P72" s="10"/>
      <c r="Q72" s="10" t="str">
        <f t="shared" si="14"/>
        <v>OK</v>
      </c>
    </row>
    <row r="73" spans="1:17" x14ac:dyDescent="0.3">
      <c r="A73" s="36" t="s">
        <v>214</v>
      </c>
      <c r="B73" s="13" t="s">
        <v>132</v>
      </c>
      <c r="C73" s="13" t="s">
        <v>507</v>
      </c>
      <c r="D73" s="13" t="s">
        <v>94</v>
      </c>
      <c r="E73" s="13" t="s">
        <v>94</v>
      </c>
      <c r="F73" s="13" t="s">
        <v>24</v>
      </c>
      <c r="G73" s="13" t="s">
        <v>26</v>
      </c>
      <c r="H73" s="14">
        <v>31</v>
      </c>
      <c r="I73" s="15">
        <v>5.6</v>
      </c>
      <c r="J73" s="16">
        <f t="shared" si="10"/>
        <v>173.6</v>
      </c>
      <c r="K73" s="17">
        <v>46127</v>
      </c>
      <c r="L73" s="10">
        <v>260</v>
      </c>
      <c r="M73" s="18">
        <f t="shared" si="11"/>
        <v>31</v>
      </c>
      <c r="N73" s="19">
        <f t="shared" si="12"/>
        <v>229</v>
      </c>
      <c r="O73" s="10" t="str">
        <f t="shared" si="13"/>
        <v>INCOMPLETE</v>
      </c>
      <c r="P73" s="10"/>
      <c r="Q73" s="10" t="str">
        <f t="shared" si="14"/>
        <v>OK</v>
      </c>
    </row>
    <row r="74" spans="1:17" x14ac:dyDescent="0.3">
      <c r="A74" s="36" t="s">
        <v>214</v>
      </c>
      <c r="B74" s="13" t="s">
        <v>132</v>
      </c>
      <c r="C74" s="13" t="s">
        <v>507</v>
      </c>
      <c r="D74" s="13" t="s">
        <v>94</v>
      </c>
      <c r="E74" s="13" t="s">
        <v>94</v>
      </c>
      <c r="F74" s="13" t="s">
        <v>25</v>
      </c>
      <c r="G74" s="13" t="s">
        <v>27</v>
      </c>
      <c r="H74" s="14">
        <v>30</v>
      </c>
      <c r="I74" s="15">
        <v>12.4</v>
      </c>
      <c r="J74" s="16">
        <f t="shared" si="10"/>
        <v>372</v>
      </c>
      <c r="K74" s="17">
        <v>46127</v>
      </c>
      <c r="L74" s="10">
        <v>216</v>
      </c>
      <c r="M74" s="18">
        <f t="shared" si="11"/>
        <v>30</v>
      </c>
      <c r="N74" s="19">
        <f t="shared" si="12"/>
        <v>186</v>
      </c>
      <c r="O74" s="10" t="str">
        <f t="shared" si="13"/>
        <v>INCOMPLETE</v>
      </c>
      <c r="P74" s="10"/>
      <c r="Q74" s="10" t="str">
        <f t="shared" si="14"/>
        <v>OK</v>
      </c>
    </row>
    <row r="75" spans="1:17" x14ac:dyDescent="0.3">
      <c r="A75" s="10" t="s">
        <v>215</v>
      </c>
      <c r="B75" s="13" t="s">
        <v>77</v>
      </c>
      <c r="C75" s="13" t="s">
        <v>518</v>
      </c>
      <c r="D75" s="13" t="s">
        <v>222</v>
      </c>
      <c r="E75" s="13" t="s">
        <v>222</v>
      </c>
      <c r="F75" s="13" t="s">
        <v>25</v>
      </c>
      <c r="G75" s="13" t="s">
        <v>27</v>
      </c>
      <c r="H75" s="14">
        <v>30</v>
      </c>
      <c r="I75" s="15">
        <v>12</v>
      </c>
      <c r="J75" s="16">
        <f t="shared" si="10"/>
        <v>360</v>
      </c>
      <c r="K75" s="17">
        <v>46119</v>
      </c>
      <c r="L75" s="10">
        <v>30</v>
      </c>
      <c r="M75" s="18">
        <f t="shared" si="11"/>
        <v>30</v>
      </c>
      <c r="N75" s="19">
        <f t="shared" si="12"/>
        <v>0</v>
      </c>
      <c r="O75" s="10" t="str">
        <f t="shared" si="13"/>
        <v>COMPLETE</v>
      </c>
      <c r="P75" s="10"/>
      <c r="Q75" s="10" t="str">
        <f t="shared" si="14"/>
        <v>OK</v>
      </c>
    </row>
    <row r="76" spans="1:17" x14ac:dyDescent="0.3">
      <c r="A76" s="68" t="s">
        <v>220</v>
      </c>
      <c r="B76" s="13" t="s">
        <v>540</v>
      </c>
      <c r="C76" s="13" t="s">
        <v>541</v>
      </c>
      <c r="D76" s="13" t="s">
        <v>39</v>
      </c>
      <c r="E76" s="13" t="s">
        <v>39</v>
      </c>
      <c r="F76" s="13" t="s">
        <v>137</v>
      </c>
      <c r="G76" s="13" t="s">
        <v>139</v>
      </c>
      <c r="H76" s="14">
        <v>600</v>
      </c>
      <c r="I76" s="15">
        <v>2.85</v>
      </c>
      <c r="J76" s="16">
        <f t="shared" si="10"/>
        <v>1710</v>
      </c>
      <c r="K76" s="17">
        <v>46121</v>
      </c>
      <c r="L76" s="10">
        <v>1000</v>
      </c>
      <c r="M76" s="18">
        <f t="shared" si="11"/>
        <v>600</v>
      </c>
      <c r="N76" s="19">
        <f t="shared" si="12"/>
        <v>400</v>
      </c>
      <c r="O76" s="10" t="str">
        <f t="shared" si="13"/>
        <v>INCOMPLETE</v>
      </c>
      <c r="P76" s="10"/>
      <c r="Q76" s="10" t="str">
        <f t="shared" si="14"/>
        <v>OK</v>
      </c>
    </row>
    <row r="77" spans="1:17" x14ac:dyDescent="0.3">
      <c r="A77" s="68" t="s">
        <v>220</v>
      </c>
      <c r="B77" s="13" t="s">
        <v>540</v>
      </c>
      <c r="C77" s="13" t="s">
        <v>541</v>
      </c>
      <c r="D77" s="13" t="s">
        <v>43</v>
      </c>
      <c r="E77" s="13" t="s">
        <v>43</v>
      </c>
      <c r="F77" s="13" t="s">
        <v>137</v>
      </c>
      <c r="G77" s="13" t="s">
        <v>139</v>
      </c>
      <c r="H77" s="14">
        <v>200</v>
      </c>
      <c r="I77" s="15">
        <v>2.85</v>
      </c>
      <c r="J77" s="16">
        <f t="shared" si="10"/>
        <v>570</v>
      </c>
      <c r="K77" s="17">
        <v>46136</v>
      </c>
      <c r="L77" s="10">
        <v>400</v>
      </c>
      <c r="M77" s="18">
        <f t="shared" si="11"/>
        <v>200</v>
      </c>
      <c r="N77" s="19">
        <f t="shared" si="12"/>
        <v>200</v>
      </c>
      <c r="O77" s="10" t="str">
        <f t="shared" si="13"/>
        <v>INCOMPLETE</v>
      </c>
      <c r="P77" s="10"/>
      <c r="Q77" s="10" t="str">
        <f t="shared" si="14"/>
        <v>OK</v>
      </c>
    </row>
    <row r="78" spans="1:17" x14ac:dyDescent="0.3">
      <c r="A78" s="71" t="s">
        <v>227</v>
      </c>
      <c r="B78" s="13" t="s">
        <v>540</v>
      </c>
      <c r="C78" s="13" t="s">
        <v>542</v>
      </c>
      <c r="D78" s="13" t="s">
        <v>21</v>
      </c>
      <c r="E78" s="13" t="s">
        <v>21</v>
      </c>
      <c r="F78" s="13" t="s">
        <v>543</v>
      </c>
      <c r="G78" s="13" t="s">
        <v>544</v>
      </c>
      <c r="H78" s="14">
        <v>50</v>
      </c>
      <c r="I78" s="15">
        <v>5.35</v>
      </c>
      <c r="J78" s="16">
        <f t="shared" ref="J78:J94" si="15">H78*I78</f>
        <v>267.5</v>
      </c>
      <c r="K78" s="17">
        <v>46121</v>
      </c>
      <c r="L78" s="10">
        <v>100</v>
      </c>
      <c r="M78" s="18">
        <f t="shared" ref="M78:M94" si="16">H78</f>
        <v>50</v>
      </c>
      <c r="N78" s="19">
        <f t="shared" ref="N78:N94" si="17">L78-M78</f>
        <v>50</v>
      </c>
      <c r="O78" s="10" t="str">
        <f t="shared" ref="O78:O94" si="18">IF(N78=0,"COMPLETE","INCOMPLETE")</f>
        <v>INCOMPLETE</v>
      </c>
      <c r="P78" s="10"/>
      <c r="Q78" s="10" t="str">
        <f t="shared" ref="Q78:Q94" si="19">IF(M78=H78,"OK","X")</f>
        <v>OK</v>
      </c>
    </row>
    <row r="79" spans="1:17" x14ac:dyDescent="0.3">
      <c r="A79" s="71" t="s">
        <v>227</v>
      </c>
      <c r="B79" s="13" t="s">
        <v>540</v>
      </c>
      <c r="C79" s="13" t="s">
        <v>542</v>
      </c>
      <c r="D79" s="13" t="s">
        <v>21</v>
      </c>
      <c r="E79" s="13" t="s">
        <v>21</v>
      </c>
      <c r="F79" s="13" t="s">
        <v>136</v>
      </c>
      <c r="G79" s="13" t="s">
        <v>138</v>
      </c>
      <c r="H79" s="14">
        <v>500</v>
      </c>
      <c r="I79" s="15">
        <v>6.9</v>
      </c>
      <c r="J79" s="16">
        <f t="shared" si="15"/>
        <v>3450</v>
      </c>
      <c r="K79" s="17">
        <v>46121</v>
      </c>
      <c r="L79" s="10">
        <v>1000</v>
      </c>
      <c r="M79" s="18">
        <f t="shared" si="16"/>
        <v>500</v>
      </c>
      <c r="N79" s="19">
        <f t="shared" si="17"/>
        <v>500</v>
      </c>
      <c r="O79" s="10" t="str">
        <f t="shared" si="18"/>
        <v>INCOMPLETE</v>
      </c>
      <c r="P79" s="10"/>
      <c r="Q79" s="10" t="str">
        <f t="shared" si="19"/>
        <v>OK</v>
      </c>
    </row>
    <row r="80" spans="1:17" x14ac:dyDescent="0.3">
      <c r="A80" s="71" t="s">
        <v>227</v>
      </c>
      <c r="B80" s="13" t="s">
        <v>540</v>
      </c>
      <c r="C80" s="13" t="s">
        <v>542</v>
      </c>
      <c r="D80" s="13" t="s">
        <v>47</v>
      </c>
      <c r="E80" s="13" t="s">
        <v>47</v>
      </c>
      <c r="F80" s="13" t="s">
        <v>136</v>
      </c>
      <c r="G80" s="13" t="s">
        <v>138</v>
      </c>
      <c r="H80" s="14">
        <v>200</v>
      </c>
      <c r="I80" s="15">
        <v>6.9</v>
      </c>
      <c r="J80" s="16">
        <f t="shared" si="15"/>
        <v>1380</v>
      </c>
      <c r="K80" s="17">
        <v>46176</v>
      </c>
      <c r="L80" s="10">
        <v>500</v>
      </c>
      <c r="M80" s="18">
        <f t="shared" si="16"/>
        <v>200</v>
      </c>
      <c r="N80" s="19">
        <f t="shared" si="17"/>
        <v>300</v>
      </c>
      <c r="O80" s="10" t="str">
        <f t="shared" si="18"/>
        <v>INCOMPLETE</v>
      </c>
      <c r="P80" s="10"/>
      <c r="Q80" s="10" t="str">
        <f t="shared" si="19"/>
        <v>OK</v>
      </c>
    </row>
    <row r="81" spans="1:17" x14ac:dyDescent="0.3">
      <c r="A81" s="71" t="s">
        <v>227</v>
      </c>
      <c r="B81" s="13" t="s">
        <v>540</v>
      </c>
      <c r="C81" s="13" t="s">
        <v>542</v>
      </c>
      <c r="D81" s="13" t="s">
        <v>47</v>
      </c>
      <c r="E81" s="13" t="s">
        <v>47</v>
      </c>
      <c r="F81" s="13" t="s">
        <v>543</v>
      </c>
      <c r="G81" s="13" t="s">
        <v>544</v>
      </c>
      <c r="H81" s="14">
        <v>50</v>
      </c>
      <c r="I81" s="15">
        <v>5.35</v>
      </c>
      <c r="J81" s="16">
        <f t="shared" si="15"/>
        <v>267.5</v>
      </c>
      <c r="K81" s="17">
        <v>46176</v>
      </c>
      <c r="L81" s="10">
        <v>50</v>
      </c>
      <c r="M81" s="18">
        <f t="shared" si="16"/>
        <v>50</v>
      </c>
      <c r="N81" s="19">
        <f t="shared" si="17"/>
        <v>0</v>
      </c>
      <c r="O81" s="10" t="str">
        <f t="shared" si="18"/>
        <v>COMPLETE</v>
      </c>
      <c r="P81" s="10"/>
      <c r="Q81" s="10" t="str">
        <f t="shared" si="19"/>
        <v>OK</v>
      </c>
    </row>
    <row r="82" spans="1:17" x14ac:dyDescent="0.3">
      <c r="A82" s="48" t="s">
        <v>230</v>
      </c>
      <c r="B82" s="13" t="s">
        <v>34</v>
      </c>
      <c r="C82" s="13" t="s">
        <v>546</v>
      </c>
      <c r="D82" s="13" t="s">
        <v>547</v>
      </c>
      <c r="E82" s="13" t="s">
        <v>547</v>
      </c>
      <c r="F82" s="13" t="s">
        <v>25</v>
      </c>
      <c r="G82" s="13" t="s">
        <v>27</v>
      </c>
      <c r="H82" s="14">
        <v>72</v>
      </c>
      <c r="I82" s="15">
        <v>11.4</v>
      </c>
      <c r="J82" s="16">
        <f t="shared" si="15"/>
        <v>820.80000000000007</v>
      </c>
      <c r="K82" s="17">
        <v>46122</v>
      </c>
      <c r="L82" s="10">
        <v>5000</v>
      </c>
      <c r="M82" s="18">
        <f t="shared" si="16"/>
        <v>72</v>
      </c>
      <c r="N82" s="19">
        <f t="shared" si="17"/>
        <v>4928</v>
      </c>
      <c r="O82" s="10" t="str">
        <f t="shared" si="18"/>
        <v>INCOMPLETE</v>
      </c>
      <c r="P82" s="10"/>
      <c r="Q82" s="10" t="str">
        <f t="shared" si="19"/>
        <v>OK</v>
      </c>
    </row>
    <row r="83" spans="1:17" x14ac:dyDescent="0.3">
      <c r="A83" s="48" t="s">
        <v>230</v>
      </c>
      <c r="B83" s="13" t="s">
        <v>34</v>
      </c>
      <c r="C83" s="13" t="s">
        <v>546</v>
      </c>
      <c r="D83" s="13" t="s">
        <v>555</v>
      </c>
      <c r="E83" s="13" t="s">
        <v>555</v>
      </c>
      <c r="F83" s="13" t="s">
        <v>25</v>
      </c>
      <c r="G83" s="13" t="s">
        <v>27</v>
      </c>
      <c r="H83" s="14">
        <v>24</v>
      </c>
      <c r="I83" s="15">
        <v>11.4</v>
      </c>
      <c r="J83" s="16">
        <f t="shared" si="15"/>
        <v>273.60000000000002</v>
      </c>
      <c r="K83" s="17">
        <v>46125</v>
      </c>
      <c r="L83" s="10">
        <v>4928</v>
      </c>
      <c r="M83" s="18">
        <f t="shared" si="16"/>
        <v>24</v>
      </c>
      <c r="N83" s="19">
        <f t="shared" si="17"/>
        <v>4904</v>
      </c>
      <c r="O83" s="10" t="str">
        <f t="shared" si="18"/>
        <v>INCOMPLETE</v>
      </c>
      <c r="P83" s="10"/>
      <c r="Q83" s="10" t="str">
        <f t="shared" si="19"/>
        <v>OK</v>
      </c>
    </row>
    <row r="84" spans="1:17" x14ac:dyDescent="0.3">
      <c r="A84" s="48" t="s">
        <v>230</v>
      </c>
      <c r="B84" s="13" t="s">
        <v>34</v>
      </c>
      <c r="C84" s="13" t="s">
        <v>546</v>
      </c>
      <c r="D84" s="13" t="s">
        <v>562</v>
      </c>
      <c r="E84" s="13" t="s">
        <v>562</v>
      </c>
      <c r="F84" s="13" t="s">
        <v>25</v>
      </c>
      <c r="G84" s="13" t="s">
        <v>27</v>
      </c>
      <c r="H84" s="14">
        <v>31</v>
      </c>
      <c r="I84" s="15">
        <v>11.4</v>
      </c>
      <c r="J84" s="16">
        <f t="shared" si="15"/>
        <v>353.40000000000003</v>
      </c>
      <c r="K84" s="17">
        <v>46127</v>
      </c>
      <c r="L84" s="10">
        <v>4904</v>
      </c>
      <c r="M84" s="18">
        <f t="shared" si="16"/>
        <v>31</v>
      </c>
      <c r="N84" s="19">
        <f t="shared" si="17"/>
        <v>4873</v>
      </c>
      <c r="O84" s="10" t="str">
        <f t="shared" si="18"/>
        <v>INCOMPLETE</v>
      </c>
      <c r="P84" s="10"/>
      <c r="Q84" s="10" t="str">
        <f t="shared" si="19"/>
        <v>OK</v>
      </c>
    </row>
    <row r="85" spans="1:17" x14ac:dyDescent="0.3">
      <c r="A85" s="48" t="s">
        <v>230</v>
      </c>
      <c r="B85" s="13" t="s">
        <v>34</v>
      </c>
      <c r="C85" s="13" t="s">
        <v>546</v>
      </c>
      <c r="D85" s="13" t="s">
        <v>576</v>
      </c>
      <c r="E85" s="13" t="s">
        <v>576</v>
      </c>
      <c r="F85" s="13" t="s">
        <v>25</v>
      </c>
      <c r="G85" s="13" t="s">
        <v>27</v>
      </c>
      <c r="H85" s="14">
        <v>24</v>
      </c>
      <c r="I85" s="15">
        <v>11.4</v>
      </c>
      <c r="J85" s="16">
        <f t="shared" si="15"/>
        <v>273.60000000000002</v>
      </c>
      <c r="K85" s="17">
        <v>46132</v>
      </c>
      <c r="L85" s="10">
        <v>4873</v>
      </c>
      <c r="M85" s="18">
        <f t="shared" si="16"/>
        <v>24</v>
      </c>
      <c r="N85" s="19">
        <f t="shared" si="17"/>
        <v>4849</v>
      </c>
      <c r="O85" s="10" t="str">
        <f t="shared" si="18"/>
        <v>INCOMPLETE</v>
      </c>
      <c r="P85" s="10"/>
      <c r="Q85" s="10" t="str">
        <f t="shared" si="19"/>
        <v>OK</v>
      </c>
    </row>
    <row r="86" spans="1:17" x14ac:dyDescent="0.3">
      <c r="A86" s="48" t="s">
        <v>230</v>
      </c>
      <c r="B86" s="13" t="s">
        <v>34</v>
      </c>
      <c r="C86" s="13" t="s">
        <v>546</v>
      </c>
      <c r="D86" s="13" t="s">
        <v>583</v>
      </c>
      <c r="E86" s="13" t="s">
        <v>583</v>
      </c>
      <c r="F86" s="13" t="s">
        <v>25</v>
      </c>
      <c r="G86" s="13" t="s">
        <v>27</v>
      </c>
      <c r="H86" s="14">
        <v>24</v>
      </c>
      <c r="I86" s="15">
        <v>11.4</v>
      </c>
      <c r="J86" s="16">
        <f t="shared" si="15"/>
        <v>273.60000000000002</v>
      </c>
      <c r="K86" s="17">
        <v>46134</v>
      </c>
      <c r="L86" s="10">
        <v>4849</v>
      </c>
      <c r="M86" s="18">
        <f t="shared" si="16"/>
        <v>24</v>
      </c>
      <c r="N86" s="19">
        <f t="shared" si="17"/>
        <v>4825</v>
      </c>
      <c r="O86" s="10" t="str">
        <f t="shared" si="18"/>
        <v>INCOMPLETE</v>
      </c>
      <c r="P86" s="10"/>
      <c r="Q86" s="10" t="str">
        <f t="shared" si="19"/>
        <v>OK</v>
      </c>
    </row>
    <row r="87" spans="1:17" x14ac:dyDescent="0.3">
      <c r="A87" s="44">
        <v>34</v>
      </c>
      <c r="B87" s="13" t="s">
        <v>19</v>
      </c>
      <c r="C87" s="13" t="s">
        <v>621</v>
      </c>
      <c r="D87" s="13" t="s">
        <v>207</v>
      </c>
      <c r="E87" s="13" t="s">
        <v>207</v>
      </c>
      <c r="F87" s="13" t="s">
        <v>25</v>
      </c>
      <c r="G87" s="13" t="s">
        <v>27</v>
      </c>
      <c r="H87" s="14">
        <v>18</v>
      </c>
      <c r="I87" s="15">
        <v>12</v>
      </c>
      <c r="J87" s="16">
        <f t="shared" si="15"/>
        <v>216</v>
      </c>
      <c r="K87" s="17">
        <v>46148</v>
      </c>
      <c r="L87" s="10">
        <v>24</v>
      </c>
      <c r="M87" s="18">
        <f t="shared" ref="M87:M90" si="20">H87</f>
        <v>18</v>
      </c>
      <c r="N87" s="19">
        <f t="shared" ref="N87:N90" si="21">L87-M87</f>
        <v>6</v>
      </c>
      <c r="O87" s="10" t="str">
        <f t="shared" si="18"/>
        <v>INCOMPLETE</v>
      </c>
      <c r="P87" s="10"/>
      <c r="Q87" s="10" t="str">
        <f t="shared" si="19"/>
        <v>OK</v>
      </c>
    </row>
    <row r="88" spans="1:17" x14ac:dyDescent="0.3">
      <c r="A88" s="44">
        <v>34</v>
      </c>
      <c r="B88" s="13" t="s">
        <v>19</v>
      </c>
      <c r="C88" s="13" t="s">
        <v>621</v>
      </c>
      <c r="D88" s="13" t="s">
        <v>207</v>
      </c>
      <c r="E88" s="13" t="s">
        <v>207</v>
      </c>
      <c r="F88" s="13" t="s">
        <v>24</v>
      </c>
      <c r="G88" s="13" t="s">
        <v>26</v>
      </c>
      <c r="H88" s="14">
        <v>12</v>
      </c>
      <c r="I88" s="15">
        <v>6</v>
      </c>
      <c r="J88" s="16">
        <f t="shared" si="15"/>
        <v>72</v>
      </c>
      <c r="K88" s="17">
        <v>46148</v>
      </c>
      <c r="L88" s="10">
        <v>12</v>
      </c>
      <c r="M88" s="18">
        <f t="shared" si="20"/>
        <v>12</v>
      </c>
      <c r="N88" s="19">
        <f t="shared" si="21"/>
        <v>0</v>
      </c>
      <c r="O88" s="10" t="str">
        <f t="shared" si="18"/>
        <v>COMPLETE</v>
      </c>
      <c r="P88" s="10"/>
      <c r="Q88" s="10" t="str">
        <f t="shared" si="19"/>
        <v>OK</v>
      </c>
    </row>
    <row r="89" spans="1:17" x14ac:dyDescent="0.3">
      <c r="A89" s="50">
        <v>35</v>
      </c>
      <c r="B89" s="13" t="s">
        <v>73</v>
      </c>
      <c r="C89" s="13" t="s">
        <v>646</v>
      </c>
      <c r="D89" s="13" t="s">
        <v>325</v>
      </c>
      <c r="E89" s="13" t="s">
        <v>325</v>
      </c>
      <c r="F89" s="13" t="s">
        <v>75</v>
      </c>
      <c r="G89" s="13" t="s">
        <v>76</v>
      </c>
      <c r="H89" s="14">
        <v>96</v>
      </c>
      <c r="I89" s="15">
        <v>16</v>
      </c>
      <c r="J89" s="16">
        <f t="shared" si="15"/>
        <v>1536</v>
      </c>
      <c r="K89" s="17">
        <v>46153</v>
      </c>
      <c r="L89" s="10">
        <v>96</v>
      </c>
      <c r="M89" s="18">
        <f t="shared" si="20"/>
        <v>96</v>
      </c>
      <c r="N89" s="19">
        <f t="shared" si="21"/>
        <v>0</v>
      </c>
      <c r="O89" s="10" t="str">
        <f t="shared" si="18"/>
        <v>COMPLETE</v>
      </c>
      <c r="P89" s="10"/>
      <c r="Q89" s="10" t="str">
        <f t="shared" si="19"/>
        <v>OK</v>
      </c>
    </row>
    <row r="90" spans="1:17" x14ac:dyDescent="0.3">
      <c r="A90" s="50">
        <v>35</v>
      </c>
      <c r="B90" s="13" t="s">
        <v>73</v>
      </c>
      <c r="C90" s="13" t="s">
        <v>646</v>
      </c>
      <c r="D90" s="13" t="s">
        <v>325</v>
      </c>
      <c r="E90" s="13" t="s">
        <v>325</v>
      </c>
      <c r="F90" s="13" t="s">
        <v>25</v>
      </c>
      <c r="G90" s="13" t="s">
        <v>27</v>
      </c>
      <c r="H90" s="14">
        <v>10</v>
      </c>
      <c r="I90" s="15">
        <v>12</v>
      </c>
      <c r="J90" s="16">
        <f t="shared" si="15"/>
        <v>120</v>
      </c>
      <c r="K90" s="17">
        <v>46153</v>
      </c>
      <c r="L90" s="10">
        <v>10</v>
      </c>
      <c r="M90" s="18">
        <f t="shared" si="20"/>
        <v>10</v>
      </c>
      <c r="N90" s="19">
        <f t="shared" si="21"/>
        <v>0</v>
      </c>
      <c r="O90" s="10" t="str">
        <f t="shared" si="18"/>
        <v>COMPLETE</v>
      </c>
      <c r="P90" s="10"/>
      <c r="Q90" s="10" t="str">
        <f t="shared" si="19"/>
        <v>OK</v>
      </c>
    </row>
    <row r="91" spans="1:17" x14ac:dyDescent="0.3">
      <c r="A91" s="10">
        <v>36</v>
      </c>
      <c r="B91" s="13" t="s">
        <v>328</v>
      </c>
      <c r="C91" s="13" t="s">
        <v>649</v>
      </c>
      <c r="D91" s="13" t="s">
        <v>39</v>
      </c>
      <c r="E91" s="13" t="s">
        <v>39</v>
      </c>
      <c r="F91" s="13" t="s">
        <v>75</v>
      </c>
      <c r="G91" s="13" t="s">
        <v>76</v>
      </c>
      <c r="H91" s="14">
        <v>30</v>
      </c>
      <c r="I91" s="15">
        <v>14</v>
      </c>
      <c r="J91" s="16">
        <f t="shared" si="15"/>
        <v>420</v>
      </c>
      <c r="K91" s="17">
        <v>46153</v>
      </c>
      <c r="L91" s="10">
        <v>30</v>
      </c>
      <c r="M91" s="18">
        <f t="shared" si="16"/>
        <v>30</v>
      </c>
      <c r="N91" s="19">
        <f t="shared" si="17"/>
        <v>0</v>
      </c>
      <c r="O91" s="10" t="str">
        <f t="shared" si="18"/>
        <v>COMPLETE</v>
      </c>
      <c r="P91" s="10"/>
      <c r="Q91" s="10" t="str">
        <f t="shared" si="19"/>
        <v>OK</v>
      </c>
    </row>
    <row r="92" spans="1:17" x14ac:dyDescent="0.3">
      <c r="A92" s="10">
        <v>37</v>
      </c>
      <c r="B92" s="13" t="s">
        <v>73</v>
      </c>
      <c r="C92" s="13" t="s">
        <v>653</v>
      </c>
      <c r="D92" s="13" t="s">
        <v>343</v>
      </c>
      <c r="E92" s="13" t="s">
        <v>343</v>
      </c>
      <c r="F92" s="13" t="s">
        <v>136</v>
      </c>
      <c r="G92" s="13" t="s">
        <v>138</v>
      </c>
      <c r="H92" s="14">
        <v>150</v>
      </c>
      <c r="I92" s="15">
        <v>7.5</v>
      </c>
      <c r="J92" s="16">
        <f t="shared" si="15"/>
        <v>1125</v>
      </c>
      <c r="K92" s="17">
        <v>46156</v>
      </c>
      <c r="L92" s="10">
        <v>150</v>
      </c>
      <c r="M92" s="18">
        <f t="shared" si="16"/>
        <v>150</v>
      </c>
      <c r="N92" s="19">
        <f t="shared" si="17"/>
        <v>0</v>
      </c>
      <c r="O92" s="10" t="str">
        <f t="shared" si="18"/>
        <v>COMPLETE</v>
      </c>
      <c r="P92" s="10"/>
      <c r="Q92" s="10" t="str">
        <f t="shared" si="19"/>
        <v>OK</v>
      </c>
    </row>
    <row r="93" spans="1:17" x14ac:dyDescent="0.3">
      <c r="A93" s="10">
        <v>38</v>
      </c>
      <c r="B93" s="13" t="s">
        <v>73</v>
      </c>
      <c r="C93" s="13" t="s">
        <v>696</v>
      </c>
      <c r="D93" s="13" t="s">
        <v>382</v>
      </c>
      <c r="E93" s="13" t="s">
        <v>382</v>
      </c>
      <c r="F93" s="13" t="s">
        <v>24</v>
      </c>
      <c r="G93" s="13" t="s">
        <v>26</v>
      </c>
      <c r="H93" s="14">
        <v>50</v>
      </c>
      <c r="I93" s="15">
        <v>7</v>
      </c>
      <c r="J93" s="16">
        <f t="shared" si="15"/>
        <v>350</v>
      </c>
      <c r="K93" s="17">
        <v>46176</v>
      </c>
      <c r="L93" s="10">
        <v>100</v>
      </c>
      <c r="M93" s="18">
        <f t="shared" si="16"/>
        <v>50</v>
      </c>
      <c r="N93" s="19">
        <f t="shared" si="17"/>
        <v>50</v>
      </c>
      <c r="O93" s="10" t="str">
        <f t="shared" si="18"/>
        <v>INCOMPLETE</v>
      </c>
      <c r="P93" s="10"/>
      <c r="Q93" s="10" t="str">
        <f t="shared" si="19"/>
        <v>OK</v>
      </c>
    </row>
    <row r="94" spans="1:17" x14ac:dyDescent="0.3">
      <c r="A94" s="10">
        <v>39</v>
      </c>
      <c r="B94" s="13" t="s">
        <v>218</v>
      </c>
      <c r="C94" s="13" t="s">
        <v>698</v>
      </c>
      <c r="D94" s="13" t="s">
        <v>343</v>
      </c>
      <c r="E94" s="13" t="s">
        <v>343</v>
      </c>
      <c r="F94" s="13" t="s">
        <v>75</v>
      </c>
      <c r="G94" s="13" t="s">
        <v>76</v>
      </c>
      <c r="H94" s="14">
        <v>200</v>
      </c>
      <c r="I94" s="15">
        <v>14.5</v>
      </c>
      <c r="J94" s="16">
        <f t="shared" si="15"/>
        <v>2900</v>
      </c>
      <c r="K94" s="17">
        <v>46176</v>
      </c>
      <c r="L94" s="10">
        <v>200</v>
      </c>
      <c r="M94" s="18">
        <f t="shared" si="16"/>
        <v>200</v>
      </c>
      <c r="N94" s="19">
        <f t="shared" si="17"/>
        <v>0</v>
      </c>
      <c r="O94" s="10" t="str">
        <f t="shared" si="18"/>
        <v>COMPLETE</v>
      </c>
      <c r="P94" s="10"/>
      <c r="Q94" s="10" t="str">
        <f t="shared" si="19"/>
        <v>OK</v>
      </c>
    </row>
  </sheetData>
  <conditionalFormatting sqref="C1:C1048576">
    <cfRule type="duplicateValues" dxfId="60" priority="1"/>
  </conditionalFormatting>
  <conditionalFormatting sqref="C15:C16">
    <cfRule type="duplicateValues" dxfId="59" priority="2"/>
  </conditionalFormatting>
  <conditionalFormatting sqref="L32">
    <cfRule type="duplicateValues" dxfId="58" priority="3"/>
  </conditionalFormatting>
  <pageMargins left="0.7" right="0.7" top="0.75" bottom="0.75" header="0.3" footer="0.3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5D4EF93-5F59-4712-9FC6-19CDC91F77E6}">
          <x14:formula1>
            <xm:f>DDL!$D$2:$D$112</xm:f>
          </x14:formula1>
          <xm:sqref>B2:B94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1DECD-E524-4E9B-A59E-285BC46A23B8}">
  <sheetPr codeName="Sheet15"/>
  <dimension ref="A1:Q6"/>
  <sheetViews>
    <sheetView workbookViewId="0">
      <pane ySplit="1" topLeftCell="A2" activePane="bottomLeft" state="frozen"/>
      <selection pane="bottomLeft" activeCell="D6" sqref="A2:Q6"/>
    </sheetView>
  </sheetViews>
  <sheetFormatPr defaultColWidth="9.109375" defaultRowHeight="13.8" x14ac:dyDescent="0.3"/>
  <cols>
    <col min="1" max="1" width="7.5546875" style="2" bestFit="1" customWidth="1"/>
    <col min="2" max="2" width="16.44140625" style="3" bestFit="1" customWidth="1"/>
    <col min="3" max="3" width="10.109375" style="3" bestFit="1" customWidth="1"/>
    <col min="4" max="4" width="6.109375" style="3" bestFit="1" customWidth="1"/>
    <col min="5" max="5" width="5.6640625" style="3" bestFit="1" customWidth="1"/>
    <col min="6" max="6" width="12.109375" style="3" bestFit="1" customWidth="1"/>
    <col min="7" max="7" width="28" style="3" bestFit="1" customWidth="1"/>
    <col min="8" max="8" width="9.109375" style="4" bestFit="1" customWidth="1"/>
    <col min="9" max="9" width="14.33203125" style="5" bestFit="1" customWidth="1"/>
    <col min="10" max="10" width="18.44140625" style="8" bestFit="1" customWidth="1"/>
    <col min="11" max="11" width="9.5546875" style="6" bestFit="1" customWidth="1"/>
    <col min="12" max="12" width="16.44140625" style="7" bestFit="1" customWidth="1"/>
    <col min="13" max="13" width="17.88671875" style="7" bestFit="1" customWidth="1"/>
    <col min="14" max="14" width="12.6640625" style="7" bestFit="1" customWidth="1"/>
    <col min="15" max="15" width="11.33203125" style="7" bestFit="1" customWidth="1"/>
    <col min="16" max="16" width="54.88671875" style="7" bestFit="1" customWidth="1"/>
    <col min="17" max="17" width="14.6640625" style="7" bestFit="1" customWidth="1"/>
    <col min="18" max="16384" width="9.109375" style="1"/>
  </cols>
  <sheetData>
    <row r="1" spans="1:17" s="97" customFormat="1" x14ac:dyDescent="0.3">
      <c r="A1" s="94" t="s">
        <v>0</v>
      </c>
      <c r="B1" s="96" t="s">
        <v>3</v>
      </c>
      <c r="C1" s="96" t="s">
        <v>2</v>
      </c>
      <c r="D1" s="96" t="s">
        <v>5</v>
      </c>
      <c r="E1" s="96" t="s">
        <v>4</v>
      </c>
      <c r="F1" s="96" t="s">
        <v>6</v>
      </c>
      <c r="G1" s="96" t="s">
        <v>9</v>
      </c>
      <c r="H1" s="79" t="s">
        <v>1</v>
      </c>
      <c r="I1" s="80" t="s">
        <v>7</v>
      </c>
      <c r="J1" s="81" t="s">
        <v>8</v>
      </c>
      <c r="K1" s="82" t="s">
        <v>10</v>
      </c>
      <c r="L1" s="78" t="s">
        <v>17</v>
      </c>
      <c r="M1" s="78" t="s">
        <v>11</v>
      </c>
      <c r="N1" s="83" t="s">
        <v>12</v>
      </c>
      <c r="O1" s="84" t="s">
        <v>13</v>
      </c>
      <c r="P1" s="85" t="s">
        <v>699</v>
      </c>
      <c r="Q1" s="86" t="s">
        <v>700</v>
      </c>
    </row>
    <row r="2" spans="1:17" x14ac:dyDescent="0.3">
      <c r="A2" s="73" t="s">
        <v>16</v>
      </c>
      <c r="B2" s="13" t="s">
        <v>73</v>
      </c>
      <c r="C2" s="13" t="s">
        <v>195</v>
      </c>
      <c r="D2" s="13" t="s">
        <v>98</v>
      </c>
      <c r="E2" s="13" t="s">
        <v>98</v>
      </c>
      <c r="F2" s="13" t="s">
        <v>196</v>
      </c>
      <c r="G2" s="13" t="s">
        <v>197</v>
      </c>
      <c r="H2" s="14">
        <v>600</v>
      </c>
      <c r="I2" s="15">
        <v>1.5</v>
      </c>
      <c r="J2" s="16">
        <f>H2*I2</f>
        <v>900</v>
      </c>
      <c r="K2" s="17">
        <v>46048</v>
      </c>
      <c r="L2" s="10">
        <v>600</v>
      </c>
      <c r="M2" s="18">
        <f>H2</f>
        <v>600</v>
      </c>
      <c r="N2" s="19">
        <f>L2-M2</f>
        <v>0</v>
      </c>
      <c r="O2" s="10" t="str">
        <f t="shared" ref="O2:O6" si="0">IF(N2=0,"COMPLETE","INCOMPLETE")</f>
        <v>COMPLETE</v>
      </c>
      <c r="P2" s="12" t="s">
        <v>701</v>
      </c>
      <c r="Q2" s="10" t="str">
        <f>IF(M2=H2,"OK","X")</f>
        <v>OK</v>
      </c>
    </row>
    <row r="3" spans="1:17" x14ac:dyDescent="0.3">
      <c r="A3" s="73" t="s">
        <v>18</v>
      </c>
      <c r="B3" s="13" t="s">
        <v>73</v>
      </c>
      <c r="C3" s="13" t="s">
        <v>308</v>
      </c>
      <c r="D3" s="13" t="s">
        <v>189</v>
      </c>
      <c r="E3" s="13" t="s">
        <v>189</v>
      </c>
      <c r="F3" s="13" t="s">
        <v>309</v>
      </c>
      <c r="G3" s="13" t="s">
        <v>310</v>
      </c>
      <c r="H3" s="14">
        <v>500</v>
      </c>
      <c r="I3" s="15">
        <v>1.4</v>
      </c>
      <c r="J3" s="16">
        <f>H3*I3</f>
        <v>700</v>
      </c>
      <c r="K3" s="17">
        <v>46066</v>
      </c>
      <c r="L3" s="10">
        <v>500</v>
      </c>
      <c r="M3" s="18">
        <f t="shared" ref="M3:M6" si="1">H3</f>
        <v>500</v>
      </c>
      <c r="N3" s="19">
        <f t="shared" ref="N3:N6" si="2">L3-M3</f>
        <v>0</v>
      </c>
      <c r="O3" s="10" t="str">
        <f t="shared" si="0"/>
        <v>COMPLETE</v>
      </c>
      <c r="P3" s="10"/>
      <c r="Q3" s="10" t="str">
        <f t="shared" ref="Q3:Q6" si="3">IF(M3=H3,"OK","X")</f>
        <v>OK</v>
      </c>
    </row>
    <row r="4" spans="1:17" x14ac:dyDescent="0.3">
      <c r="A4" s="147" t="s">
        <v>38</v>
      </c>
      <c r="B4" s="13" t="s">
        <v>73</v>
      </c>
      <c r="C4" s="13" t="s">
        <v>569</v>
      </c>
      <c r="D4" s="13" t="s">
        <v>286</v>
      </c>
      <c r="E4" s="13" t="s">
        <v>286</v>
      </c>
      <c r="F4" s="13" t="s">
        <v>309</v>
      </c>
      <c r="G4" s="13" t="s">
        <v>310</v>
      </c>
      <c r="H4" s="14">
        <v>500</v>
      </c>
      <c r="I4" s="15">
        <v>1.4</v>
      </c>
      <c r="J4" s="16">
        <f t="shared" ref="J4:J6" si="4">H4*I4</f>
        <v>700</v>
      </c>
      <c r="K4" s="17">
        <v>46129</v>
      </c>
      <c r="L4" s="10">
        <v>500</v>
      </c>
      <c r="M4" s="18">
        <f t="shared" si="1"/>
        <v>500</v>
      </c>
      <c r="N4" s="19">
        <f t="shared" si="2"/>
        <v>0</v>
      </c>
      <c r="O4" s="10" t="str">
        <f t="shared" si="0"/>
        <v>COMPLETE</v>
      </c>
      <c r="P4" s="10"/>
      <c r="Q4" s="10" t="str">
        <f t="shared" si="3"/>
        <v>OK</v>
      </c>
    </row>
    <row r="5" spans="1:17" x14ac:dyDescent="0.3">
      <c r="A5" s="147" t="s">
        <v>38</v>
      </c>
      <c r="B5" s="13" t="s">
        <v>73</v>
      </c>
      <c r="C5" s="13" t="s">
        <v>569</v>
      </c>
      <c r="D5" s="13" t="s">
        <v>286</v>
      </c>
      <c r="E5" s="13" t="s">
        <v>286</v>
      </c>
      <c r="F5" s="13" t="s">
        <v>196</v>
      </c>
      <c r="G5" s="13" t="s">
        <v>197</v>
      </c>
      <c r="H5" s="14">
        <v>600</v>
      </c>
      <c r="I5" s="15">
        <v>1.5</v>
      </c>
      <c r="J5" s="16">
        <f t="shared" si="4"/>
        <v>900</v>
      </c>
      <c r="K5" s="17">
        <v>46129</v>
      </c>
      <c r="L5" s="10">
        <v>600</v>
      </c>
      <c r="M5" s="18">
        <f t="shared" si="1"/>
        <v>600</v>
      </c>
      <c r="N5" s="19">
        <f t="shared" si="2"/>
        <v>0</v>
      </c>
      <c r="O5" s="10" t="str">
        <f t="shared" si="0"/>
        <v>COMPLETE</v>
      </c>
      <c r="P5" s="12" t="s">
        <v>701</v>
      </c>
      <c r="Q5" s="10" t="str">
        <f t="shared" si="3"/>
        <v>OK</v>
      </c>
    </row>
    <row r="6" spans="1:17" x14ac:dyDescent="0.3">
      <c r="A6" s="147" t="s">
        <v>38</v>
      </c>
      <c r="B6" s="13" t="s">
        <v>73</v>
      </c>
      <c r="C6" s="13" t="s">
        <v>569</v>
      </c>
      <c r="D6" s="13" t="s">
        <v>286</v>
      </c>
      <c r="E6" s="13" t="s">
        <v>286</v>
      </c>
      <c r="F6" s="13" t="s">
        <v>570</v>
      </c>
      <c r="G6" s="13" t="s">
        <v>571</v>
      </c>
      <c r="H6" s="14">
        <v>600</v>
      </c>
      <c r="I6" s="15">
        <v>1.7</v>
      </c>
      <c r="J6" s="16">
        <f t="shared" si="4"/>
        <v>1020</v>
      </c>
      <c r="K6" s="17">
        <v>46129</v>
      </c>
      <c r="L6" s="10">
        <v>600</v>
      </c>
      <c r="M6" s="18">
        <f t="shared" si="1"/>
        <v>600</v>
      </c>
      <c r="N6" s="19">
        <f t="shared" si="2"/>
        <v>0</v>
      </c>
      <c r="O6" s="10" t="str">
        <f t="shared" si="0"/>
        <v>COMPLETE</v>
      </c>
      <c r="P6" s="12" t="s">
        <v>702</v>
      </c>
      <c r="Q6" s="10" t="str">
        <f t="shared" si="3"/>
        <v>OK</v>
      </c>
    </row>
  </sheetData>
  <conditionalFormatting sqref="C1 C3:C1048576">
    <cfRule type="duplicateValues" dxfId="57" priority="2"/>
  </conditionalFormatting>
  <conditionalFormatting sqref="C2">
    <cfRule type="duplicateValues" dxfId="56" priority="1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5F7272-41AE-422B-BC3E-DB7A0E75C4F8}">
          <x14:formula1>
            <xm:f>DDL!$D$2:$D$112</xm:f>
          </x14:formula1>
          <xm:sqref>B2:B6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654A-E3FE-4C4E-B8B3-13AE922C3D77}">
  <sheetPr codeName="Sheet17"/>
  <dimension ref="A1:Q6"/>
  <sheetViews>
    <sheetView workbookViewId="0">
      <pane ySplit="1" topLeftCell="A2" activePane="bottomLeft" state="frozen"/>
      <selection pane="bottomLeft" activeCell="D9" sqref="D9"/>
    </sheetView>
  </sheetViews>
  <sheetFormatPr defaultColWidth="9.109375" defaultRowHeight="13.8" x14ac:dyDescent="0.3"/>
  <cols>
    <col min="1" max="1" width="7.5546875" style="2" bestFit="1" customWidth="1"/>
    <col min="2" max="2" width="18.6640625" style="3" bestFit="1" customWidth="1"/>
    <col min="3" max="3" width="12.33203125" style="3" bestFit="1" customWidth="1"/>
    <col min="4" max="4" width="8.33203125" style="3" bestFit="1" customWidth="1"/>
    <col min="5" max="5" width="7.88671875" style="3" bestFit="1" customWidth="1"/>
    <col min="6" max="6" width="14.33203125" style="3" bestFit="1" customWidth="1"/>
    <col min="7" max="7" width="28" style="3" bestFit="1" customWidth="1"/>
    <col min="8" max="8" width="9.109375" style="4" bestFit="1" customWidth="1"/>
    <col min="9" max="9" width="14.33203125" style="5" bestFit="1" customWidth="1"/>
    <col min="10" max="10" width="18.44140625" style="8" bestFit="1" customWidth="1"/>
    <col min="11" max="11" width="9.5546875" style="6" bestFit="1" customWidth="1"/>
    <col min="12" max="12" width="16.44140625" style="7" bestFit="1" customWidth="1"/>
    <col min="13" max="13" width="17.88671875" style="7" bestFit="1" customWidth="1"/>
    <col min="14" max="14" width="12.6640625" style="7" bestFit="1" customWidth="1"/>
    <col min="15" max="15" width="11.33203125" style="7" bestFit="1" customWidth="1"/>
    <col min="16" max="16" width="14.6640625" style="7" bestFit="1" customWidth="1"/>
    <col min="17" max="17" width="14.6640625" style="1" bestFit="1" customWidth="1"/>
    <col min="18" max="16384" width="9.109375" style="1"/>
  </cols>
  <sheetData>
    <row r="1" spans="1:17" s="86" customFormat="1" x14ac:dyDescent="0.3">
      <c r="A1" s="106" t="s">
        <v>0</v>
      </c>
      <c r="B1" s="111" t="s">
        <v>3</v>
      </c>
      <c r="C1" s="111" t="s">
        <v>2</v>
      </c>
      <c r="D1" s="111" t="s">
        <v>5</v>
      </c>
      <c r="E1" s="111" t="s">
        <v>4</v>
      </c>
      <c r="F1" s="111" t="s">
        <v>6</v>
      </c>
      <c r="G1" s="111" t="s">
        <v>9</v>
      </c>
      <c r="H1" s="107" t="s">
        <v>1</v>
      </c>
      <c r="I1" s="108" t="s">
        <v>7</v>
      </c>
      <c r="J1" s="109" t="s">
        <v>8</v>
      </c>
      <c r="K1" s="110" t="s">
        <v>10</v>
      </c>
      <c r="L1" s="111" t="s">
        <v>17</v>
      </c>
      <c r="M1" s="111" t="s">
        <v>11</v>
      </c>
      <c r="N1" s="112" t="s">
        <v>12</v>
      </c>
      <c r="O1" s="113" t="s">
        <v>13</v>
      </c>
      <c r="P1" s="113" t="s">
        <v>699</v>
      </c>
      <c r="Q1" s="120" t="s">
        <v>700</v>
      </c>
    </row>
    <row r="2" spans="1:17" x14ac:dyDescent="0.3">
      <c r="A2" s="114" t="s">
        <v>16</v>
      </c>
      <c r="B2" s="13" t="s">
        <v>81</v>
      </c>
      <c r="C2" s="13" t="s">
        <v>82</v>
      </c>
      <c r="D2" s="13" t="s">
        <v>21</v>
      </c>
      <c r="E2" s="13" t="s">
        <v>21</v>
      </c>
      <c r="F2" s="13" t="s">
        <v>83</v>
      </c>
      <c r="G2" s="13" t="s">
        <v>84</v>
      </c>
      <c r="H2" s="14">
        <v>273</v>
      </c>
      <c r="I2" s="15">
        <v>2.4750000000000001</v>
      </c>
      <c r="J2" s="16">
        <f>H2*I2</f>
        <v>675.67500000000007</v>
      </c>
      <c r="K2" s="17">
        <v>46028</v>
      </c>
      <c r="L2" s="10">
        <v>400</v>
      </c>
      <c r="M2" s="18">
        <f>H2</f>
        <v>273</v>
      </c>
      <c r="N2" s="19">
        <f>L2-M2</f>
        <v>127</v>
      </c>
      <c r="O2" s="10" t="str">
        <f t="shared" ref="O2:O6" si="0">IF(N2=0,"COMPLETE","INCOMPLETE")</f>
        <v>INCOMPLETE</v>
      </c>
      <c r="P2" s="10"/>
      <c r="Q2" s="115" t="str">
        <f>IF(M2=H2,"OK","X")</f>
        <v>OK</v>
      </c>
    </row>
    <row r="3" spans="1:17" x14ac:dyDescent="0.3">
      <c r="A3" s="116" t="s">
        <v>18</v>
      </c>
      <c r="B3" s="13" t="s">
        <v>102</v>
      </c>
      <c r="C3" s="13" t="s">
        <v>623</v>
      </c>
      <c r="D3" s="13" t="s">
        <v>134</v>
      </c>
      <c r="E3" s="13" t="s">
        <v>134</v>
      </c>
      <c r="F3" s="13" t="s">
        <v>624</v>
      </c>
      <c r="G3" s="13" t="s">
        <v>626</v>
      </c>
      <c r="H3" s="14">
        <v>50</v>
      </c>
      <c r="I3" s="15">
        <v>4</v>
      </c>
      <c r="J3" s="16">
        <f>H3*I3</f>
        <v>200</v>
      </c>
      <c r="K3" s="17">
        <v>46148</v>
      </c>
      <c r="L3" s="10">
        <v>50</v>
      </c>
      <c r="M3" s="18">
        <f t="shared" ref="M3:M6" si="1">H3</f>
        <v>50</v>
      </c>
      <c r="N3" s="19">
        <f t="shared" ref="N3:N6" si="2">L3-M3</f>
        <v>0</v>
      </c>
      <c r="O3" s="10" t="str">
        <f t="shared" si="0"/>
        <v>COMPLETE</v>
      </c>
      <c r="P3" s="10"/>
      <c r="Q3" s="115" t="str">
        <f t="shared" ref="Q3:Q6" si="3">IF(M3=H3,"OK","X")</f>
        <v>OK</v>
      </c>
    </row>
    <row r="4" spans="1:17" x14ac:dyDescent="0.3">
      <c r="A4" s="116" t="s">
        <v>18</v>
      </c>
      <c r="B4" s="13" t="s">
        <v>102</v>
      </c>
      <c r="C4" s="13" t="s">
        <v>623</v>
      </c>
      <c r="D4" s="13" t="s">
        <v>134</v>
      </c>
      <c r="E4" s="13" t="s">
        <v>134</v>
      </c>
      <c r="F4" s="13" t="s">
        <v>625</v>
      </c>
      <c r="G4" s="13" t="s">
        <v>627</v>
      </c>
      <c r="H4" s="14">
        <v>50</v>
      </c>
      <c r="I4" s="15">
        <v>4</v>
      </c>
      <c r="J4" s="16">
        <f t="shared" ref="J4:J6" si="4">H4*I4</f>
        <v>200</v>
      </c>
      <c r="K4" s="17">
        <v>46148</v>
      </c>
      <c r="L4" s="10">
        <v>50</v>
      </c>
      <c r="M4" s="18">
        <f t="shared" si="1"/>
        <v>50</v>
      </c>
      <c r="N4" s="19">
        <f t="shared" si="2"/>
        <v>0</v>
      </c>
      <c r="O4" s="10" t="str">
        <f t="shared" si="0"/>
        <v>COMPLETE</v>
      </c>
      <c r="P4" s="10"/>
      <c r="Q4" s="115" t="str">
        <f t="shared" si="3"/>
        <v>OK</v>
      </c>
    </row>
    <row r="5" spans="1:17" x14ac:dyDescent="0.3">
      <c r="A5" s="117" t="s">
        <v>38</v>
      </c>
      <c r="B5" s="13" t="s">
        <v>102</v>
      </c>
      <c r="C5" s="13" t="s">
        <v>697</v>
      </c>
      <c r="D5" s="13" t="s">
        <v>133</v>
      </c>
      <c r="E5" s="13" t="s">
        <v>133</v>
      </c>
      <c r="F5" s="13" t="s">
        <v>624</v>
      </c>
      <c r="G5" s="13" t="s">
        <v>626</v>
      </c>
      <c r="H5" s="14">
        <v>50</v>
      </c>
      <c r="I5" s="15">
        <v>4</v>
      </c>
      <c r="J5" s="16">
        <f t="shared" si="4"/>
        <v>200</v>
      </c>
      <c r="K5" s="17">
        <v>46176</v>
      </c>
      <c r="L5" s="10">
        <v>50</v>
      </c>
      <c r="M5" s="18">
        <f t="shared" si="1"/>
        <v>50</v>
      </c>
      <c r="N5" s="19">
        <f t="shared" si="2"/>
        <v>0</v>
      </c>
      <c r="O5" s="10" t="str">
        <f t="shared" si="0"/>
        <v>COMPLETE</v>
      </c>
      <c r="P5" s="10"/>
      <c r="Q5" s="115" t="str">
        <f t="shared" si="3"/>
        <v>OK</v>
      </c>
    </row>
    <row r="6" spans="1:17" x14ac:dyDescent="0.3">
      <c r="A6" s="118" t="s">
        <v>38</v>
      </c>
      <c r="B6" s="58" t="s">
        <v>102</v>
      </c>
      <c r="C6" s="58" t="s">
        <v>697</v>
      </c>
      <c r="D6" s="58" t="s">
        <v>133</v>
      </c>
      <c r="E6" s="58" t="s">
        <v>133</v>
      </c>
      <c r="F6" s="58" t="s">
        <v>625</v>
      </c>
      <c r="G6" s="58" t="s">
        <v>627</v>
      </c>
      <c r="H6" s="59">
        <v>50</v>
      </c>
      <c r="I6" s="60">
        <v>4</v>
      </c>
      <c r="J6" s="61">
        <f t="shared" si="4"/>
        <v>200</v>
      </c>
      <c r="K6" s="62">
        <v>46176</v>
      </c>
      <c r="L6" s="21">
        <v>50</v>
      </c>
      <c r="M6" s="63">
        <f t="shared" si="1"/>
        <v>50</v>
      </c>
      <c r="N6" s="64">
        <f t="shared" si="2"/>
        <v>0</v>
      </c>
      <c r="O6" s="21" t="str">
        <f t="shared" si="0"/>
        <v>COMPLETE</v>
      </c>
      <c r="P6" s="21"/>
      <c r="Q6" s="119" t="str">
        <f t="shared" si="3"/>
        <v>OK</v>
      </c>
    </row>
  </sheetData>
  <conditionalFormatting sqref="C1:C1048576">
    <cfRule type="duplicateValues" dxfId="55" priority="1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91ECF4-4718-4C42-8DF1-AFCF8998B495}">
          <x14:formula1>
            <xm:f>DDL!$D$2:$D$112</xm:f>
          </x14:formula1>
          <xm:sqref>B2:B6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6AE1-68DD-4A00-A393-08611D724FF7}">
  <sheetPr codeName="Sheet19"/>
  <dimension ref="A1:Q4"/>
  <sheetViews>
    <sheetView workbookViewId="0">
      <pane ySplit="1" topLeftCell="A2" activePane="bottomLeft" state="frozen"/>
      <selection pane="bottomLeft" activeCell="B4" sqref="B4"/>
    </sheetView>
  </sheetViews>
  <sheetFormatPr defaultColWidth="9.109375" defaultRowHeight="13.8" x14ac:dyDescent="0.3"/>
  <cols>
    <col min="1" max="1" width="5.33203125" style="2" bestFit="1" customWidth="1"/>
    <col min="2" max="2" width="16.44140625" style="3" bestFit="1" customWidth="1"/>
    <col min="3" max="3" width="10.109375" style="3" bestFit="1" customWidth="1"/>
    <col min="4" max="4" width="6.109375" style="3" bestFit="1" customWidth="1"/>
    <col min="5" max="5" width="5.6640625" style="3" bestFit="1" customWidth="1"/>
    <col min="6" max="6" width="12.109375" style="3" bestFit="1" customWidth="1"/>
    <col min="7" max="7" width="21.44140625" style="3" bestFit="1" customWidth="1"/>
    <col min="8" max="8" width="6.88671875" style="4" bestFit="1" customWidth="1"/>
    <col min="9" max="9" width="12.109375" style="5" bestFit="1" customWidth="1"/>
    <col min="10" max="10" width="16.21875" style="8" bestFit="1" customWidth="1"/>
    <col min="11" max="11" width="8.109375" style="6" bestFit="1" customWidth="1"/>
    <col min="12" max="12" width="14.21875" style="7" bestFit="1" customWidth="1"/>
    <col min="13" max="13" width="15.6640625" style="7" bestFit="1" customWidth="1"/>
    <col min="14" max="14" width="10.44140625" style="7" bestFit="1" customWidth="1"/>
    <col min="15" max="15" width="9.109375" style="7" bestFit="1" customWidth="1"/>
    <col min="16" max="16" width="12.44140625" style="7" bestFit="1" customWidth="1"/>
    <col min="17" max="17" width="12.44140625" style="1" bestFit="1" customWidth="1"/>
    <col min="18" max="16384" width="9.109375" style="1"/>
  </cols>
  <sheetData>
    <row r="1" spans="1:17" s="95" customFormat="1" x14ac:dyDescent="0.3">
      <c r="A1" s="121" t="s">
        <v>0</v>
      </c>
      <c r="B1" s="98" t="s">
        <v>3</v>
      </c>
      <c r="C1" s="98" t="s">
        <v>2</v>
      </c>
      <c r="D1" s="98" t="s">
        <v>5</v>
      </c>
      <c r="E1" s="98" t="s">
        <v>4</v>
      </c>
      <c r="F1" s="98" t="s">
        <v>6</v>
      </c>
      <c r="G1" s="98" t="s">
        <v>9</v>
      </c>
      <c r="H1" s="99" t="s">
        <v>1</v>
      </c>
      <c r="I1" s="100" t="s">
        <v>7</v>
      </c>
      <c r="J1" s="101" t="s">
        <v>8</v>
      </c>
      <c r="K1" s="102" t="s">
        <v>10</v>
      </c>
      <c r="L1" s="98" t="s">
        <v>17</v>
      </c>
      <c r="M1" s="98" t="s">
        <v>11</v>
      </c>
      <c r="N1" s="103" t="s">
        <v>12</v>
      </c>
      <c r="O1" s="104" t="s">
        <v>13</v>
      </c>
      <c r="P1" s="105" t="s">
        <v>699</v>
      </c>
      <c r="Q1" s="95" t="s">
        <v>700</v>
      </c>
    </row>
    <row r="2" spans="1:17" x14ac:dyDescent="0.3">
      <c r="A2" s="73" t="s">
        <v>16</v>
      </c>
      <c r="B2" s="13" t="s">
        <v>73</v>
      </c>
      <c r="C2" s="13" t="s">
        <v>393</v>
      </c>
      <c r="D2" s="13" t="s">
        <v>248</v>
      </c>
      <c r="E2" s="13" t="s">
        <v>248</v>
      </c>
      <c r="F2" s="13" t="s">
        <v>394</v>
      </c>
      <c r="G2" s="13" t="s">
        <v>395</v>
      </c>
      <c r="H2" s="14">
        <v>50</v>
      </c>
      <c r="I2" s="15">
        <v>23</v>
      </c>
      <c r="J2" s="16">
        <f>H2*I2</f>
        <v>1150</v>
      </c>
      <c r="K2" s="17">
        <v>46088</v>
      </c>
      <c r="L2" s="10">
        <v>50</v>
      </c>
      <c r="M2" s="18">
        <f>H2</f>
        <v>50</v>
      </c>
      <c r="N2" s="19">
        <f>L2-M2</f>
        <v>0</v>
      </c>
      <c r="O2" s="10" t="str">
        <f t="shared" ref="O2:O4" si="0">IF(N2=0,"COMPLETE","INCOMPLETE")</f>
        <v>COMPLETE</v>
      </c>
      <c r="P2" s="10"/>
      <c r="Q2" s="11" t="str">
        <f>IF(M2=H2,"OK","X")</f>
        <v>OK</v>
      </c>
    </row>
    <row r="3" spans="1:17" x14ac:dyDescent="0.3">
      <c r="A3" s="73" t="s">
        <v>18</v>
      </c>
      <c r="B3" s="13" t="s">
        <v>73</v>
      </c>
      <c r="C3" s="13" t="s">
        <v>569</v>
      </c>
      <c r="D3" s="13" t="s">
        <v>286</v>
      </c>
      <c r="E3" s="13" t="s">
        <v>286</v>
      </c>
      <c r="F3" s="13" t="s">
        <v>394</v>
      </c>
      <c r="G3" s="13" t="s">
        <v>395</v>
      </c>
      <c r="H3" s="14">
        <v>20</v>
      </c>
      <c r="I3" s="15">
        <v>23</v>
      </c>
      <c r="J3" s="16">
        <f>H3*I3</f>
        <v>460</v>
      </c>
      <c r="K3" s="17">
        <v>46129</v>
      </c>
      <c r="L3" s="10">
        <v>20</v>
      </c>
      <c r="M3" s="18">
        <f t="shared" ref="M3:M4" si="1">H3</f>
        <v>20</v>
      </c>
      <c r="N3" s="19">
        <f t="shared" ref="N3:N4" si="2">L3-M3</f>
        <v>0</v>
      </c>
      <c r="O3" s="10" t="str">
        <f t="shared" si="0"/>
        <v>COMPLETE</v>
      </c>
      <c r="P3" s="10"/>
      <c r="Q3" s="11" t="str">
        <f t="shared" ref="Q3:Q4" si="3">IF(M3=H3,"OK","X")</f>
        <v>OK</v>
      </c>
    </row>
    <row r="4" spans="1:17" x14ac:dyDescent="0.3">
      <c r="A4" s="73" t="s">
        <v>38</v>
      </c>
      <c r="B4" s="13" t="s">
        <v>73</v>
      </c>
      <c r="C4" s="13" t="s">
        <v>654</v>
      </c>
      <c r="D4" s="13" t="s">
        <v>353</v>
      </c>
      <c r="E4" s="13" t="s">
        <v>353</v>
      </c>
      <c r="F4" s="13" t="s">
        <v>394</v>
      </c>
      <c r="G4" s="13" t="s">
        <v>395</v>
      </c>
      <c r="H4" s="14">
        <v>50</v>
      </c>
      <c r="I4" s="15">
        <v>23</v>
      </c>
      <c r="J4" s="16">
        <f t="shared" ref="J4" si="4">H4*I4</f>
        <v>1150</v>
      </c>
      <c r="K4" s="17">
        <v>46156</v>
      </c>
      <c r="L4" s="10">
        <v>50</v>
      </c>
      <c r="M4" s="18">
        <f t="shared" si="1"/>
        <v>50</v>
      </c>
      <c r="N4" s="19">
        <f t="shared" si="2"/>
        <v>0</v>
      </c>
      <c r="O4" s="10" t="str">
        <f t="shared" si="0"/>
        <v>COMPLETE</v>
      </c>
      <c r="P4" s="10"/>
      <c r="Q4" s="11" t="str">
        <f t="shared" si="3"/>
        <v>OK</v>
      </c>
    </row>
  </sheetData>
  <conditionalFormatting sqref="C1:C1048576">
    <cfRule type="duplicateValues" dxfId="54" priority="1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DB0880D-1519-4736-ACE3-49150082AE9B}">
          <x14:formula1>
            <xm:f>DDL!$D$2:$D$112</xm:f>
          </x14:formula1>
          <xm:sqref>B2:B4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147E2-9B03-45CE-81F1-BFBA0E0B1A0B}">
  <sheetPr codeName="Sheet21"/>
  <dimension ref="A1:Q8"/>
  <sheetViews>
    <sheetView workbookViewId="0">
      <pane ySplit="1" topLeftCell="A2" activePane="bottomLeft" state="frozen"/>
      <selection pane="bottomLeft" activeCell="B8" sqref="B8"/>
    </sheetView>
  </sheetViews>
  <sheetFormatPr defaultColWidth="9.109375" defaultRowHeight="13.8" x14ac:dyDescent="0.3"/>
  <cols>
    <col min="1" max="1" width="7.5546875" style="122" bestFit="1" customWidth="1"/>
    <col min="2" max="2" width="28.44140625" style="123" bestFit="1" customWidth="1"/>
    <col min="3" max="3" width="15.44140625" style="123" bestFit="1" customWidth="1"/>
    <col min="4" max="4" width="8.33203125" style="123" bestFit="1" customWidth="1"/>
    <col min="5" max="5" width="7.88671875" style="123" bestFit="1" customWidth="1"/>
    <col min="6" max="6" width="14.33203125" style="123" bestFit="1" customWidth="1"/>
    <col min="7" max="7" width="24.5546875" style="123" bestFit="1" customWidth="1"/>
    <col min="8" max="8" width="9.109375" style="124" bestFit="1" customWidth="1"/>
    <col min="9" max="9" width="14.33203125" style="125" bestFit="1" customWidth="1"/>
    <col min="10" max="10" width="18.44140625" style="129" bestFit="1" customWidth="1"/>
    <col min="11" max="11" width="9.5546875" style="126" bestFit="1" customWidth="1"/>
    <col min="12" max="12" width="16.44140625" style="127" bestFit="1" customWidth="1"/>
    <col min="13" max="13" width="17.88671875" style="127" bestFit="1" customWidth="1"/>
    <col min="14" max="14" width="12.6640625" style="127" bestFit="1" customWidth="1"/>
    <col min="15" max="15" width="11.33203125" style="127" bestFit="1" customWidth="1"/>
    <col min="16" max="17" width="14.6640625" style="127" bestFit="1" customWidth="1"/>
    <col min="18" max="16384" width="9.109375" style="128"/>
  </cols>
  <sheetData>
    <row r="1" spans="1:17" s="131" customFormat="1" x14ac:dyDescent="0.3">
      <c r="A1" s="130" t="s">
        <v>0</v>
      </c>
      <c r="B1" s="130" t="s">
        <v>3</v>
      </c>
      <c r="C1" s="145" t="s">
        <v>2</v>
      </c>
      <c r="D1" s="141" t="s">
        <v>5</v>
      </c>
      <c r="E1" s="141" t="s">
        <v>4</v>
      </c>
      <c r="F1" s="141" t="s">
        <v>6</v>
      </c>
      <c r="G1" s="141" t="s">
        <v>9</v>
      </c>
      <c r="H1" s="137" t="s">
        <v>1</v>
      </c>
      <c r="I1" s="138" t="s">
        <v>7</v>
      </c>
      <c r="J1" s="139" t="s">
        <v>8</v>
      </c>
      <c r="K1" s="140" t="s">
        <v>10</v>
      </c>
      <c r="L1" s="141" t="s">
        <v>17</v>
      </c>
      <c r="M1" s="141" t="s">
        <v>11</v>
      </c>
      <c r="N1" s="142" t="s">
        <v>12</v>
      </c>
      <c r="O1" s="143" t="s">
        <v>13</v>
      </c>
      <c r="P1" s="143" t="s">
        <v>699</v>
      </c>
      <c r="Q1" s="144" t="s">
        <v>700</v>
      </c>
    </row>
    <row r="2" spans="1:17" x14ac:dyDescent="0.3">
      <c r="A2" s="73" t="s">
        <v>16</v>
      </c>
      <c r="B2" s="13" t="s">
        <v>86</v>
      </c>
      <c r="C2" s="13" t="s">
        <v>156</v>
      </c>
      <c r="D2" s="13" t="s">
        <v>39</v>
      </c>
      <c r="E2" s="13" t="s">
        <v>39</v>
      </c>
      <c r="F2" s="13" t="s">
        <v>141</v>
      </c>
      <c r="G2" s="13" t="s">
        <v>157</v>
      </c>
      <c r="H2" s="14">
        <v>2</v>
      </c>
      <c r="I2" s="15">
        <v>600</v>
      </c>
      <c r="J2" s="16">
        <f>H2*I2</f>
        <v>1200</v>
      </c>
      <c r="K2" s="17">
        <v>46037</v>
      </c>
      <c r="L2" s="10">
        <v>2</v>
      </c>
      <c r="M2" s="18">
        <f>H2</f>
        <v>2</v>
      </c>
      <c r="N2" s="19">
        <f>L2-M2</f>
        <v>0</v>
      </c>
      <c r="O2" s="10" t="str">
        <f>IF(N2=0,"COMPLETE","INCOMPLETE")</f>
        <v>COMPLETE</v>
      </c>
      <c r="P2" s="10"/>
      <c r="Q2" s="10" t="str">
        <f>IF(M2=H2,"OK","X")</f>
        <v>OK</v>
      </c>
    </row>
    <row r="3" spans="1:17" x14ac:dyDescent="0.3">
      <c r="A3" s="73" t="s">
        <v>18</v>
      </c>
      <c r="B3" s="13" t="s">
        <v>242</v>
      </c>
      <c r="C3" s="13" t="s">
        <v>243</v>
      </c>
      <c r="D3" s="13" t="s">
        <v>21</v>
      </c>
      <c r="E3" s="13" t="s">
        <v>21</v>
      </c>
      <c r="F3" s="13" t="s">
        <v>244</v>
      </c>
      <c r="G3" s="13" t="s">
        <v>245</v>
      </c>
      <c r="H3" s="14">
        <v>1</v>
      </c>
      <c r="I3" s="15">
        <v>300</v>
      </c>
      <c r="J3" s="16">
        <f>H3*I3</f>
        <v>300</v>
      </c>
      <c r="K3" s="17">
        <v>46052</v>
      </c>
      <c r="L3" s="10">
        <v>1</v>
      </c>
      <c r="M3" s="18">
        <f>H3</f>
        <v>1</v>
      </c>
      <c r="N3" s="19">
        <f t="shared" ref="N3:N8" si="0">L3-M3</f>
        <v>0</v>
      </c>
      <c r="O3" s="10" t="str">
        <f t="shared" ref="O3:O8" si="1">IF(N3=0,"COMPLETE","INCOMPLETE")</f>
        <v>COMPLETE</v>
      </c>
      <c r="P3" s="10"/>
      <c r="Q3" s="10" t="str">
        <f t="shared" ref="Q3:Q8" si="2">IF(M3=H3,"OK","X")</f>
        <v>OK</v>
      </c>
    </row>
    <row r="4" spans="1:17" x14ac:dyDescent="0.3">
      <c r="A4" s="73" t="s">
        <v>38</v>
      </c>
      <c r="B4" s="13" t="s">
        <v>73</v>
      </c>
      <c r="C4" s="13" t="s">
        <v>243</v>
      </c>
      <c r="D4" s="13" t="s">
        <v>208</v>
      </c>
      <c r="E4" s="13" t="s">
        <v>209</v>
      </c>
      <c r="F4" s="13" t="s">
        <v>244</v>
      </c>
      <c r="G4" s="13" t="s">
        <v>245</v>
      </c>
      <c r="H4" s="14">
        <v>1</v>
      </c>
      <c r="I4" s="15">
        <v>430</v>
      </c>
      <c r="J4" s="16">
        <f t="shared" ref="J4:J8" si="3">H4*I4</f>
        <v>430</v>
      </c>
      <c r="K4" s="17">
        <v>46071</v>
      </c>
      <c r="L4" s="10">
        <v>1</v>
      </c>
      <c r="M4" s="18">
        <f t="shared" ref="M4:M8" si="4">H4</f>
        <v>1</v>
      </c>
      <c r="N4" s="19">
        <f t="shared" si="0"/>
        <v>0</v>
      </c>
      <c r="O4" s="10" t="str">
        <f t="shared" si="1"/>
        <v>COMPLETE</v>
      </c>
      <c r="P4" s="10"/>
      <c r="Q4" s="10" t="str">
        <f t="shared" si="2"/>
        <v>OK</v>
      </c>
    </row>
    <row r="5" spans="1:17" x14ac:dyDescent="0.3">
      <c r="A5" s="73" t="s">
        <v>54</v>
      </c>
      <c r="B5" s="13" t="s">
        <v>321</v>
      </c>
      <c r="C5" s="13" t="s">
        <v>243</v>
      </c>
      <c r="D5" s="13" t="s">
        <v>21</v>
      </c>
      <c r="E5" s="13" t="s">
        <v>21</v>
      </c>
      <c r="F5" s="13" t="s">
        <v>244</v>
      </c>
      <c r="G5" s="13" t="s">
        <v>245</v>
      </c>
      <c r="H5" s="14">
        <v>1</v>
      </c>
      <c r="I5" s="15">
        <v>300</v>
      </c>
      <c r="J5" s="16">
        <f t="shared" si="3"/>
        <v>300</v>
      </c>
      <c r="K5" s="17">
        <v>46072</v>
      </c>
      <c r="L5" s="10">
        <v>1</v>
      </c>
      <c r="M5" s="18">
        <f t="shared" si="4"/>
        <v>1</v>
      </c>
      <c r="N5" s="19">
        <f t="shared" si="0"/>
        <v>0</v>
      </c>
      <c r="O5" s="10" t="str">
        <f t="shared" si="1"/>
        <v>COMPLETE</v>
      </c>
      <c r="P5" s="10"/>
      <c r="Q5" s="10" t="str">
        <f t="shared" si="2"/>
        <v>OK</v>
      </c>
    </row>
    <row r="6" spans="1:17" x14ac:dyDescent="0.3">
      <c r="A6" s="73" t="s">
        <v>69</v>
      </c>
      <c r="B6" s="13" t="s">
        <v>383</v>
      </c>
      <c r="C6" s="13" t="s">
        <v>384</v>
      </c>
      <c r="D6" s="13" t="s">
        <v>21</v>
      </c>
      <c r="E6" s="13" t="s">
        <v>21</v>
      </c>
      <c r="F6" s="13" t="s">
        <v>244</v>
      </c>
      <c r="G6" s="13" t="s">
        <v>245</v>
      </c>
      <c r="H6" s="14">
        <v>2</v>
      </c>
      <c r="I6" s="15">
        <v>300</v>
      </c>
      <c r="J6" s="16">
        <f t="shared" si="3"/>
        <v>600</v>
      </c>
      <c r="K6" s="17">
        <v>46086</v>
      </c>
      <c r="L6" s="10">
        <v>2</v>
      </c>
      <c r="M6" s="18">
        <f t="shared" si="4"/>
        <v>2</v>
      </c>
      <c r="N6" s="19">
        <f t="shared" si="0"/>
        <v>0</v>
      </c>
      <c r="O6" s="10" t="str">
        <f t="shared" si="1"/>
        <v>COMPLETE</v>
      </c>
      <c r="P6" s="10"/>
      <c r="Q6" s="10" t="str">
        <f t="shared" si="2"/>
        <v>OK</v>
      </c>
    </row>
    <row r="7" spans="1:17" x14ac:dyDescent="0.3">
      <c r="A7" s="73" t="s">
        <v>72</v>
      </c>
      <c r="B7" s="13" t="s">
        <v>419</v>
      </c>
      <c r="C7" s="13" t="s">
        <v>420</v>
      </c>
      <c r="D7" s="13" t="s">
        <v>39</v>
      </c>
      <c r="E7" s="13" t="s">
        <v>39</v>
      </c>
      <c r="F7" s="13" t="s">
        <v>141</v>
      </c>
      <c r="G7" s="13" t="s">
        <v>157</v>
      </c>
      <c r="H7" s="14">
        <v>1</v>
      </c>
      <c r="I7" s="15">
        <v>600</v>
      </c>
      <c r="J7" s="16">
        <f t="shared" si="3"/>
        <v>600</v>
      </c>
      <c r="K7" s="17">
        <v>46094</v>
      </c>
      <c r="L7" s="10">
        <v>1</v>
      </c>
      <c r="M7" s="18">
        <f t="shared" si="4"/>
        <v>1</v>
      </c>
      <c r="N7" s="19">
        <f t="shared" si="0"/>
        <v>0</v>
      </c>
      <c r="O7" s="10" t="str">
        <f t="shared" si="1"/>
        <v>COMPLETE</v>
      </c>
      <c r="P7" s="10"/>
      <c r="Q7" s="10" t="str">
        <f t="shared" si="2"/>
        <v>OK</v>
      </c>
    </row>
    <row r="8" spans="1:17" x14ac:dyDescent="0.3">
      <c r="A8" s="73" t="s">
        <v>85</v>
      </c>
      <c r="B8" s="13" t="s">
        <v>158</v>
      </c>
      <c r="C8" s="13" t="s">
        <v>243</v>
      </c>
      <c r="D8" s="13" t="s">
        <v>207</v>
      </c>
      <c r="E8" s="13" t="s">
        <v>207</v>
      </c>
      <c r="F8" s="13" t="s">
        <v>244</v>
      </c>
      <c r="G8" s="13" t="s">
        <v>245</v>
      </c>
      <c r="H8" s="14">
        <v>1</v>
      </c>
      <c r="I8" s="15">
        <v>300</v>
      </c>
      <c r="J8" s="16">
        <f t="shared" si="3"/>
        <v>300</v>
      </c>
      <c r="K8" s="17">
        <v>46175</v>
      </c>
      <c r="L8" s="10">
        <v>1</v>
      </c>
      <c r="M8" s="18">
        <f t="shared" si="4"/>
        <v>1</v>
      </c>
      <c r="N8" s="19">
        <f t="shared" si="0"/>
        <v>0</v>
      </c>
      <c r="O8" s="10" t="str">
        <f t="shared" si="1"/>
        <v>COMPLETE</v>
      </c>
      <c r="P8" s="10"/>
      <c r="Q8" s="10" t="str">
        <f t="shared" si="2"/>
        <v>OK</v>
      </c>
    </row>
  </sheetData>
  <conditionalFormatting sqref="C1:C1048576">
    <cfRule type="duplicateValues" dxfId="53" priority="1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54F5CDE-91EF-42E1-9600-3339D4AFEE90}">
          <x14:formula1>
            <xm:f>DDL!$D$2:$D$112</xm:f>
          </x14:formula1>
          <xm:sqref>B2:B8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12060-D915-4D9B-AE03-28A0598A27BD}">
  <sheetPr codeName="Sheet24"/>
  <dimension ref="A1:D51"/>
  <sheetViews>
    <sheetView tabSelected="1" workbookViewId="0">
      <selection activeCell="C8" sqref="C8"/>
    </sheetView>
  </sheetViews>
  <sheetFormatPr defaultColWidth="12.44140625" defaultRowHeight="14.4" x14ac:dyDescent="0.3"/>
  <cols>
    <col min="1" max="1" width="12.33203125" bestFit="1" customWidth="1"/>
    <col min="2" max="2" width="16.33203125" bestFit="1" customWidth="1"/>
    <col min="3" max="3" width="28.6640625" bestFit="1" customWidth="1"/>
    <col min="4" max="4" width="37.33203125" bestFit="1" customWidth="1"/>
  </cols>
  <sheetData>
    <row r="1" spans="1:4" s="134" customFormat="1" ht="13.8" x14ac:dyDescent="0.3">
      <c r="A1" s="135" t="s">
        <v>13</v>
      </c>
      <c r="B1" s="136"/>
      <c r="C1" s="136"/>
      <c r="D1" s="133" t="s">
        <v>3</v>
      </c>
    </row>
    <row r="2" spans="1:4" x14ac:dyDescent="0.3">
      <c r="A2" s="132" t="s">
        <v>14</v>
      </c>
      <c r="B2" s="132"/>
      <c r="C2" s="132"/>
      <c r="D2" s="23" t="s">
        <v>77</v>
      </c>
    </row>
    <row r="3" spans="1:4" x14ac:dyDescent="0.3">
      <c r="A3" s="132" t="s">
        <v>15</v>
      </c>
      <c r="B3" s="132"/>
      <c r="C3" s="132"/>
      <c r="D3" s="23" t="s">
        <v>63</v>
      </c>
    </row>
    <row r="4" spans="1:4" x14ac:dyDescent="0.3">
      <c r="A4" s="132"/>
      <c r="B4" s="132"/>
      <c r="C4" s="132"/>
      <c r="D4" s="23" t="s">
        <v>326</v>
      </c>
    </row>
    <row r="5" spans="1:4" x14ac:dyDescent="0.3">
      <c r="A5" s="132"/>
      <c r="B5" s="132"/>
      <c r="C5" s="132"/>
      <c r="D5" s="23" t="s">
        <v>180</v>
      </c>
    </row>
    <row r="6" spans="1:4" x14ac:dyDescent="0.3">
      <c r="A6" s="132"/>
      <c r="B6" s="132"/>
      <c r="C6" s="132"/>
      <c r="D6" s="23" t="s">
        <v>236</v>
      </c>
    </row>
    <row r="7" spans="1:4" x14ac:dyDescent="0.3">
      <c r="A7" s="132"/>
      <c r="B7" s="132"/>
      <c r="C7" s="132"/>
      <c r="D7" s="23" t="s">
        <v>50</v>
      </c>
    </row>
    <row r="8" spans="1:4" x14ac:dyDescent="0.3">
      <c r="A8" s="132"/>
      <c r="B8" s="132"/>
      <c r="C8" s="132"/>
      <c r="D8" s="23" t="s">
        <v>73</v>
      </c>
    </row>
    <row r="9" spans="1:4" x14ac:dyDescent="0.3">
      <c r="A9" s="132"/>
      <c r="B9" s="132"/>
      <c r="C9" s="132"/>
      <c r="D9" s="23" t="s">
        <v>81</v>
      </c>
    </row>
    <row r="10" spans="1:4" x14ac:dyDescent="0.3">
      <c r="A10" s="132"/>
      <c r="B10" s="132"/>
      <c r="C10" s="132"/>
      <c r="D10" s="23" t="s">
        <v>234</v>
      </c>
    </row>
    <row r="11" spans="1:4" x14ac:dyDescent="0.3">
      <c r="A11" s="132"/>
      <c r="B11" s="132"/>
      <c r="C11" s="132"/>
      <c r="D11" s="23" t="s">
        <v>86</v>
      </c>
    </row>
    <row r="12" spans="1:4" x14ac:dyDescent="0.3">
      <c r="A12" s="132"/>
      <c r="B12" s="132"/>
      <c r="C12" s="132"/>
      <c r="D12" s="23" t="s">
        <v>242</v>
      </c>
    </row>
    <row r="13" spans="1:4" x14ac:dyDescent="0.3">
      <c r="A13" s="132"/>
      <c r="B13" s="132"/>
      <c r="C13" s="132"/>
      <c r="D13" s="23" t="s">
        <v>216</v>
      </c>
    </row>
    <row r="14" spans="1:4" x14ac:dyDescent="0.3">
      <c r="A14" s="132"/>
      <c r="B14" s="132"/>
      <c r="C14" s="132"/>
      <c r="D14" s="23" t="s">
        <v>540</v>
      </c>
    </row>
    <row r="15" spans="1:4" x14ac:dyDescent="0.3">
      <c r="A15" s="132"/>
      <c r="B15" s="132"/>
      <c r="C15" s="132"/>
      <c r="D15" s="23" t="s">
        <v>327</v>
      </c>
    </row>
    <row r="16" spans="1:4" x14ac:dyDescent="0.3">
      <c r="A16" s="132"/>
      <c r="B16" s="132"/>
      <c r="C16" s="132"/>
      <c r="D16" s="23" t="s">
        <v>225</v>
      </c>
    </row>
    <row r="17" spans="1:4" x14ac:dyDescent="0.3">
      <c r="A17" s="132"/>
      <c r="B17" s="132"/>
      <c r="C17" s="132"/>
      <c r="D17" s="23" t="s">
        <v>218</v>
      </c>
    </row>
    <row r="18" spans="1:4" x14ac:dyDescent="0.3">
      <c r="A18" s="132"/>
      <c r="B18" s="132"/>
      <c r="C18" s="132"/>
      <c r="D18" s="23" t="s">
        <v>109</v>
      </c>
    </row>
    <row r="19" spans="1:4" x14ac:dyDescent="0.3">
      <c r="A19" s="132"/>
      <c r="B19" s="132"/>
      <c r="C19" s="132"/>
      <c r="D19" s="132" t="s">
        <v>19</v>
      </c>
    </row>
    <row r="20" spans="1:4" x14ac:dyDescent="0.3">
      <c r="A20" s="132"/>
      <c r="B20" s="132"/>
      <c r="C20" s="132"/>
      <c r="D20" s="132" t="s">
        <v>328</v>
      </c>
    </row>
    <row r="21" spans="1:4" x14ac:dyDescent="0.3">
      <c r="A21" s="132"/>
      <c r="B21" s="132"/>
      <c r="C21" s="132"/>
      <c r="D21" s="132" t="s">
        <v>130</v>
      </c>
    </row>
    <row r="22" spans="1:4" x14ac:dyDescent="0.3">
      <c r="A22" s="132"/>
      <c r="B22" s="132"/>
      <c r="C22" s="132"/>
      <c r="D22" s="132" t="s">
        <v>158</v>
      </c>
    </row>
    <row r="23" spans="1:4" x14ac:dyDescent="0.3">
      <c r="A23" s="132"/>
      <c r="B23" s="132"/>
      <c r="C23" s="132"/>
      <c r="D23" s="132" t="s">
        <v>143</v>
      </c>
    </row>
    <row r="24" spans="1:4" x14ac:dyDescent="0.3">
      <c r="A24" s="132"/>
      <c r="B24" s="132"/>
      <c r="C24" s="132"/>
      <c r="D24" s="132" t="s">
        <v>34</v>
      </c>
    </row>
    <row r="25" spans="1:4" x14ac:dyDescent="0.3">
      <c r="A25" s="132"/>
      <c r="B25" s="132"/>
      <c r="C25" s="132"/>
      <c r="D25" s="132" t="s">
        <v>383</v>
      </c>
    </row>
    <row r="26" spans="1:4" x14ac:dyDescent="0.3">
      <c r="A26" s="132"/>
      <c r="B26" s="132"/>
      <c r="C26" s="132"/>
      <c r="D26" s="132" t="s">
        <v>329</v>
      </c>
    </row>
    <row r="27" spans="1:4" x14ac:dyDescent="0.3">
      <c r="A27" s="132"/>
      <c r="B27" s="132"/>
      <c r="C27" s="132"/>
      <c r="D27" s="132" t="s">
        <v>321</v>
      </c>
    </row>
    <row r="28" spans="1:4" x14ac:dyDescent="0.3">
      <c r="A28" s="132"/>
      <c r="B28" s="132"/>
      <c r="C28" s="132"/>
      <c r="D28" s="132" t="s">
        <v>421</v>
      </c>
    </row>
    <row r="29" spans="1:4" x14ac:dyDescent="0.3">
      <c r="A29" s="132"/>
      <c r="B29" s="132"/>
      <c r="C29" s="132"/>
      <c r="D29" s="132" t="s">
        <v>28</v>
      </c>
    </row>
    <row r="30" spans="1:4" x14ac:dyDescent="0.3">
      <c r="A30" s="132"/>
      <c r="B30" s="132"/>
      <c r="C30" s="132"/>
      <c r="D30" s="132" t="s">
        <v>257</v>
      </c>
    </row>
    <row r="31" spans="1:4" x14ac:dyDescent="0.3">
      <c r="A31" s="132"/>
      <c r="B31" s="132"/>
      <c r="C31" s="132"/>
      <c r="D31" s="132" t="s">
        <v>573</v>
      </c>
    </row>
    <row r="32" spans="1:4" x14ac:dyDescent="0.3">
      <c r="A32" s="132"/>
      <c r="B32" s="132"/>
      <c r="C32" s="132"/>
      <c r="D32" s="132" t="s">
        <v>67</v>
      </c>
    </row>
    <row r="33" spans="1:4" x14ac:dyDescent="0.3">
      <c r="A33" s="132"/>
      <c r="B33" s="132"/>
      <c r="C33" s="132"/>
      <c r="D33" s="132" t="s">
        <v>579</v>
      </c>
    </row>
    <row r="34" spans="1:4" x14ac:dyDescent="0.3">
      <c r="A34" s="132"/>
      <c r="B34" s="132"/>
      <c r="C34" s="132"/>
      <c r="D34" s="132" t="s">
        <v>32</v>
      </c>
    </row>
    <row r="35" spans="1:4" x14ac:dyDescent="0.3">
      <c r="A35" s="132"/>
      <c r="B35" s="132"/>
      <c r="C35" s="132"/>
      <c r="D35" s="132" t="s">
        <v>330</v>
      </c>
    </row>
    <row r="36" spans="1:4" x14ac:dyDescent="0.3">
      <c r="A36" s="132"/>
      <c r="B36" s="132"/>
      <c r="C36" s="132"/>
      <c r="D36" s="132" t="s">
        <v>113</v>
      </c>
    </row>
    <row r="37" spans="1:4" x14ac:dyDescent="0.3">
      <c r="A37" s="132"/>
      <c r="B37" s="132"/>
      <c r="C37" s="132"/>
      <c r="D37" s="132" t="s">
        <v>70</v>
      </c>
    </row>
    <row r="38" spans="1:4" x14ac:dyDescent="0.3">
      <c r="A38" s="132"/>
      <c r="B38" s="132"/>
      <c r="C38" s="132"/>
      <c r="D38" s="132" t="s">
        <v>132</v>
      </c>
    </row>
    <row r="39" spans="1:4" x14ac:dyDescent="0.3">
      <c r="A39" s="132"/>
      <c r="B39" s="132"/>
      <c r="C39" s="132"/>
      <c r="D39" s="132" t="s">
        <v>593</v>
      </c>
    </row>
    <row r="40" spans="1:4" x14ac:dyDescent="0.3">
      <c r="A40" s="132"/>
      <c r="B40" s="132"/>
      <c r="C40" s="132"/>
      <c r="D40" s="132" t="s">
        <v>91</v>
      </c>
    </row>
    <row r="41" spans="1:4" x14ac:dyDescent="0.3">
      <c r="A41" s="132"/>
      <c r="B41" s="132"/>
      <c r="C41" s="132"/>
      <c r="D41" s="132" t="s">
        <v>549</v>
      </c>
    </row>
    <row r="42" spans="1:4" x14ac:dyDescent="0.3">
      <c r="A42" s="132"/>
      <c r="B42" s="132"/>
      <c r="C42" s="132"/>
      <c r="D42" s="132" t="s">
        <v>599</v>
      </c>
    </row>
    <row r="43" spans="1:4" x14ac:dyDescent="0.3">
      <c r="A43" s="132"/>
      <c r="B43" s="132"/>
      <c r="C43" s="132"/>
      <c r="D43" s="132" t="s">
        <v>419</v>
      </c>
    </row>
    <row r="44" spans="1:4" x14ac:dyDescent="0.3">
      <c r="A44" s="132"/>
      <c r="B44" s="132"/>
      <c r="C44" s="132"/>
      <c r="D44" s="132" t="s">
        <v>380</v>
      </c>
    </row>
    <row r="45" spans="1:4" x14ac:dyDescent="0.3">
      <c r="A45" s="132"/>
      <c r="B45" s="132"/>
      <c r="C45" s="132"/>
      <c r="D45" s="132" t="s">
        <v>522</v>
      </c>
    </row>
    <row r="46" spans="1:4" x14ac:dyDescent="0.3">
      <c r="A46" s="132"/>
      <c r="B46" s="132"/>
      <c r="C46" s="132"/>
      <c r="D46" s="132" t="s">
        <v>532</v>
      </c>
    </row>
    <row r="47" spans="1:4" x14ac:dyDescent="0.3">
      <c r="A47" s="132"/>
      <c r="B47" s="132"/>
      <c r="C47" s="132"/>
      <c r="D47" s="132" t="s">
        <v>533</v>
      </c>
    </row>
    <row r="48" spans="1:4" x14ac:dyDescent="0.3">
      <c r="A48" s="132"/>
      <c r="B48" s="132"/>
      <c r="C48" s="132"/>
      <c r="D48" s="132" t="s">
        <v>145</v>
      </c>
    </row>
    <row r="49" spans="1:4" x14ac:dyDescent="0.3">
      <c r="A49" s="132"/>
      <c r="B49" s="132"/>
      <c r="C49" s="132"/>
      <c r="D49" s="132" t="s">
        <v>95</v>
      </c>
    </row>
    <row r="50" spans="1:4" x14ac:dyDescent="0.3">
      <c r="A50" s="132"/>
      <c r="B50" s="132"/>
      <c r="C50" s="132"/>
      <c r="D50" s="132" t="s">
        <v>102</v>
      </c>
    </row>
    <row r="51" spans="1:4" x14ac:dyDescent="0.3">
      <c r="A51" s="132"/>
      <c r="B51" s="132"/>
      <c r="C51" s="132"/>
      <c r="D51" s="132" t="s">
        <v>123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BLANKETS</vt:lpstr>
      <vt:lpstr>SLEEVES</vt:lpstr>
      <vt:lpstr>STOCKINGS</vt:lpstr>
      <vt:lpstr>ULTRA SOUND GEL</vt:lpstr>
      <vt:lpstr>APPLICATOR</vt:lpstr>
      <vt:lpstr>SKIN MARKER</vt:lpstr>
      <vt:lpstr>GAUZE</vt:lpstr>
      <vt:lpstr>WRAPPING SHEETS</vt:lpstr>
      <vt:lpstr>GOWNS</vt:lpstr>
      <vt:lpstr>SKIN STAPLER</vt:lpstr>
      <vt:lpstr>IOB &amp; LABTEK MACHINE &amp; PARTS</vt:lpstr>
      <vt:lpstr>DDL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Eoc Dxb</dc:creator>
  <cp:lastModifiedBy>Leolou Jeffrey Sanchez</cp:lastModifiedBy>
  <cp:lastPrinted>2026-05-19T12:44:16Z</cp:lastPrinted>
  <dcterms:created xsi:type="dcterms:W3CDTF">2026-01-07T09:44:13Z</dcterms:created>
  <dcterms:modified xsi:type="dcterms:W3CDTF">2026-06-16T00:20:56Z</dcterms:modified>
</cp:coreProperties>
</file>